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shishjindal/Downloads/"/>
    </mc:Choice>
  </mc:AlternateContent>
  <xr:revisionPtr revIDLastSave="0" documentId="8_{9E070D52-A101-BD49-ABDC-9A476C43ACD3}" xr6:coauthVersionLast="47" xr6:coauthVersionMax="47" xr10:uidLastSave="{00000000-0000-0000-0000-000000000000}"/>
  <bookViews>
    <workbookView xWindow="0" yWindow="660" windowWidth="29400" windowHeight="17340" tabRatio="500" firstSheet="2" activeTab="10" xr2:uid="{00000000-000D-0000-FFFF-FFFF00000000}"/>
  </bookViews>
  <sheets>
    <sheet name="Settings" sheetId="1" r:id="rId1"/>
    <sheet name="① Timelog Input" sheetId="2" r:id="rId2"/>
    <sheet name="② Salary Input" sheetId="3" r:id="rId3"/>
    <sheet name="③ Billing Input" sheetId="4" r:id="rId4"/>
    <sheet name="④ Client-Service Map" sheetId="5" r:id="rId5"/>
    <sheet name="⑤ Emp-Client Hours" sheetId="6" r:id="rId6"/>
    <sheet name="⑥ Annual Performance" sheetId="7" r:id="rId7"/>
    <sheet name="⑦ Controller-Firm Map" sheetId="8" r:id="rId8"/>
    <sheet name="Employee Master" sheetId="9" r:id="rId9"/>
    <sheet name="Utilization Dashboard" sheetId="10" r:id="rId10"/>
    <sheet name="Controller KPIs" sheetId="11" r:id="rId11"/>
    <sheet name="Capacity Report" sheetId="12" r:id="rId12"/>
    <sheet name="Controller Team Analysis" sheetId="13" r:id="rId13"/>
    <sheet name="Increment Calculator" sheetId="14" r:id="rId14"/>
    <sheet name="Service Dashboard" sheetId="15" r:id="rId15"/>
    <sheet name="Director Command Center" sheetId="16" r:id="rId16"/>
    <sheet name="Client Profitability" sheetId="17" r:id="rId17"/>
    <sheet name="Overhead Departments" sheetId="18" r:id="rId18"/>
  </sheets>
  <definedNames>
    <definedName name="_xlnm._FilterDatabase" localSheetId="5" hidden="1">'⑤ Emp-Client Hours'!$A$3:$G$3</definedName>
    <definedName name="_xlnm._FilterDatabase" localSheetId="11" hidden="1">'Capacity Report'!$A$16:$Q$76</definedName>
    <definedName name="_xlnm._FilterDatabase" localSheetId="8" hidden="1">'Employee Master'!$A$3:$R$203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2" i="6" l="1"/>
  <c r="D12" i="6"/>
  <c r="D35" i="6"/>
  <c r="C84" i="17"/>
  <c r="D84" i="17" s="1"/>
  <c r="C83" i="17"/>
  <c r="D83" i="17" s="1"/>
  <c r="C82" i="17"/>
  <c r="D82" i="17" s="1"/>
  <c r="C81" i="17"/>
  <c r="D81" i="17" s="1"/>
  <c r="C80" i="17"/>
  <c r="D80" i="17" s="1"/>
  <c r="C79" i="17"/>
  <c r="D79" i="17" s="1"/>
  <c r="C78" i="17"/>
  <c r="D78" i="17" s="1"/>
  <c r="C77" i="17"/>
  <c r="D77" i="17" s="1"/>
  <c r="C76" i="17"/>
  <c r="D76" i="17" s="1"/>
  <c r="C75" i="17"/>
  <c r="D75" i="17" s="1"/>
  <c r="C74" i="17"/>
  <c r="D74" i="17" s="1"/>
  <c r="C73" i="17"/>
  <c r="D73" i="17" s="1"/>
  <c r="C72" i="17"/>
  <c r="D72" i="17" s="1"/>
  <c r="C71" i="17"/>
  <c r="D71" i="17" s="1"/>
  <c r="C70" i="17"/>
  <c r="D70" i="17" s="1"/>
  <c r="C69" i="17"/>
  <c r="D69" i="17" s="1"/>
  <c r="C68" i="17"/>
  <c r="D68" i="17" s="1"/>
  <c r="C67" i="17"/>
  <c r="D67" i="17" s="1"/>
  <c r="C66" i="17"/>
  <c r="D66" i="17" s="1"/>
  <c r="C65" i="17"/>
  <c r="D65" i="17" s="1"/>
  <c r="C64" i="17"/>
  <c r="D64" i="17" s="1"/>
  <c r="C63" i="17"/>
  <c r="D63" i="17" s="1"/>
  <c r="C62" i="17"/>
  <c r="D62" i="17" s="1"/>
  <c r="C61" i="17"/>
  <c r="D61" i="17" s="1"/>
  <c r="C60" i="17"/>
  <c r="D60" i="17" s="1"/>
  <c r="C59" i="17"/>
  <c r="D59" i="17" s="1"/>
  <c r="C58" i="17"/>
  <c r="D58" i="17" s="1"/>
  <c r="C57" i="17"/>
  <c r="D57" i="17" s="1"/>
  <c r="C56" i="17"/>
  <c r="D56" i="17" s="1"/>
  <c r="C55" i="17"/>
  <c r="D55" i="17" s="1"/>
  <c r="C54" i="17"/>
  <c r="D54" i="17" s="1"/>
  <c r="C53" i="17"/>
  <c r="D53" i="17" s="1"/>
  <c r="C52" i="17"/>
  <c r="D52" i="17" s="1"/>
  <c r="C51" i="17"/>
  <c r="D51" i="17" s="1"/>
  <c r="C50" i="17"/>
  <c r="D50" i="17" s="1"/>
  <c r="C49" i="17"/>
  <c r="D49" i="17" s="1"/>
  <c r="C48" i="17"/>
  <c r="D48" i="17" s="1"/>
  <c r="C47" i="17"/>
  <c r="D47" i="17" s="1"/>
  <c r="C46" i="17"/>
  <c r="D46" i="17" s="1"/>
  <c r="C45" i="17"/>
  <c r="D45" i="17" s="1"/>
  <c r="C44" i="17"/>
  <c r="D44" i="17" s="1"/>
  <c r="C43" i="17"/>
  <c r="D43" i="17" s="1"/>
  <c r="C42" i="17"/>
  <c r="D42" i="17" s="1"/>
  <c r="C41" i="17"/>
  <c r="D41" i="17" s="1"/>
  <c r="C40" i="17"/>
  <c r="D40" i="17" s="1"/>
  <c r="C39" i="17"/>
  <c r="D39" i="17" s="1"/>
  <c r="C38" i="17"/>
  <c r="D38" i="17" s="1"/>
  <c r="C37" i="17"/>
  <c r="D37" i="17" s="1"/>
  <c r="C36" i="17"/>
  <c r="D36" i="17" s="1"/>
  <c r="C35" i="17"/>
  <c r="D35" i="17" s="1"/>
  <c r="C34" i="17"/>
  <c r="D34" i="17" s="1"/>
  <c r="C33" i="17"/>
  <c r="D33" i="17" s="1"/>
  <c r="C32" i="17"/>
  <c r="D32" i="17" s="1"/>
  <c r="C31" i="17"/>
  <c r="D31" i="17" s="1"/>
  <c r="C30" i="17"/>
  <c r="D30" i="17" s="1"/>
  <c r="C29" i="17"/>
  <c r="D29" i="17" s="1"/>
  <c r="C28" i="17"/>
  <c r="D28" i="17" s="1"/>
  <c r="C27" i="17"/>
  <c r="D27" i="17" s="1"/>
  <c r="C26" i="17"/>
  <c r="D26" i="17" s="1"/>
  <c r="C25" i="17"/>
  <c r="D25" i="17" s="1"/>
  <c r="C24" i="17"/>
  <c r="D24" i="17" s="1"/>
  <c r="C23" i="17"/>
  <c r="D23" i="17" s="1"/>
  <c r="C22" i="17"/>
  <c r="D22" i="17" s="1"/>
  <c r="C21" i="17"/>
  <c r="D21" i="17" s="1"/>
  <c r="C20" i="17"/>
  <c r="D20" i="17" s="1"/>
  <c r="C19" i="17"/>
  <c r="D19" i="17" s="1"/>
  <c r="C18" i="17"/>
  <c r="D18" i="17" s="1"/>
  <c r="C17" i="17"/>
  <c r="D17" i="17" s="1"/>
  <c r="C16" i="17"/>
  <c r="D16" i="17" s="1"/>
  <c r="C15" i="17"/>
  <c r="D15" i="17" s="1"/>
  <c r="C14" i="17"/>
  <c r="D14" i="17" s="1"/>
  <c r="C13" i="17"/>
  <c r="D13" i="17" s="1"/>
  <c r="C12" i="17"/>
  <c r="D12" i="17" s="1"/>
  <c r="C11" i="17"/>
  <c r="D11" i="17" s="1"/>
  <c r="C10" i="17"/>
  <c r="D10" i="17" s="1"/>
  <c r="C9" i="17"/>
  <c r="D9" i="17" s="1"/>
  <c r="C8" i="17"/>
  <c r="D8" i="17" s="1"/>
  <c r="C7" i="17"/>
  <c r="D7" i="17" s="1"/>
  <c r="C6" i="17"/>
  <c r="D6" i="17" s="1"/>
  <c r="C5" i="17"/>
  <c r="D5" i="17" s="1"/>
  <c r="C4" i="17"/>
  <c r="F35" i="16"/>
  <c r="E35" i="16"/>
  <c r="D35" i="16"/>
  <c r="B35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C9" i="15"/>
  <c r="B9" i="15"/>
  <c r="C8" i="15"/>
  <c r="B8" i="15"/>
  <c r="C7" i="15"/>
  <c r="B7" i="15"/>
  <c r="C6" i="15"/>
  <c r="B6" i="15"/>
  <c r="C5" i="15"/>
  <c r="B5" i="15"/>
  <c r="C4" i="15"/>
  <c r="B4" i="15"/>
  <c r="H191" i="13"/>
  <c r="G191" i="13"/>
  <c r="F191" i="13"/>
  <c r="E191" i="13"/>
  <c r="D191" i="13"/>
  <c r="C191" i="13"/>
  <c r="B191" i="13"/>
  <c r="A191" i="13"/>
  <c r="H190" i="13"/>
  <c r="G190" i="13"/>
  <c r="F190" i="13"/>
  <c r="E190" i="13"/>
  <c r="D190" i="13"/>
  <c r="C190" i="13"/>
  <c r="B190" i="13"/>
  <c r="A190" i="13"/>
  <c r="H189" i="13"/>
  <c r="G189" i="13"/>
  <c r="F189" i="13"/>
  <c r="E189" i="13"/>
  <c r="D189" i="13"/>
  <c r="C189" i="13"/>
  <c r="B189" i="13"/>
  <c r="A189" i="13"/>
  <c r="H188" i="13"/>
  <c r="G188" i="13"/>
  <c r="F188" i="13"/>
  <c r="E188" i="13"/>
  <c r="D188" i="13"/>
  <c r="C188" i="13"/>
  <c r="B188" i="13"/>
  <c r="A188" i="13"/>
  <c r="H187" i="13"/>
  <c r="G187" i="13"/>
  <c r="F187" i="13"/>
  <c r="E187" i="13"/>
  <c r="D187" i="13"/>
  <c r="C187" i="13"/>
  <c r="B187" i="13"/>
  <c r="A187" i="13"/>
  <c r="H186" i="13"/>
  <c r="G186" i="13"/>
  <c r="F186" i="13"/>
  <c r="E186" i="13"/>
  <c r="D186" i="13"/>
  <c r="C186" i="13"/>
  <c r="B186" i="13"/>
  <c r="A186" i="13"/>
  <c r="H185" i="13"/>
  <c r="G185" i="13"/>
  <c r="F185" i="13"/>
  <c r="E185" i="13"/>
  <c r="D185" i="13"/>
  <c r="C185" i="13"/>
  <c r="B185" i="13"/>
  <c r="A185" i="13"/>
  <c r="H184" i="13"/>
  <c r="G184" i="13"/>
  <c r="F184" i="13"/>
  <c r="E184" i="13"/>
  <c r="D184" i="13"/>
  <c r="C184" i="13"/>
  <c r="B184" i="13"/>
  <c r="A184" i="13"/>
  <c r="H183" i="13"/>
  <c r="G183" i="13"/>
  <c r="F183" i="13"/>
  <c r="E183" i="13"/>
  <c r="D183" i="13"/>
  <c r="C183" i="13"/>
  <c r="B183" i="13"/>
  <c r="A183" i="13"/>
  <c r="H182" i="13"/>
  <c r="G182" i="13"/>
  <c r="F182" i="13"/>
  <c r="E182" i="13"/>
  <c r="D182" i="13"/>
  <c r="C182" i="13"/>
  <c r="B182" i="13"/>
  <c r="A182" i="13"/>
  <c r="H181" i="13"/>
  <c r="G181" i="13"/>
  <c r="F181" i="13"/>
  <c r="E181" i="13"/>
  <c r="D181" i="13"/>
  <c r="C181" i="13"/>
  <c r="B181" i="13"/>
  <c r="A181" i="13"/>
  <c r="H180" i="13"/>
  <c r="G180" i="13"/>
  <c r="F180" i="13"/>
  <c r="E180" i="13"/>
  <c r="D180" i="13"/>
  <c r="C180" i="13"/>
  <c r="B180" i="13"/>
  <c r="A180" i="13"/>
  <c r="H179" i="13"/>
  <c r="G179" i="13"/>
  <c r="F179" i="13"/>
  <c r="E179" i="13"/>
  <c r="D179" i="13"/>
  <c r="C179" i="13"/>
  <c r="B179" i="13"/>
  <c r="A179" i="13"/>
  <c r="H178" i="13"/>
  <c r="G178" i="13"/>
  <c r="F178" i="13"/>
  <c r="E178" i="13"/>
  <c r="D178" i="13"/>
  <c r="C178" i="13"/>
  <c r="B178" i="13"/>
  <c r="A178" i="13"/>
  <c r="H177" i="13"/>
  <c r="G177" i="13"/>
  <c r="F177" i="13"/>
  <c r="E177" i="13"/>
  <c r="D177" i="13"/>
  <c r="C177" i="13"/>
  <c r="B177" i="13"/>
  <c r="A177" i="13"/>
  <c r="H176" i="13"/>
  <c r="G176" i="13"/>
  <c r="F176" i="13"/>
  <c r="E176" i="13"/>
  <c r="D176" i="13"/>
  <c r="C176" i="13"/>
  <c r="B176" i="13"/>
  <c r="A176" i="13"/>
  <c r="H175" i="13"/>
  <c r="G175" i="13"/>
  <c r="F175" i="13"/>
  <c r="E175" i="13"/>
  <c r="D175" i="13"/>
  <c r="C175" i="13"/>
  <c r="B175" i="13"/>
  <c r="A175" i="13"/>
  <c r="H174" i="13"/>
  <c r="G174" i="13"/>
  <c r="F174" i="13"/>
  <c r="E174" i="13"/>
  <c r="D174" i="13"/>
  <c r="C174" i="13"/>
  <c r="B174" i="13"/>
  <c r="A174" i="13"/>
  <c r="H173" i="13"/>
  <c r="G173" i="13"/>
  <c r="F173" i="13"/>
  <c r="E173" i="13"/>
  <c r="D173" i="13"/>
  <c r="C173" i="13"/>
  <c r="B173" i="13"/>
  <c r="A173" i="13"/>
  <c r="H172" i="13"/>
  <c r="G172" i="13"/>
  <c r="F172" i="13"/>
  <c r="E172" i="13"/>
  <c r="D172" i="13"/>
  <c r="C172" i="13"/>
  <c r="B172" i="13"/>
  <c r="A172" i="13"/>
  <c r="H171" i="13"/>
  <c r="G171" i="13"/>
  <c r="F171" i="13"/>
  <c r="E171" i="13"/>
  <c r="D171" i="13"/>
  <c r="C171" i="13"/>
  <c r="B171" i="13"/>
  <c r="A171" i="13"/>
  <c r="H170" i="13"/>
  <c r="G170" i="13"/>
  <c r="F170" i="13"/>
  <c r="E170" i="13"/>
  <c r="D170" i="13"/>
  <c r="C170" i="13"/>
  <c r="B170" i="13"/>
  <c r="A170" i="13"/>
  <c r="H169" i="13"/>
  <c r="G169" i="13"/>
  <c r="F169" i="13"/>
  <c r="E169" i="13"/>
  <c r="D169" i="13"/>
  <c r="C169" i="13"/>
  <c r="B169" i="13"/>
  <c r="A169" i="13"/>
  <c r="H168" i="13"/>
  <c r="G168" i="13"/>
  <c r="F168" i="13"/>
  <c r="E168" i="13"/>
  <c r="D168" i="13"/>
  <c r="C168" i="13"/>
  <c r="B168" i="13"/>
  <c r="A168" i="13"/>
  <c r="H167" i="13"/>
  <c r="G167" i="13"/>
  <c r="F167" i="13"/>
  <c r="E167" i="13"/>
  <c r="D167" i="13"/>
  <c r="C167" i="13"/>
  <c r="B167" i="13"/>
  <c r="A167" i="13"/>
  <c r="H166" i="13"/>
  <c r="G166" i="13"/>
  <c r="F166" i="13"/>
  <c r="E166" i="13"/>
  <c r="D166" i="13"/>
  <c r="C166" i="13"/>
  <c r="B166" i="13"/>
  <c r="A166" i="13"/>
  <c r="H165" i="13"/>
  <c r="G165" i="13"/>
  <c r="F165" i="13"/>
  <c r="E165" i="13"/>
  <c r="D165" i="13"/>
  <c r="C165" i="13"/>
  <c r="B165" i="13"/>
  <c r="A165" i="13"/>
  <c r="H164" i="13"/>
  <c r="G164" i="13"/>
  <c r="F164" i="13"/>
  <c r="E164" i="13"/>
  <c r="D164" i="13"/>
  <c r="C164" i="13"/>
  <c r="B164" i="13"/>
  <c r="A164" i="13"/>
  <c r="H163" i="13"/>
  <c r="G163" i="13"/>
  <c r="F163" i="13"/>
  <c r="E163" i="13"/>
  <c r="D163" i="13"/>
  <c r="C163" i="13"/>
  <c r="B163" i="13"/>
  <c r="A163" i="13"/>
  <c r="H162" i="13"/>
  <c r="G162" i="13"/>
  <c r="F162" i="13"/>
  <c r="E162" i="13"/>
  <c r="D162" i="13"/>
  <c r="C162" i="13"/>
  <c r="B162" i="13"/>
  <c r="A162" i="13"/>
  <c r="H161" i="13"/>
  <c r="G161" i="13"/>
  <c r="F161" i="13"/>
  <c r="E161" i="13"/>
  <c r="D161" i="13"/>
  <c r="C161" i="13"/>
  <c r="B161" i="13"/>
  <c r="A161" i="13"/>
  <c r="H160" i="13"/>
  <c r="G160" i="13"/>
  <c r="F160" i="13"/>
  <c r="E160" i="13"/>
  <c r="D160" i="13"/>
  <c r="C160" i="13"/>
  <c r="B160" i="13"/>
  <c r="A160" i="13"/>
  <c r="H159" i="13"/>
  <c r="G159" i="13"/>
  <c r="F159" i="13"/>
  <c r="E159" i="13"/>
  <c r="D159" i="13"/>
  <c r="C159" i="13"/>
  <c r="B159" i="13"/>
  <c r="A159" i="13"/>
  <c r="H158" i="13"/>
  <c r="G158" i="13"/>
  <c r="F158" i="13"/>
  <c r="E158" i="13"/>
  <c r="D158" i="13"/>
  <c r="C158" i="13"/>
  <c r="B158" i="13"/>
  <c r="A158" i="13"/>
  <c r="H157" i="13"/>
  <c r="G157" i="13"/>
  <c r="F157" i="13"/>
  <c r="E157" i="13"/>
  <c r="D157" i="13"/>
  <c r="C157" i="13"/>
  <c r="B157" i="13"/>
  <c r="A157" i="13"/>
  <c r="H156" i="13"/>
  <c r="G156" i="13"/>
  <c r="F156" i="13"/>
  <c r="E156" i="13"/>
  <c r="D156" i="13"/>
  <c r="C156" i="13"/>
  <c r="B156" i="13"/>
  <c r="A156" i="13"/>
  <c r="H155" i="13"/>
  <c r="G155" i="13"/>
  <c r="F155" i="13"/>
  <c r="E155" i="13"/>
  <c r="D155" i="13"/>
  <c r="C155" i="13"/>
  <c r="B155" i="13"/>
  <c r="A155" i="13"/>
  <c r="H154" i="13"/>
  <c r="G154" i="13"/>
  <c r="F154" i="13"/>
  <c r="E154" i="13"/>
  <c r="D154" i="13"/>
  <c r="C154" i="13"/>
  <c r="B154" i="13"/>
  <c r="A154" i="13"/>
  <c r="H153" i="13"/>
  <c r="G153" i="13"/>
  <c r="F153" i="13"/>
  <c r="E153" i="13"/>
  <c r="D153" i="13"/>
  <c r="C153" i="13"/>
  <c r="B153" i="13"/>
  <c r="A153" i="13"/>
  <c r="H152" i="13"/>
  <c r="G152" i="13"/>
  <c r="F152" i="13"/>
  <c r="E152" i="13"/>
  <c r="D152" i="13"/>
  <c r="C152" i="13"/>
  <c r="B152" i="13"/>
  <c r="A152" i="13"/>
  <c r="H151" i="13"/>
  <c r="G151" i="13"/>
  <c r="F151" i="13"/>
  <c r="E151" i="13"/>
  <c r="D151" i="13"/>
  <c r="C151" i="13"/>
  <c r="B151" i="13"/>
  <c r="A151" i="13"/>
  <c r="H150" i="13"/>
  <c r="G150" i="13"/>
  <c r="F150" i="13"/>
  <c r="E150" i="13"/>
  <c r="D150" i="13"/>
  <c r="C150" i="13"/>
  <c r="B150" i="13"/>
  <c r="A150" i="13"/>
  <c r="H149" i="13"/>
  <c r="G149" i="13"/>
  <c r="F149" i="13"/>
  <c r="E149" i="13"/>
  <c r="D149" i="13"/>
  <c r="C149" i="13"/>
  <c r="B149" i="13"/>
  <c r="A149" i="13"/>
  <c r="H148" i="13"/>
  <c r="G148" i="13"/>
  <c r="F148" i="13"/>
  <c r="E148" i="13"/>
  <c r="D148" i="13"/>
  <c r="C148" i="13"/>
  <c r="B148" i="13"/>
  <c r="A148" i="13"/>
  <c r="H147" i="13"/>
  <c r="G147" i="13"/>
  <c r="F147" i="13"/>
  <c r="E147" i="13"/>
  <c r="D147" i="13"/>
  <c r="C147" i="13"/>
  <c r="B147" i="13"/>
  <c r="A147" i="13"/>
  <c r="H146" i="13"/>
  <c r="G146" i="13"/>
  <c r="F146" i="13"/>
  <c r="E146" i="13"/>
  <c r="D146" i="13"/>
  <c r="C146" i="13"/>
  <c r="B146" i="13"/>
  <c r="A146" i="13"/>
  <c r="H145" i="13"/>
  <c r="G145" i="13"/>
  <c r="F145" i="13"/>
  <c r="E145" i="13"/>
  <c r="D145" i="13"/>
  <c r="C145" i="13"/>
  <c r="B145" i="13"/>
  <c r="A145" i="13"/>
  <c r="H144" i="13"/>
  <c r="G144" i="13"/>
  <c r="F144" i="13"/>
  <c r="E144" i="13"/>
  <c r="D144" i="13"/>
  <c r="C144" i="13"/>
  <c r="B144" i="13"/>
  <c r="A144" i="13"/>
  <c r="H143" i="13"/>
  <c r="G143" i="13"/>
  <c r="F143" i="13"/>
  <c r="E143" i="13"/>
  <c r="D143" i="13"/>
  <c r="C143" i="13"/>
  <c r="B143" i="13"/>
  <c r="A143" i="13"/>
  <c r="H142" i="13"/>
  <c r="G142" i="13"/>
  <c r="F142" i="13"/>
  <c r="E142" i="13"/>
  <c r="D142" i="13"/>
  <c r="C142" i="13"/>
  <c r="B142" i="13"/>
  <c r="A142" i="13"/>
  <c r="H141" i="13"/>
  <c r="G141" i="13"/>
  <c r="F141" i="13"/>
  <c r="E141" i="13"/>
  <c r="D141" i="13"/>
  <c r="C141" i="13"/>
  <c r="B141" i="13"/>
  <c r="A141" i="13"/>
  <c r="H140" i="13"/>
  <c r="G140" i="13"/>
  <c r="F140" i="13"/>
  <c r="E140" i="13"/>
  <c r="D140" i="13"/>
  <c r="C140" i="13"/>
  <c r="B140" i="13"/>
  <c r="A140" i="13"/>
  <c r="H139" i="13"/>
  <c r="G139" i="13"/>
  <c r="F139" i="13"/>
  <c r="E139" i="13"/>
  <c r="D139" i="13"/>
  <c r="C139" i="13"/>
  <c r="B139" i="13"/>
  <c r="A139" i="13"/>
  <c r="H138" i="13"/>
  <c r="G138" i="13"/>
  <c r="F138" i="13"/>
  <c r="E138" i="13"/>
  <c r="D138" i="13"/>
  <c r="C138" i="13"/>
  <c r="B138" i="13"/>
  <c r="A138" i="13"/>
  <c r="H137" i="13"/>
  <c r="G137" i="13"/>
  <c r="F137" i="13"/>
  <c r="E137" i="13"/>
  <c r="D137" i="13"/>
  <c r="C137" i="13"/>
  <c r="B137" i="13"/>
  <c r="A137" i="13"/>
  <c r="H136" i="13"/>
  <c r="G136" i="13"/>
  <c r="F136" i="13"/>
  <c r="E136" i="13"/>
  <c r="D136" i="13"/>
  <c r="C136" i="13"/>
  <c r="B136" i="13"/>
  <c r="A136" i="13"/>
  <c r="H135" i="13"/>
  <c r="G135" i="13"/>
  <c r="F135" i="13"/>
  <c r="E135" i="13"/>
  <c r="D135" i="13"/>
  <c r="C135" i="13"/>
  <c r="B135" i="13"/>
  <c r="A135" i="13"/>
  <c r="H134" i="13"/>
  <c r="G134" i="13"/>
  <c r="F134" i="13"/>
  <c r="E134" i="13"/>
  <c r="D134" i="13"/>
  <c r="C134" i="13"/>
  <c r="B134" i="13"/>
  <c r="A134" i="13"/>
  <c r="H133" i="13"/>
  <c r="G133" i="13"/>
  <c r="F133" i="13"/>
  <c r="E133" i="13"/>
  <c r="D133" i="13"/>
  <c r="C133" i="13"/>
  <c r="B133" i="13"/>
  <c r="A133" i="13"/>
  <c r="H132" i="13"/>
  <c r="G132" i="13"/>
  <c r="F132" i="13"/>
  <c r="E132" i="13"/>
  <c r="D132" i="13"/>
  <c r="C132" i="13"/>
  <c r="B132" i="13"/>
  <c r="A132" i="13"/>
  <c r="H131" i="13"/>
  <c r="G131" i="13"/>
  <c r="F131" i="13"/>
  <c r="E131" i="13"/>
  <c r="D131" i="13"/>
  <c r="C131" i="13"/>
  <c r="B131" i="13"/>
  <c r="A131" i="13"/>
  <c r="H130" i="13"/>
  <c r="G130" i="13"/>
  <c r="F130" i="13"/>
  <c r="E130" i="13"/>
  <c r="D130" i="13"/>
  <c r="C130" i="13"/>
  <c r="B130" i="13"/>
  <c r="A130" i="13"/>
  <c r="E129" i="13"/>
  <c r="D129" i="13"/>
  <c r="C129" i="13"/>
  <c r="B129" i="13"/>
  <c r="A129" i="13"/>
  <c r="E128" i="13"/>
  <c r="D128" i="13"/>
  <c r="C128" i="13"/>
  <c r="B128" i="13"/>
  <c r="A128" i="13"/>
  <c r="E127" i="13"/>
  <c r="D127" i="13"/>
  <c r="C127" i="13"/>
  <c r="B127" i="13"/>
  <c r="A127" i="13"/>
  <c r="E126" i="13"/>
  <c r="D126" i="13"/>
  <c r="C126" i="13"/>
  <c r="B126" i="13"/>
  <c r="A126" i="13"/>
  <c r="E125" i="13"/>
  <c r="D125" i="13"/>
  <c r="C125" i="13"/>
  <c r="B125" i="13"/>
  <c r="A125" i="13"/>
  <c r="E124" i="13"/>
  <c r="D124" i="13"/>
  <c r="C124" i="13"/>
  <c r="B124" i="13"/>
  <c r="A124" i="13"/>
  <c r="E123" i="13"/>
  <c r="D123" i="13"/>
  <c r="C123" i="13"/>
  <c r="B123" i="13"/>
  <c r="A123" i="13"/>
  <c r="E122" i="13"/>
  <c r="D122" i="13"/>
  <c r="C122" i="13"/>
  <c r="B122" i="13"/>
  <c r="A122" i="13"/>
  <c r="E121" i="13"/>
  <c r="D121" i="13"/>
  <c r="C121" i="13"/>
  <c r="B121" i="13"/>
  <c r="A121" i="13"/>
  <c r="E120" i="13"/>
  <c r="D120" i="13"/>
  <c r="C120" i="13"/>
  <c r="B120" i="13"/>
  <c r="A120" i="13"/>
  <c r="E119" i="13"/>
  <c r="D119" i="13"/>
  <c r="C119" i="13"/>
  <c r="B119" i="13"/>
  <c r="A119" i="13"/>
  <c r="E118" i="13"/>
  <c r="D118" i="13"/>
  <c r="C118" i="13"/>
  <c r="B118" i="13"/>
  <c r="A118" i="13"/>
  <c r="E117" i="13"/>
  <c r="D117" i="13"/>
  <c r="C117" i="13"/>
  <c r="B117" i="13"/>
  <c r="A117" i="13"/>
  <c r="E116" i="13"/>
  <c r="D116" i="13"/>
  <c r="C116" i="13"/>
  <c r="B116" i="13"/>
  <c r="A116" i="13"/>
  <c r="E115" i="13"/>
  <c r="D115" i="13"/>
  <c r="C115" i="13"/>
  <c r="B115" i="13"/>
  <c r="A115" i="13"/>
  <c r="E114" i="13"/>
  <c r="D114" i="13"/>
  <c r="C114" i="13"/>
  <c r="B114" i="13"/>
  <c r="A114" i="13"/>
  <c r="E113" i="13"/>
  <c r="D113" i="13"/>
  <c r="C113" i="13"/>
  <c r="B113" i="13"/>
  <c r="A113" i="13"/>
  <c r="E112" i="13"/>
  <c r="D112" i="13"/>
  <c r="C112" i="13"/>
  <c r="B112" i="13"/>
  <c r="A112" i="13"/>
  <c r="E111" i="13"/>
  <c r="D111" i="13"/>
  <c r="C111" i="13"/>
  <c r="B111" i="13"/>
  <c r="A111" i="13"/>
  <c r="E110" i="13"/>
  <c r="D110" i="13"/>
  <c r="C110" i="13"/>
  <c r="B110" i="13"/>
  <c r="A110" i="13"/>
  <c r="E109" i="13"/>
  <c r="D109" i="13"/>
  <c r="C109" i="13"/>
  <c r="B109" i="13"/>
  <c r="A109" i="13"/>
  <c r="E108" i="13"/>
  <c r="D108" i="13"/>
  <c r="C108" i="13"/>
  <c r="B108" i="13"/>
  <c r="A108" i="13"/>
  <c r="E107" i="13"/>
  <c r="D107" i="13"/>
  <c r="C107" i="13"/>
  <c r="B107" i="13"/>
  <c r="A107" i="13"/>
  <c r="E106" i="13"/>
  <c r="D106" i="13"/>
  <c r="C106" i="13"/>
  <c r="B106" i="13"/>
  <c r="A106" i="13"/>
  <c r="E105" i="13"/>
  <c r="D105" i="13"/>
  <c r="C105" i="13"/>
  <c r="B105" i="13"/>
  <c r="A105" i="13"/>
  <c r="E104" i="13"/>
  <c r="D104" i="13"/>
  <c r="C104" i="13"/>
  <c r="B104" i="13"/>
  <c r="A104" i="13"/>
  <c r="E103" i="13"/>
  <c r="D103" i="13"/>
  <c r="C103" i="13"/>
  <c r="B103" i="13"/>
  <c r="A103" i="13"/>
  <c r="E102" i="13"/>
  <c r="D102" i="13"/>
  <c r="C102" i="13"/>
  <c r="B102" i="13"/>
  <c r="A102" i="13"/>
  <c r="E101" i="13"/>
  <c r="D101" i="13"/>
  <c r="C101" i="13"/>
  <c r="B101" i="13"/>
  <c r="A101" i="13"/>
  <c r="E100" i="13"/>
  <c r="D100" i="13"/>
  <c r="C100" i="13"/>
  <c r="B100" i="13"/>
  <c r="A100" i="13"/>
  <c r="E99" i="13"/>
  <c r="D99" i="13"/>
  <c r="C99" i="13"/>
  <c r="B99" i="13"/>
  <c r="A99" i="13"/>
  <c r="E98" i="13"/>
  <c r="D98" i="13"/>
  <c r="C98" i="13"/>
  <c r="B98" i="13"/>
  <c r="A98" i="13"/>
  <c r="E97" i="13"/>
  <c r="D97" i="13"/>
  <c r="C97" i="13"/>
  <c r="B97" i="13"/>
  <c r="A97" i="13"/>
  <c r="E96" i="13"/>
  <c r="D96" i="13"/>
  <c r="C96" i="13"/>
  <c r="B96" i="13"/>
  <c r="A96" i="13"/>
  <c r="E95" i="13"/>
  <c r="D95" i="13"/>
  <c r="C95" i="13"/>
  <c r="B95" i="13"/>
  <c r="A95" i="13"/>
  <c r="E94" i="13"/>
  <c r="D94" i="13"/>
  <c r="C94" i="13"/>
  <c r="B94" i="13"/>
  <c r="A94" i="13"/>
  <c r="E93" i="13"/>
  <c r="D93" i="13"/>
  <c r="C93" i="13"/>
  <c r="B93" i="13"/>
  <c r="A93" i="13"/>
  <c r="E92" i="13"/>
  <c r="D92" i="13"/>
  <c r="C92" i="13"/>
  <c r="B92" i="13"/>
  <c r="A92" i="13"/>
  <c r="E91" i="13"/>
  <c r="D91" i="13"/>
  <c r="C91" i="13"/>
  <c r="B91" i="13"/>
  <c r="A91" i="13"/>
  <c r="E90" i="13"/>
  <c r="D90" i="13"/>
  <c r="C90" i="13"/>
  <c r="B90" i="13"/>
  <c r="A90" i="13"/>
  <c r="E89" i="13"/>
  <c r="D89" i="13"/>
  <c r="C89" i="13"/>
  <c r="B89" i="13"/>
  <c r="A89" i="13"/>
  <c r="E88" i="13"/>
  <c r="D88" i="13"/>
  <c r="C88" i="13"/>
  <c r="B88" i="13"/>
  <c r="A88" i="13"/>
  <c r="E87" i="13"/>
  <c r="D87" i="13"/>
  <c r="C87" i="13"/>
  <c r="B87" i="13"/>
  <c r="A87" i="13"/>
  <c r="E86" i="13"/>
  <c r="D86" i="13"/>
  <c r="C86" i="13"/>
  <c r="B86" i="13"/>
  <c r="A86" i="13"/>
  <c r="E85" i="13"/>
  <c r="D85" i="13"/>
  <c r="C85" i="13"/>
  <c r="B85" i="13"/>
  <c r="A85" i="13"/>
  <c r="E84" i="13"/>
  <c r="D84" i="13"/>
  <c r="C84" i="13"/>
  <c r="B84" i="13"/>
  <c r="A84" i="13"/>
  <c r="E83" i="13"/>
  <c r="D83" i="13"/>
  <c r="C83" i="13"/>
  <c r="B83" i="13"/>
  <c r="A83" i="13"/>
  <c r="E82" i="13"/>
  <c r="D82" i="13"/>
  <c r="C82" i="13"/>
  <c r="B82" i="13"/>
  <c r="A82" i="13"/>
  <c r="E81" i="13"/>
  <c r="D81" i="13"/>
  <c r="C81" i="13"/>
  <c r="B81" i="13"/>
  <c r="A81" i="13"/>
  <c r="E80" i="13"/>
  <c r="D80" i="13"/>
  <c r="C80" i="13"/>
  <c r="B80" i="13"/>
  <c r="A80" i="13"/>
  <c r="E79" i="13"/>
  <c r="D79" i="13"/>
  <c r="C79" i="13"/>
  <c r="B79" i="13"/>
  <c r="A79" i="13"/>
  <c r="E78" i="13"/>
  <c r="D78" i="13"/>
  <c r="C78" i="13"/>
  <c r="B78" i="13"/>
  <c r="A78" i="13"/>
  <c r="E77" i="13"/>
  <c r="D77" i="13"/>
  <c r="C77" i="13"/>
  <c r="B77" i="13"/>
  <c r="A77" i="13"/>
  <c r="E76" i="13"/>
  <c r="D76" i="13"/>
  <c r="C76" i="13"/>
  <c r="B76" i="13"/>
  <c r="A76" i="13"/>
  <c r="E75" i="13"/>
  <c r="D75" i="13"/>
  <c r="C75" i="13"/>
  <c r="B75" i="13"/>
  <c r="A75" i="13"/>
  <c r="E74" i="13"/>
  <c r="D74" i="13"/>
  <c r="C74" i="13"/>
  <c r="B74" i="13"/>
  <c r="A74" i="13"/>
  <c r="E73" i="13"/>
  <c r="D73" i="13"/>
  <c r="C73" i="13"/>
  <c r="B73" i="13"/>
  <c r="A73" i="13"/>
  <c r="E72" i="13"/>
  <c r="D72" i="13"/>
  <c r="C72" i="13"/>
  <c r="B72" i="13"/>
  <c r="A72" i="13"/>
  <c r="E71" i="13"/>
  <c r="D71" i="13"/>
  <c r="C71" i="13"/>
  <c r="B71" i="13"/>
  <c r="A71" i="13"/>
  <c r="E70" i="13"/>
  <c r="D70" i="13"/>
  <c r="C70" i="13"/>
  <c r="B70" i="13"/>
  <c r="A70" i="13"/>
  <c r="E69" i="13"/>
  <c r="D69" i="13"/>
  <c r="C69" i="13"/>
  <c r="B69" i="13"/>
  <c r="A69" i="13"/>
  <c r="E68" i="13"/>
  <c r="D68" i="13"/>
  <c r="C68" i="13"/>
  <c r="B68" i="13"/>
  <c r="A68" i="13"/>
  <c r="E67" i="13"/>
  <c r="D67" i="13"/>
  <c r="C67" i="13"/>
  <c r="B67" i="13"/>
  <c r="A67" i="13"/>
  <c r="E66" i="13"/>
  <c r="D66" i="13"/>
  <c r="C66" i="13"/>
  <c r="B66" i="13"/>
  <c r="A66" i="13"/>
  <c r="E65" i="13"/>
  <c r="D65" i="13"/>
  <c r="C65" i="13"/>
  <c r="B65" i="13"/>
  <c r="A65" i="13"/>
  <c r="E64" i="13"/>
  <c r="D64" i="13"/>
  <c r="C64" i="13"/>
  <c r="B64" i="13"/>
  <c r="A64" i="13"/>
  <c r="E63" i="13"/>
  <c r="D63" i="13"/>
  <c r="C63" i="13"/>
  <c r="B63" i="13"/>
  <c r="A63" i="13"/>
  <c r="E62" i="13"/>
  <c r="D62" i="13"/>
  <c r="C62" i="13"/>
  <c r="B62" i="13"/>
  <c r="A62" i="13"/>
  <c r="E61" i="13"/>
  <c r="D61" i="13"/>
  <c r="C61" i="13"/>
  <c r="B61" i="13"/>
  <c r="A61" i="13"/>
  <c r="E60" i="13"/>
  <c r="D60" i="13"/>
  <c r="C60" i="13"/>
  <c r="B60" i="13"/>
  <c r="A60" i="13"/>
  <c r="E59" i="13"/>
  <c r="D59" i="13"/>
  <c r="C59" i="13"/>
  <c r="B59" i="13"/>
  <c r="A59" i="13"/>
  <c r="E58" i="13"/>
  <c r="D58" i="13"/>
  <c r="C58" i="13"/>
  <c r="B58" i="13"/>
  <c r="A58" i="13"/>
  <c r="E57" i="13"/>
  <c r="D57" i="13"/>
  <c r="C57" i="13"/>
  <c r="B57" i="13"/>
  <c r="A57" i="13"/>
  <c r="E56" i="13"/>
  <c r="D56" i="13"/>
  <c r="C56" i="13"/>
  <c r="B56" i="13"/>
  <c r="A56" i="13"/>
  <c r="E55" i="13"/>
  <c r="D55" i="13"/>
  <c r="C55" i="13"/>
  <c r="B55" i="13"/>
  <c r="A55" i="13"/>
  <c r="E54" i="13"/>
  <c r="D54" i="13"/>
  <c r="C54" i="13"/>
  <c r="B54" i="13"/>
  <c r="A54" i="13"/>
  <c r="E53" i="13"/>
  <c r="D53" i="13"/>
  <c r="C53" i="13"/>
  <c r="B53" i="13"/>
  <c r="A53" i="13"/>
  <c r="E52" i="13"/>
  <c r="D52" i="13"/>
  <c r="C52" i="13"/>
  <c r="B52" i="13"/>
  <c r="A52" i="13"/>
  <c r="E51" i="13"/>
  <c r="D51" i="13"/>
  <c r="C51" i="13"/>
  <c r="B51" i="13"/>
  <c r="A51" i="13"/>
  <c r="E50" i="13"/>
  <c r="D50" i="13"/>
  <c r="C50" i="13"/>
  <c r="B50" i="13"/>
  <c r="A50" i="13"/>
  <c r="E49" i="13"/>
  <c r="D49" i="13"/>
  <c r="C49" i="13"/>
  <c r="B49" i="13"/>
  <c r="A49" i="13"/>
  <c r="E48" i="13"/>
  <c r="D48" i="13"/>
  <c r="C48" i="13"/>
  <c r="B48" i="13"/>
  <c r="A48" i="13"/>
  <c r="E47" i="13"/>
  <c r="D47" i="13"/>
  <c r="C47" i="13"/>
  <c r="B47" i="13"/>
  <c r="A47" i="13"/>
  <c r="E46" i="13"/>
  <c r="D46" i="13"/>
  <c r="C46" i="13"/>
  <c r="B46" i="13"/>
  <c r="A46" i="13"/>
  <c r="E45" i="13"/>
  <c r="D45" i="13"/>
  <c r="C45" i="13"/>
  <c r="B45" i="13"/>
  <c r="A45" i="13"/>
  <c r="E44" i="13"/>
  <c r="D44" i="13"/>
  <c r="C44" i="13"/>
  <c r="B44" i="13"/>
  <c r="A44" i="13"/>
  <c r="E43" i="13"/>
  <c r="D43" i="13"/>
  <c r="C43" i="13"/>
  <c r="B43" i="13"/>
  <c r="A43" i="13"/>
  <c r="E42" i="13"/>
  <c r="D42" i="13"/>
  <c r="C42" i="13"/>
  <c r="B42" i="13"/>
  <c r="A42" i="13"/>
  <c r="A28" i="13"/>
  <c r="A27" i="13"/>
  <c r="V27" i="13" s="1"/>
  <c r="A26" i="13"/>
  <c r="A25" i="13"/>
  <c r="T25" i="13" s="1"/>
  <c r="A24" i="13"/>
  <c r="T24" i="13" s="1"/>
  <c r="A23" i="13"/>
  <c r="A22" i="13"/>
  <c r="K22" i="13" s="1"/>
  <c r="A21" i="13"/>
  <c r="M21" i="13" s="1"/>
  <c r="A20" i="13"/>
  <c r="M20" i="13" s="1"/>
  <c r="A19" i="13"/>
  <c r="L19" i="13" s="1"/>
  <c r="A18" i="13"/>
  <c r="A17" i="13"/>
  <c r="M17" i="13" s="1"/>
  <c r="A16" i="13"/>
  <c r="M16" i="13" s="1"/>
  <c r="A15" i="13"/>
  <c r="A14" i="13"/>
  <c r="M14" i="13" s="1"/>
  <c r="A13" i="13"/>
  <c r="A12" i="13"/>
  <c r="M12" i="13" s="1"/>
  <c r="A11" i="13"/>
  <c r="A10" i="13"/>
  <c r="L10" i="13" s="1"/>
  <c r="A9" i="13"/>
  <c r="A8" i="13"/>
  <c r="K8" i="13" s="1"/>
  <c r="A7" i="13"/>
  <c r="A6" i="13"/>
  <c r="L6" i="13" s="1"/>
  <c r="A5" i="13"/>
  <c r="M5" i="13" s="1"/>
  <c r="A4" i="13"/>
  <c r="C76" i="12"/>
  <c r="J75" i="12"/>
  <c r="I75" i="12"/>
  <c r="H75" i="12"/>
  <c r="G75" i="12"/>
  <c r="F75" i="12"/>
  <c r="E75" i="12"/>
  <c r="D75" i="12"/>
  <c r="C75" i="12"/>
  <c r="M75" i="12" s="1"/>
  <c r="B75" i="12"/>
  <c r="J74" i="12"/>
  <c r="I74" i="12"/>
  <c r="H74" i="12"/>
  <c r="G74" i="12"/>
  <c r="F74" i="12"/>
  <c r="E74" i="12"/>
  <c r="D74" i="12"/>
  <c r="C74" i="12"/>
  <c r="M74" i="12" s="1"/>
  <c r="B74" i="12"/>
  <c r="J73" i="12"/>
  <c r="I73" i="12"/>
  <c r="H73" i="12"/>
  <c r="G73" i="12"/>
  <c r="F73" i="12"/>
  <c r="E73" i="12"/>
  <c r="D73" i="12"/>
  <c r="C73" i="12"/>
  <c r="M73" i="12" s="1"/>
  <c r="B73" i="12"/>
  <c r="J72" i="12"/>
  <c r="I72" i="12"/>
  <c r="H72" i="12"/>
  <c r="G72" i="12"/>
  <c r="F72" i="12"/>
  <c r="E72" i="12"/>
  <c r="D72" i="12"/>
  <c r="C72" i="12"/>
  <c r="M72" i="12" s="1"/>
  <c r="B72" i="12"/>
  <c r="J71" i="12"/>
  <c r="I71" i="12"/>
  <c r="H71" i="12"/>
  <c r="G71" i="12"/>
  <c r="F71" i="12"/>
  <c r="E71" i="12"/>
  <c r="D71" i="12"/>
  <c r="C71" i="12"/>
  <c r="M71" i="12" s="1"/>
  <c r="B71" i="12"/>
  <c r="J70" i="12"/>
  <c r="I70" i="12"/>
  <c r="H70" i="12"/>
  <c r="G70" i="12"/>
  <c r="F70" i="12"/>
  <c r="E70" i="12"/>
  <c r="D70" i="12"/>
  <c r="C70" i="12"/>
  <c r="M70" i="12" s="1"/>
  <c r="B70" i="12"/>
  <c r="J69" i="12"/>
  <c r="I69" i="12"/>
  <c r="H69" i="12"/>
  <c r="G69" i="12"/>
  <c r="F69" i="12"/>
  <c r="E69" i="12"/>
  <c r="D69" i="12"/>
  <c r="C69" i="12"/>
  <c r="M69" i="12" s="1"/>
  <c r="B69" i="12"/>
  <c r="J68" i="12"/>
  <c r="I68" i="12"/>
  <c r="H68" i="12"/>
  <c r="G68" i="12"/>
  <c r="F68" i="12"/>
  <c r="E68" i="12"/>
  <c r="D68" i="12"/>
  <c r="C68" i="12"/>
  <c r="M68" i="12" s="1"/>
  <c r="B68" i="12"/>
  <c r="J67" i="12"/>
  <c r="I67" i="12"/>
  <c r="H67" i="12"/>
  <c r="G67" i="12"/>
  <c r="F67" i="12"/>
  <c r="E67" i="12"/>
  <c r="D67" i="12"/>
  <c r="C67" i="12"/>
  <c r="M67" i="12" s="1"/>
  <c r="B67" i="12"/>
  <c r="J66" i="12"/>
  <c r="I66" i="12"/>
  <c r="H66" i="12"/>
  <c r="G66" i="12"/>
  <c r="F66" i="12"/>
  <c r="E66" i="12"/>
  <c r="D66" i="12"/>
  <c r="C66" i="12"/>
  <c r="M66" i="12" s="1"/>
  <c r="B66" i="12"/>
  <c r="J65" i="12"/>
  <c r="I65" i="12"/>
  <c r="H65" i="12"/>
  <c r="G65" i="12"/>
  <c r="F65" i="12"/>
  <c r="E65" i="12"/>
  <c r="D65" i="12"/>
  <c r="C65" i="12"/>
  <c r="M65" i="12" s="1"/>
  <c r="B65" i="12"/>
  <c r="J64" i="12"/>
  <c r="I64" i="12"/>
  <c r="H64" i="12"/>
  <c r="G64" i="12"/>
  <c r="F64" i="12"/>
  <c r="E64" i="12"/>
  <c r="D64" i="12"/>
  <c r="C64" i="12"/>
  <c r="M64" i="12" s="1"/>
  <c r="B64" i="12"/>
  <c r="J63" i="12"/>
  <c r="I63" i="12"/>
  <c r="H63" i="12"/>
  <c r="G63" i="12"/>
  <c r="F63" i="12"/>
  <c r="E63" i="12"/>
  <c r="D63" i="12"/>
  <c r="C63" i="12"/>
  <c r="M63" i="12" s="1"/>
  <c r="B63" i="12"/>
  <c r="J62" i="12"/>
  <c r="I62" i="12"/>
  <c r="H62" i="12"/>
  <c r="G62" i="12"/>
  <c r="F62" i="12"/>
  <c r="E62" i="12"/>
  <c r="D62" i="12"/>
  <c r="C62" i="12"/>
  <c r="M62" i="12" s="1"/>
  <c r="B62" i="12"/>
  <c r="J61" i="12"/>
  <c r="I61" i="12"/>
  <c r="H61" i="12"/>
  <c r="G61" i="12"/>
  <c r="F61" i="12"/>
  <c r="E61" i="12"/>
  <c r="D61" i="12"/>
  <c r="C61" i="12"/>
  <c r="M61" i="12" s="1"/>
  <c r="B61" i="12"/>
  <c r="J60" i="12"/>
  <c r="I60" i="12"/>
  <c r="H60" i="12"/>
  <c r="G60" i="12"/>
  <c r="F60" i="12"/>
  <c r="E60" i="12"/>
  <c r="D60" i="12"/>
  <c r="C60" i="12"/>
  <c r="M60" i="12" s="1"/>
  <c r="B60" i="12"/>
  <c r="J59" i="12"/>
  <c r="I59" i="12"/>
  <c r="H59" i="12"/>
  <c r="G59" i="12"/>
  <c r="F59" i="12"/>
  <c r="E59" i="12"/>
  <c r="D59" i="12"/>
  <c r="C59" i="12"/>
  <c r="M59" i="12" s="1"/>
  <c r="B59" i="12"/>
  <c r="J58" i="12"/>
  <c r="I58" i="12"/>
  <c r="H58" i="12"/>
  <c r="G58" i="12"/>
  <c r="F58" i="12"/>
  <c r="E58" i="12"/>
  <c r="D58" i="12"/>
  <c r="C58" i="12"/>
  <c r="M58" i="12" s="1"/>
  <c r="B58" i="12"/>
  <c r="J57" i="12"/>
  <c r="I57" i="12"/>
  <c r="H57" i="12"/>
  <c r="G57" i="12"/>
  <c r="F57" i="12"/>
  <c r="E57" i="12"/>
  <c r="D57" i="12"/>
  <c r="C57" i="12"/>
  <c r="M57" i="12" s="1"/>
  <c r="B57" i="12"/>
  <c r="J56" i="12"/>
  <c r="I56" i="12"/>
  <c r="H56" i="12"/>
  <c r="G56" i="12"/>
  <c r="F56" i="12"/>
  <c r="E56" i="12"/>
  <c r="D56" i="12"/>
  <c r="C56" i="12"/>
  <c r="M56" i="12" s="1"/>
  <c r="B56" i="12"/>
  <c r="J55" i="12"/>
  <c r="I55" i="12"/>
  <c r="H55" i="12"/>
  <c r="G55" i="12"/>
  <c r="F55" i="12"/>
  <c r="E55" i="12"/>
  <c r="D55" i="12"/>
  <c r="C55" i="12"/>
  <c r="M55" i="12" s="1"/>
  <c r="B55" i="12"/>
  <c r="J54" i="12"/>
  <c r="I54" i="12"/>
  <c r="H54" i="12"/>
  <c r="G54" i="12"/>
  <c r="F54" i="12"/>
  <c r="E54" i="12"/>
  <c r="D54" i="12"/>
  <c r="C54" i="12"/>
  <c r="M54" i="12" s="1"/>
  <c r="B54" i="12"/>
  <c r="J53" i="12"/>
  <c r="I53" i="12"/>
  <c r="H53" i="12"/>
  <c r="G53" i="12"/>
  <c r="F53" i="12"/>
  <c r="E53" i="12"/>
  <c r="D53" i="12"/>
  <c r="C53" i="12"/>
  <c r="M53" i="12" s="1"/>
  <c r="B53" i="12"/>
  <c r="J52" i="12"/>
  <c r="I52" i="12"/>
  <c r="H52" i="12"/>
  <c r="G52" i="12"/>
  <c r="F52" i="12"/>
  <c r="E52" i="12"/>
  <c r="D52" i="12"/>
  <c r="C52" i="12"/>
  <c r="M52" i="12" s="1"/>
  <c r="B52" i="12"/>
  <c r="J51" i="12"/>
  <c r="I51" i="12"/>
  <c r="H51" i="12"/>
  <c r="G51" i="12"/>
  <c r="F51" i="12"/>
  <c r="E51" i="12"/>
  <c r="D51" i="12"/>
  <c r="C51" i="12"/>
  <c r="M51" i="12" s="1"/>
  <c r="B51" i="12"/>
  <c r="J50" i="12"/>
  <c r="I50" i="12"/>
  <c r="H50" i="12"/>
  <c r="G50" i="12"/>
  <c r="F50" i="12"/>
  <c r="E50" i="12"/>
  <c r="D50" i="12"/>
  <c r="C50" i="12"/>
  <c r="M50" i="12" s="1"/>
  <c r="B50" i="12"/>
  <c r="J49" i="12"/>
  <c r="I49" i="12"/>
  <c r="H49" i="12"/>
  <c r="G49" i="12"/>
  <c r="F49" i="12"/>
  <c r="E49" i="12"/>
  <c r="D49" i="12"/>
  <c r="C49" i="12"/>
  <c r="M49" i="12" s="1"/>
  <c r="B49" i="12"/>
  <c r="J48" i="12"/>
  <c r="I48" i="12"/>
  <c r="H48" i="12"/>
  <c r="G48" i="12"/>
  <c r="F48" i="12"/>
  <c r="E48" i="12"/>
  <c r="D48" i="12"/>
  <c r="C48" i="12"/>
  <c r="M48" i="12" s="1"/>
  <c r="B48" i="12"/>
  <c r="J47" i="12"/>
  <c r="I47" i="12"/>
  <c r="H47" i="12"/>
  <c r="G47" i="12"/>
  <c r="F47" i="12"/>
  <c r="E47" i="12"/>
  <c r="D47" i="12"/>
  <c r="C47" i="12"/>
  <c r="M47" i="12" s="1"/>
  <c r="B47" i="12"/>
  <c r="J46" i="12"/>
  <c r="I46" i="12"/>
  <c r="H46" i="12"/>
  <c r="G46" i="12"/>
  <c r="F46" i="12"/>
  <c r="E46" i="12"/>
  <c r="D46" i="12"/>
  <c r="C46" i="12"/>
  <c r="M46" i="12" s="1"/>
  <c r="B46" i="12"/>
  <c r="J45" i="12"/>
  <c r="I45" i="12"/>
  <c r="H45" i="12"/>
  <c r="G45" i="12"/>
  <c r="F45" i="12"/>
  <c r="E45" i="12"/>
  <c r="D45" i="12"/>
  <c r="C45" i="12"/>
  <c r="M45" i="12" s="1"/>
  <c r="B45" i="12"/>
  <c r="J44" i="12"/>
  <c r="I44" i="12"/>
  <c r="H44" i="12"/>
  <c r="G44" i="12"/>
  <c r="F44" i="12"/>
  <c r="E44" i="12"/>
  <c r="D44" i="12"/>
  <c r="C44" i="12"/>
  <c r="M44" i="12" s="1"/>
  <c r="B44" i="12"/>
  <c r="J43" i="12"/>
  <c r="I43" i="12"/>
  <c r="H43" i="12"/>
  <c r="G43" i="12"/>
  <c r="F43" i="12"/>
  <c r="E43" i="12"/>
  <c r="D43" i="12"/>
  <c r="C43" i="12"/>
  <c r="M43" i="12" s="1"/>
  <c r="B43" i="12"/>
  <c r="J42" i="12"/>
  <c r="I42" i="12"/>
  <c r="H42" i="12"/>
  <c r="G42" i="12"/>
  <c r="F42" i="12"/>
  <c r="E42" i="12"/>
  <c r="D42" i="12"/>
  <c r="C42" i="12"/>
  <c r="M42" i="12" s="1"/>
  <c r="B42" i="12"/>
  <c r="J41" i="12"/>
  <c r="I41" i="12"/>
  <c r="H41" i="12"/>
  <c r="G41" i="12"/>
  <c r="F41" i="12"/>
  <c r="E41" i="12"/>
  <c r="D41" i="12"/>
  <c r="C41" i="12"/>
  <c r="M41" i="12" s="1"/>
  <c r="B41" i="12"/>
  <c r="J40" i="12"/>
  <c r="I40" i="12"/>
  <c r="H40" i="12"/>
  <c r="G40" i="12"/>
  <c r="F40" i="12"/>
  <c r="E40" i="12"/>
  <c r="D40" i="12"/>
  <c r="C40" i="12"/>
  <c r="M40" i="12" s="1"/>
  <c r="B40" i="12"/>
  <c r="J39" i="12"/>
  <c r="I39" i="12"/>
  <c r="H39" i="12"/>
  <c r="G39" i="12"/>
  <c r="F39" i="12"/>
  <c r="E39" i="12"/>
  <c r="D39" i="12"/>
  <c r="C39" i="12"/>
  <c r="M39" i="12" s="1"/>
  <c r="B39" i="12"/>
  <c r="J38" i="12"/>
  <c r="I38" i="12"/>
  <c r="H38" i="12"/>
  <c r="G38" i="12"/>
  <c r="F38" i="12"/>
  <c r="E38" i="12"/>
  <c r="D38" i="12"/>
  <c r="C38" i="12"/>
  <c r="M38" i="12" s="1"/>
  <c r="B38" i="12"/>
  <c r="J37" i="12"/>
  <c r="I37" i="12"/>
  <c r="H37" i="12"/>
  <c r="G37" i="12"/>
  <c r="F37" i="12"/>
  <c r="E37" i="12"/>
  <c r="D37" i="12"/>
  <c r="C37" i="12"/>
  <c r="M37" i="12" s="1"/>
  <c r="B37" i="12"/>
  <c r="J36" i="12"/>
  <c r="I36" i="12"/>
  <c r="H36" i="12"/>
  <c r="G36" i="12"/>
  <c r="F36" i="12"/>
  <c r="E36" i="12"/>
  <c r="D36" i="12"/>
  <c r="C36" i="12"/>
  <c r="M36" i="12" s="1"/>
  <c r="B36" i="12"/>
  <c r="J35" i="12"/>
  <c r="I35" i="12"/>
  <c r="H35" i="12"/>
  <c r="G35" i="12"/>
  <c r="F35" i="12"/>
  <c r="E35" i="12"/>
  <c r="D35" i="12"/>
  <c r="C35" i="12"/>
  <c r="M35" i="12" s="1"/>
  <c r="B35" i="12"/>
  <c r="J34" i="12"/>
  <c r="I34" i="12"/>
  <c r="H34" i="12"/>
  <c r="G34" i="12"/>
  <c r="F34" i="12"/>
  <c r="E34" i="12"/>
  <c r="D34" i="12"/>
  <c r="C34" i="12"/>
  <c r="M34" i="12" s="1"/>
  <c r="B34" i="12"/>
  <c r="J33" i="12"/>
  <c r="I33" i="12"/>
  <c r="H33" i="12"/>
  <c r="G33" i="12"/>
  <c r="F33" i="12"/>
  <c r="E33" i="12"/>
  <c r="D33" i="12"/>
  <c r="C33" i="12"/>
  <c r="M33" i="12" s="1"/>
  <c r="B33" i="12"/>
  <c r="J32" i="12"/>
  <c r="I32" i="12"/>
  <c r="H32" i="12"/>
  <c r="G32" i="12"/>
  <c r="F32" i="12"/>
  <c r="E32" i="12"/>
  <c r="D32" i="12"/>
  <c r="C32" i="12"/>
  <c r="M32" i="12" s="1"/>
  <c r="B32" i="12"/>
  <c r="J31" i="12"/>
  <c r="I31" i="12"/>
  <c r="H31" i="12"/>
  <c r="G31" i="12"/>
  <c r="F31" i="12"/>
  <c r="E31" i="12"/>
  <c r="D31" i="12"/>
  <c r="C31" i="12"/>
  <c r="M31" i="12" s="1"/>
  <c r="B31" i="12"/>
  <c r="J30" i="12"/>
  <c r="I30" i="12"/>
  <c r="H30" i="12"/>
  <c r="G30" i="12"/>
  <c r="F30" i="12"/>
  <c r="E30" i="12"/>
  <c r="D30" i="12"/>
  <c r="C30" i="12"/>
  <c r="M30" i="12" s="1"/>
  <c r="B30" i="12"/>
  <c r="J29" i="12"/>
  <c r="I29" i="12"/>
  <c r="H29" i="12"/>
  <c r="G29" i="12"/>
  <c r="F29" i="12"/>
  <c r="E29" i="12"/>
  <c r="D29" i="12"/>
  <c r="C29" i="12"/>
  <c r="M29" i="12" s="1"/>
  <c r="B29" i="12"/>
  <c r="J28" i="12"/>
  <c r="I28" i="12"/>
  <c r="H28" i="12"/>
  <c r="G28" i="12"/>
  <c r="F28" i="12"/>
  <c r="E28" i="12"/>
  <c r="D28" i="12"/>
  <c r="C28" i="12"/>
  <c r="M28" i="12" s="1"/>
  <c r="B28" i="12"/>
  <c r="J27" i="12"/>
  <c r="I27" i="12"/>
  <c r="H27" i="12"/>
  <c r="G27" i="12"/>
  <c r="F27" i="12"/>
  <c r="E27" i="12"/>
  <c r="D27" i="12"/>
  <c r="C27" i="12"/>
  <c r="M27" i="12" s="1"/>
  <c r="B27" i="12"/>
  <c r="J26" i="12"/>
  <c r="I26" i="12"/>
  <c r="H26" i="12"/>
  <c r="G26" i="12"/>
  <c r="F26" i="12"/>
  <c r="E26" i="12"/>
  <c r="D26" i="12"/>
  <c r="C26" i="12"/>
  <c r="M26" i="12" s="1"/>
  <c r="B26" i="12"/>
  <c r="J25" i="12"/>
  <c r="I25" i="12"/>
  <c r="H25" i="12"/>
  <c r="G25" i="12"/>
  <c r="F25" i="12"/>
  <c r="E25" i="12"/>
  <c r="D25" i="12"/>
  <c r="C25" i="12"/>
  <c r="M25" i="12" s="1"/>
  <c r="B25" i="12"/>
  <c r="J24" i="12"/>
  <c r="I24" i="12"/>
  <c r="H24" i="12"/>
  <c r="G24" i="12"/>
  <c r="F24" i="12"/>
  <c r="E24" i="12"/>
  <c r="D24" i="12"/>
  <c r="C24" i="12"/>
  <c r="M24" i="12" s="1"/>
  <c r="B24" i="12"/>
  <c r="J23" i="12"/>
  <c r="I23" i="12"/>
  <c r="H23" i="12"/>
  <c r="G23" i="12"/>
  <c r="F23" i="12"/>
  <c r="E23" i="12"/>
  <c r="D23" i="12"/>
  <c r="C23" i="12"/>
  <c r="M23" i="12" s="1"/>
  <c r="B23" i="12"/>
  <c r="J22" i="12"/>
  <c r="I22" i="12"/>
  <c r="H22" i="12"/>
  <c r="G22" i="12"/>
  <c r="F22" i="12"/>
  <c r="E22" i="12"/>
  <c r="D22" i="12"/>
  <c r="C22" i="12"/>
  <c r="M22" i="12" s="1"/>
  <c r="B22" i="12"/>
  <c r="J21" i="12"/>
  <c r="I21" i="12"/>
  <c r="H21" i="12"/>
  <c r="G21" i="12"/>
  <c r="F21" i="12"/>
  <c r="E21" i="12"/>
  <c r="D21" i="12"/>
  <c r="C21" i="12"/>
  <c r="M21" i="12" s="1"/>
  <c r="B21" i="12"/>
  <c r="J20" i="12"/>
  <c r="I20" i="12"/>
  <c r="H20" i="12"/>
  <c r="G20" i="12"/>
  <c r="F20" i="12"/>
  <c r="E20" i="12"/>
  <c r="D20" i="12"/>
  <c r="C20" i="12"/>
  <c r="M20" i="12" s="1"/>
  <c r="B20" i="12"/>
  <c r="J19" i="12"/>
  <c r="I19" i="12"/>
  <c r="H19" i="12"/>
  <c r="G19" i="12"/>
  <c r="F19" i="12"/>
  <c r="E19" i="12"/>
  <c r="D19" i="12"/>
  <c r="C19" i="12"/>
  <c r="M19" i="12" s="1"/>
  <c r="B19" i="12"/>
  <c r="J18" i="12"/>
  <c r="I18" i="12"/>
  <c r="H18" i="12"/>
  <c r="G18" i="12"/>
  <c r="F18" i="12"/>
  <c r="E18" i="12"/>
  <c r="D18" i="12"/>
  <c r="C18" i="12"/>
  <c r="M18" i="12" s="1"/>
  <c r="B18" i="12"/>
  <c r="J17" i="12"/>
  <c r="I17" i="12"/>
  <c r="H17" i="12"/>
  <c r="G17" i="12"/>
  <c r="F17" i="12"/>
  <c r="E17" i="12"/>
  <c r="D17" i="12"/>
  <c r="C17" i="12"/>
  <c r="M17" i="12" s="1"/>
  <c r="B17" i="12"/>
  <c r="K22" i="11"/>
  <c r="K21" i="11"/>
  <c r="K19" i="11"/>
  <c r="F34" i="16" s="1"/>
  <c r="F19" i="11"/>
  <c r="E34" i="16" s="1"/>
  <c r="E19" i="11"/>
  <c r="K18" i="11"/>
  <c r="F33" i="16" s="1"/>
  <c r="F18" i="11"/>
  <c r="E18" i="11"/>
  <c r="K17" i="11"/>
  <c r="F32" i="16" s="1"/>
  <c r="F17" i="11"/>
  <c r="E17" i="11"/>
  <c r="K16" i="11"/>
  <c r="F31" i="16" s="1"/>
  <c r="F16" i="11"/>
  <c r="E31" i="16" s="1"/>
  <c r="E16" i="11"/>
  <c r="K15" i="11"/>
  <c r="F30" i="16" s="1"/>
  <c r="F15" i="11"/>
  <c r="E15" i="11"/>
  <c r="K14" i="11"/>
  <c r="F29" i="16" s="1"/>
  <c r="F14" i="11"/>
  <c r="E29" i="16" s="1"/>
  <c r="E14" i="11"/>
  <c r="K13" i="11"/>
  <c r="F28" i="16" s="1"/>
  <c r="F13" i="11"/>
  <c r="E28" i="16" s="1"/>
  <c r="E13" i="11"/>
  <c r="K12" i="11"/>
  <c r="F27" i="16" s="1"/>
  <c r="F12" i="11"/>
  <c r="E27" i="16" s="1"/>
  <c r="E12" i="11"/>
  <c r="K11" i="11"/>
  <c r="F26" i="16" s="1"/>
  <c r="F11" i="11"/>
  <c r="E11" i="11"/>
  <c r="K10" i="11"/>
  <c r="F25" i="16" s="1"/>
  <c r="F10" i="11"/>
  <c r="E25" i="16" s="1"/>
  <c r="E10" i="11"/>
  <c r="K9" i="11"/>
  <c r="F24" i="16" s="1"/>
  <c r="F9" i="11"/>
  <c r="E24" i="16" s="1"/>
  <c r="E9" i="11"/>
  <c r="K8" i="11"/>
  <c r="F23" i="16" s="1"/>
  <c r="F8" i="11"/>
  <c r="E23" i="16" s="1"/>
  <c r="E8" i="11"/>
  <c r="K7" i="11"/>
  <c r="F22" i="16" s="1"/>
  <c r="F7" i="11"/>
  <c r="E22" i="16" s="1"/>
  <c r="E7" i="11"/>
  <c r="K6" i="11"/>
  <c r="F21" i="16" s="1"/>
  <c r="F6" i="11"/>
  <c r="E6" i="11"/>
  <c r="K5" i="11"/>
  <c r="F20" i="16" s="1"/>
  <c r="F5" i="11"/>
  <c r="E5" i="11"/>
  <c r="K4" i="11"/>
  <c r="F19" i="16" s="1"/>
  <c r="F4" i="11"/>
  <c r="E19" i="16" s="1"/>
  <c r="E4" i="11"/>
  <c r="R203" i="9"/>
  <c r="Q203" i="9"/>
  <c r="O203" i="9"/>
  <c r="N203" i="9"/>
  <c r="M203" i="9"/>
  <c r="K203" i="9"/>
  <c r="L203" i="9" s="1"/>
  <c r="J203" i="9"/>
  <c r="P203" i="9" s="1"/>
  <c r="I203" i="9"/>
  <c r="H203" i="9"/>
  <c r="G203" i="9"/>
  <c r="F203" i="9"/>
  <c r="E203" i="9"/>
  <c r="D203" i="9"/>
  <c r="C203" i="9"/>
  <c r="B203" i="9"/>
  <c r="B203" i="7" s="1"/>
  <c r="A203" i="9"/>
  <c r="R202" i="9"/>
  <c r="Q202" i="9"/>
  <c r="O202" i="9"/>
  <c r="N202" i="9"/>
  <c r="M202" i="9"/>
  <c r="K202" i="9"/>
  <c r="L202" i="9" s="1"/>
  <c r="J202" i="9"/>
  <c r="P202" i="9" s="1"/>
  <c r="I202" i="9"/>
  <c r="H202" i="9"/>
  <c r="G202" i="9"/>
  <c r="F202" i="9"/>
  <c r="E202" i="9"/>
  <c r="D202" i="9"/>
  <c r="C202" i="9"/>
  <c r="B202" i="9"/>
  <c r="E202" i="7" s="1"/>
  <c r="A202" i="9"/>
  <c r="R201" i="9"/>
  <c r="Q201" i="9"/>
  <c r="O201" i="9"/>
  <c r="N201" i="9"/>
  <c r="M201" i="9"/>
  <c r="K201" i="9"/>
  <c r="L201" i="9" s="1"/>
  <c r="J201" i="9"/>
  <c r="P201" i="9" s="1"/>
  <c r="I201" i="9"/>
  <c r="H201" i="9"/>
  <c r="G201" i="9"/>
  <c r="F201" i="9"/>
  <c r="E201" i="9"/>
  <c r="D201" i="9"/>
  <c r="C201" i="9"/>
  <c r="B201" i="9"/>
  <c r="D201" i="7" s="1"/>
  <c r="A201" i="9"/>
  <c r="R200" i="9"/>
  <c r="Q200" i="9"/>
  <c r="O200" i="9"/>
  <c r="N200" i="9"/>
  <c r="M200" i="9"/>
  <c r="K200" i="9"/>
  <c r="L200" i="9" s="1"/>
  <c r="J200" i="9"/>
  <c r="P200" i="9" s="1"/>
  <c r="I200" i="9"/>
  <c r="H200" i="9"/>
  <c r="G200" i="9"/>
  <c r="F200" i="9"/>
  <c r="E200" i="9"/>
  <c r="D200" i="9"/>
  <c r="C200" i="9"/>
  <c r="B200" i="9"/>
  <c r="F200" i="7" s="1"/>
  <c r="A200" i="9"/>
  <c r="R199" i="9"/>
  <c r="Q199" i="9"/>
  <c r="O199" i="9"/>
  <c r="N199" i="9"/>
  <c r="M199" i="9"/>
  <c r="K199" i="9"/>
  <c r="L199" i="9" s="1"/>
  <c r="J199" i="9"/>
  <c r="P199" i="9" s="1"/>
  <c r="I199" i="9"/>
  <c r="H199" i="9"/>
  <c r="G199" i="9"/>
  <c r="F199" i="9"/>
  <c r="E199" i="9"/>
  <c r="D199" i="9"/>
  <c r="C199" i="9"/>
  <c r="B199" i="9"/>
  <c r="E199" i="7" s="1"/>
  <c r="A199" i="9"/>
  <c r="R198" i="9"/>
  <c r="Q198" i="9"/>
  <c r="O198" i="9"/>
  <c r="N198" i="9"/>
  <c r="M198" i="9"/>
  <c r="K198" i="9"/>
  <c r="L198" i="9" s="1"/>
  <c r="J198" i="9"/>
  <c r="P198" i="9" s="1"/>
  <c r="I198" i="9"/>
  <c r="H198" i="9"/>
  <c r="G198" i="9"/>
  <c r="F198" i="9"/>
  <c r="E198" i="9"/>
  <c r="D198" i="9"/>
  <c r="C198" i="9"/>
  <c r="B198" i="9"/>
  <c r="D198" i="7" s="1"/>
  <c r="A198" i="9"/>
  <c r="R197" i="9"/>
  <c r="Q197" i="9"/>
  <c r="O197" i="9"/>
  <c r="N197" i="9"/>
  <c r="M197" i="9"/>
  <c r="K197" i="9"/>
  <c r="L197" i="9" s="1"/>
  <c r="J197" i="9"/>
  <c r="P197" i="9" s="1"/>
  <c r="I197" i="9"/>
  <c r="H197" i="9"/>
  <c r="G197" i="9"/>
  <c r="F197" i="9"/>
  <c r="E197" i="9"/>
  <c r="D197" i="9"/>
  <c r="C197" i="9"/>
  <c r="B197" i="9"/>
  <c r="D197" i="7" s="1"/>
  <c r="A197" i="9"/>
  <c r="R196" i="9"/>
  <c r="Q196" i="9"/>
  <c r="O196" i="9"/>
  <c r="N196" i="9"/>
  <c r="M196" i="9"/>
  <c r="K196" i="9"/>
  <c r="L196" i="9" s="1"/>
  <c r="J196" i="9"/>
  <c r="P196" i="9" s="1"/>
  <c r="I196" i="9"/>
  <c r="H196" i="9"/>
  <c r="G196" i="9"/>
  <c r="F196" i="9"/>
  <c r="E196" i="9"/>
  <c r="D196" i="9"/>
  <c r="C196" i="9"/>
  <c r="B196" i="9"/>
  <c r="B196" i="7" s="1"/>
  <c r="A196" i="9"/>
  <c r="R195" i="9"/>
  <c r="Q195" i="9"/>
  <c r="O195" i="9"/>
  <c r="N195" i="9"/>
  <c r="M195" i="9"/>
  <c r="K195" i="9"/>
  <c r="L195" i="9" s="1"/>
  <c r="J195" i="9"/>
  <c r="P195" i="9" s="1"/>
  <c r="I195" i="9"/>
  <c r="H195" i="9"/>
  <c r="G195" i="9"/>
  <c r="F195" i="9"/>
  <c r="E195" i="9"/>
  <c r="D195" i="9"/>
  <c r="C195" i="9"/>
  <c r="B195" i="9"/>
  <c r="E195" i="7" s="1"/>
  <c r="A195" i="9"/>
  <c r="R194" i="9"/>
  <c r="Q194" i="9"/>
  <c r="O194" i="9"/>
  <c r="N194" i="9"/>
  <c r="M194" i="9"/>
  <c r="K194" i="9"/>
  <c r="L194" i="9" s="1"/>
  <c r="J194" i="9"/>
  <c r="P194" i="9" s="1"/>
  <c r="I194" i="9"/>
  <c r="H194" i="9"/>
  <c r="G194" i="9"/>
  <c r="F194" i="9"/>
  <c r="E194" i="9"/>
  <c r="D194" i="9"/>
  <c r="C194" i="9"/>
  <c r="B194" i="9"/>
  <c r="B194" i="7" s="1"/>
  <c r="A194" i="9"/>
  <c r="R193" i="9"/>
  <c r="Q193" i="9"/>
  <c r="O193" i="9"/>
  <c r="N193" i="9"/>
  <c r="M193" i="9"/>
  <c r="K193" i="9"/>
  <c r="L193" i="9" s="1"/>
  <c r="J193" i="9"/>
  <c r="P193" i="9" s="1"/>
  <c r="I193" i="9"/>
  <c r="H193" i="9"/>
  <c r="G193" i="9"/>
  <c r="F193" i="9"/>
  <c r="E193" i="9"/>
  <c r="D193" i="9"/>
  <c r="C193" i="9"/>
  <c r="B193" i="9"/>
  <c r="D193" i="7" s="1"/>
  <c r="A193" i="9"/>
  <c r="R192" i="9"/>
  <c r="Q192" i="9"/>
  <c r="O192" i="9"/>
  <c r="N192" i="9"/>
  <c r="M192" i="9"/>
  <c r="K192" i="9"/>
  <c r="L192" i="9" s="1"/>
  <c r="J192" i="9"/>
  <c r="P192" i="9" s="1"/>
  <c r="I192" i="9"/>
  <c r="H192" i="9"/>
  <c r="G192" i="9"/>
  <c r="F192" i="9"/>
  <c r="E192" i="9"/>
  <c r="D192" i="9"/>
  <c r="C192" i="9"/>
  <c r="B192" i="9"/>
  <c r="E192" i="7" s="1"/>
  <c r="A192" i="9"/>
  <c r="R191" i="9"/>
  <c r="Q191" i="9"/>
  <c r="O191" i="9"/>
  <c r="N191" i="9"/>
  <c r="M191" i="9"/>
  <c r="K191" i="9"/>
  <c r="L191" i="9" s="1"/>
  <c r="J191" i="9"/>
  <c r="P191" i="9" s="1"/>
  <c r="I191" i="9"/>
  <c r="H191" i="9"/>
  <c r="G191" i="9"/>
  <c r="F191" i="9"/>
  <c r="E191" i="9"/>
  <c r="D191" i="9"/>
  <c r="C191" i="9"/>
  <c r="B191" i="9"/>
  <c r="D191" i="7" s="1"/>
  <c r="A191" i="9"/>
  <c r="R190" i="9"/>
  <c r="Q190" i="9"/>
  <c r="O190" i="9"/>
  <c r="N190" i="9"/>
  <c r="M190" i="9"/>
  <c r="K190" i="9"/>
  <c r="L190" i="9" s="1"/>
  <c r="J190" i="9"/>
  <c r="P190" i="9" s="1"/>
  <c r="I190" i="9"/>
  <c r="H190" i="9"/>
  <c r="G190" i="9"/>
  <c r="F190" i="9"/>
  <c r="E190" i="9"/>
  <c r="D190" i="9"/>
  <c r="C190" i="9"/>
  <c r="B190" i="9"/>
  <c r="E190" i="7" s="1"/>
  <c r="A190" i="9"/>
  <c r="R189" i="9"/>
  <c r="Q189" i="9"/>
  <c r="O189" i="9"/>
  <c r="N189" i="9"/>
  <c r="M189" i="9"/>
  <c r="K189" i="9"/>
  <c r="L189" i="9" s="1"/>
  <c r="J189" i="9"/>
  <c r="P189" i="9" s="1"/>
  <c r="I189" i="9"/>
  <c r="H189" i="9"/>
  <c r="G189" i="9"/>
  <c r="F189" i="9"/>
  <c r="E189" i="9"/>
  <c r="D189" i="9"/>
  <c r="C189" i="9"/>
  <c r="B189" i="9"/>
  <c r="E189" i="7" s="1"/>
  <c r="A189" i="9"/>
  <c r="R188" i="9"/>
  <c r="Q188" i="9"/>
  <c r="O188" i="9"/>
  <c r="N188" i="9"/>
  <c r="M188" i="9"/>
  <c r="K188" i="9"/>
  <c r="L188" i="9" s="1"/>
  <c r="J188" i="9"/>
  <c r="P188" i="9" s="1"/>
  <c r="I188" i="9"/>
  <c r="H188" i="9"/>
  <c r="G188" i="9"/>
  <c r="F188" i="9"/>
  <c r="E188" i="9"/>
  <c r="D188" i="9"/>
  <c r="C188" i="9"/>
  <c r="B188" i="9"/>
  <c r="D188" i="7" s="1"/>
  <c r="A188" i="9"/>
  <c r="R187" i="9"/>
  <c r="Q187" i="9"/>
  <c r="O187" i="9"/>
  <c r="N187" i="9"/>
  <c r="M187" i="9"/>
  <c r="K187" i="9"/>
  <c r="L187" i="9" s="1"/>
  <c r="J187" i="9"/>
  <c r="P187" i="9" s="1"/>
  <c r="I187" i="9"/>
  <c r="H187" i="9"/>
  <c r="G187" i="9"/>
  <c r="F187" i="9"/>
  <c r="E187" i="9"/>
  <c r="D187" i="9"/>
  <c r="C187" i="9"/>
  <c r="B187" i="9"/>
  <c r="A187" i="7" s="1"/>
  <c r="I187" i="7" s="1"/>
  <c r="A187" i="9"/>
  <c r="R186" i="9"/>
  <c r="Q186" i="9"/>
  <c r="O186" i="9"/>
  <c r="N186" i="9"/>
  <c r="M186" i="9"/>
  <c r="K186" i="9"/>
  <c r="L186" i="9" s="1"/>
  <c r="J186" i="9"/>
  <c r="P186" i="9" s="1"/>
  <c r="I186" i="9"/>
  <c r="H186" i="9"/>
  <c r="G186" i="9"/>
  <c r="F186" i="9"/>
  <c r="E186" i="9"/>
  <c r="D186" i="9"/>
  <c r="C186" i="9"/>
  <c r="B186" i="9"/>
  <c r="F186" i="7" s="1"/>
  <c r="A186" i="9"/>
  <c r="R185" i="9"/>
  <c r="Q185" i="9"/>
  <c r="O185" i="9"/>
  <c r="N185" i="9"/>
  <c r="M185" i="9"/>
  <c r="K185" i="9"/>
  <c r="L185" i="9" s="1"/>
  <c r="J185" i="9"/>
  <c r="P185" i="9" s="1"/>
  <c r="I185" i="9"/>
  <c r="H185" i="9"/>
  <c r="G185" i="9"/>
  <c r="F185" i="9"/>
  <c r="E185" i="9"/>
  <c r="D185" i="9"/>
  <c r="C185" i="9"/>
  <c r="B185" i="9"/>
  <c r="B185" i="7" s="1"/>
  <c r="A185" i="9"/>
  <c r="R184" i="9"/>
  <c r="Q184" i="9"/>
  <c r="O184" i="9"/>
  <c r="N184" i="9"/>
  <c r="M184" i="9"/>
  <c r="K184" i="9"/>
  <c r="L184" i="9" s="1"/>
  <c r="J184" i="9"/>
  <c r="P184" i="9" s="1"/>
  <c r="I184" i="9"/>
  <c r="H184" i="9"/>
  <c r="G184" i="9"/>
  <c r="F184" i="9"/>
  <c r="E184" i="9"/>
  <c r="D184" i="9"/>
  <c r="C184" i="9"/>
  <c r="B184" i="9"/>
  <c r="D184" i="7" s="1"/>
  <c r="A184" i="9"/>
  <c r="R183" i="9"/>
  <c r="Q183" i="9"/>
  <c r="O183" i="9"/>
  <c r="N183" i="9"/>
  <c r="M183" i="9"/>
  <c r="K183" i="9"/>
  <c r="L183" i="9" s="1"/>
  <c r="J183" i="9"/>
  <c r="P183" i="9" s="1"/>
  <c r="I183" i="9"/>
  <c r="H183" i="9"/>
  <c r="G183" i="9"/>
  <c r="F183" i="9"/>
  <c r="E183" i="9"/>
  <c r="D183" i="9"/>
  <c r="C183" i="9"/>
  <c r="B183" i="9"/>
  <c r="A183" i="7" s="1"/>
  <c r="Q183" i="7" s="1"/>
  <c r="A183" i="9"/>
  <c r="R182" i="9"/>
  <c r="Q182" i="9"/>
  <c r="O182" i="9"/>
  <c r="N182" i="9"/>
  <c r="M182" i="9"/>
  <c r="K182" i="9"/>
  <c r="L182" i="9" s="1"/>
  <c r="J182" i="9"/>
  <c r="P182" i="9" s="1"/>
  <c r="I182" i="9"/>
  <c r="H182" i="9"/>
  <c r="G182" i="9"/>
  <c r="F182" i="9"/>
  <c r="E182" i="9"/>
  <c r="D182" i="9"/>
  <c r="C182" i="9"/>
  <c r="B182" i="9"/>
  <c r="E182" i="7" s="1"/>
  <c r="A182" i="9"/>
  <c r="R181" i="9"/>
  <c r="Q181" i="9"/>
  <c r="O181" i="9"/>
  <c r="N181" i="9"/>
  <c r="M181" i="9"/>
  <c r="K181" i="9"/>
  <c r="L181" i="9" s="1"/>
  <c r="J181" i="9"/>
  <c r="P181" i="9" s="1"/>
  <c r="I181" i="9"/>
  <c r="H181" i="9"/>
  <c r="G181" i="9"/>
  <c r="F181" i="9"/>
  <c r="E181" i="9"/>
  <c r="D181" i="9"/>
  <c r="C181" i="9"/>
  <c r="B181" i="9"/>
  <c r="A181" i="7" s="1"/>
  <c r="N181" i="7" s="1"/>
  <c r="A181" i="9"/>
  <c r="R180" i="9"/>
  <c r="Q180" i="9"/>
  <c r="O180" i="9"/>
  <c r="N180" i="9"/>
  <c r="M180" i="9"/>
  <c r="K180" i="9"/>
  <c r="L180" i="9" s="1"/>
  <c r="J180" i="9"/>
  <c r="P180" i="9" s="1"/>
  <c r="I180" i="9"/>
  <c r="H180" i="9"/>
  <c r="G180" i="9"/>
  <c r="F180" i="9"/>
  <c r="E180" i="9"/>
  <c r="D180" i="9"/>
  <c r="C180" i="9"/>
  <c r="B180" i="9"/>
  <c r="A180" i="7" s="1"/>
  <c r="J180" i="7" s="1"/>
  <c r="A180" i="9"/>
  <c r="R179" i="9"/>
  <c r="Q179" i="9"/>
  <c r="O179" i="9"/>
  <c r="N179" i="9"/>
  <c r="M179" i="9"/>
  <c r="K179" i="9"/>
  <c r="L179" i="9" s="1"/>
  <c r="J179" i="9"/>
  <c r="P179" i="9" s="1"/>
  <c r="I179" i="9"/>
  <c r="H179" i="9"/>
  <c r="G179" i="9"/>
  <c r="F179" i="9"/>
  <c r="E179" i="9"/>
  <c r="D179" i="9"/>
  <c r="C179" i="9"/>
  <c r="B179" i="9"/>
  <c r="F179" i="7" s="1"/>
  <c r="A179" i="9"/>
  <c r="R178" i="9"/>
  <c r="Q178" i="9"/>
  <c r="O178" i="9"/>
  <c r="N178" i="9"/>
  <c r="M178" i="9"/>
  <c r="K178" i="9"/>
  <c r="L178" i="9" s="1"/>
  <c r="J178" i="9"/>
  <c r="P178" i="9" s="1"/>
  <c r="I178" i="9"/>
  <c r="H178" i="9"/>
  <c r="G178" i="9"/>
  <c r="F178" i="9"/>
  <c r="E178" i="9"/>
  <c r="D178" i="9"/>
  <c r="C178" i="9"/>
  <c r="B178" i="9"/>
  <c r="A178" i="7" s="1"/>
  <c r="Q178" i="7" s="1"/>
  <c r="A178" i="9"/>
  <c r="R177" i="9"/>
  <c r="Q177" i="9"/>
  <c r="O177" i="9"/>
  <c r="N177" i="9"/>
  <c r="M177" i="9"/>
  <c r="K177" i="9"/>
  <c r="L177" i="9" s="1"/>
  <c r="J177" i="9"/>
  <c r="P177" i="9" s="1"/>
  <c r="I177" i="9"/>
  <c r="H177" i="9"/>
  <c r="G177" i="9"/>
  <c r="F177" i="9"/>
  <c r="E177" i="9"/>
  <c r="D177" i="9"/>
  <c r="C177" i="9"/>
  <c r="B177" i="9"/>
  <c r="D177" i="7" s="1"/>
  <c r="A177" i="9"/>
  <c r="R176" i="9"/>
  <c r="Q176" i="9"/>
  <c r="O176" i="9"/>
  <c r="N176" i="9"/>
  <c r="M176" i="9"/>
  <c r="K176" i="9"/>
  <c r="L176" i="9" s="1"/>
  <c r="J176" i="9"/>
  <c r="P176" i="9" s="1"/>
  <c r="I176" i="9"/>
  <c r="H176" i="9"/>
  <c r="G176" i="9"/>
  <c r="F176" i="9"/>
  <c r="E176" i="9"/>
  <c r="D176" i="9"/>
  <c r="C176" i="9"/>
  <c r="B176" i="9"/>
  <c r="E176" i="7" s="1"/>
  <c r="A176" i="9"/>
  <c r="R175" i="9"/>
  <c r="Q175" i="9"/>
  <c r="O175" i="9"/>
  <c r="N175" i="9"/>
  <c r="M175" i="9"/>
  <c r="K175" i="9"/>
  <c r="L175" i="9" s="1"/>
  <c r="J175" i="9"/>
  <c r="P175" i="9" s="1"/>
  <c r="I175" i="9"/>
  <c r="H175" i="9"/>
  <c r="G175" i="9"/>
  <c r="F175" i="9"/>
  <c r="E175" i="9"/>
  <c r="D175" i="9"/>
  <c r="C175" i="9"/>
  <c r="B175" i="9"/>
  <c r="F175" i="7" s="1"/>
  <c r="A175" i="9"/>
  <c r="R174" i="9"/>
  <c r="Q174" i="9"/>
  <c r="O174" i="9"/>
  <c r="N174" i="9"/>
  <c r="M174" i="9"/>
  <c r="K174" i="9"/>
  <c r="L174" i="9" s="1"/>
  <c r="J174" i="9"/>
  <c r="P174" i="9" s="1"/>
  <c r="I174" i="9"/>
  <c r="H174" i="9"/>
  <c r="G174" i="9"/>
  <c r="F174" i="9"/>
  <c r="E174" i="9"/>
  <c r="D174" i="9"/>
  <c r="C174" i="9"/>
  <c r="B174" i="9"/>
  <c r="E174" i="7" s="1"/>
  <c r="A174" i="9"/>
  <c r="R173" i="9"/>
  <c r="Q173" i="9"/>
  <c r="O173" i="9"/>
  <c r="N173" i="9"/>
  <c r="M173" i="9"/>
  <c r="K173" i="9"/>
  <c r="L173" i="9" s="1"/>
  <c r="J173" i="9"/>
  <c r="P173" i="9" s="1"/>
  <c r="I173" i="9"/>
  <c r="H173" i="9"/>
  <c r="G173" i="9"/>
  <c r="F173" i="9"/>
  <c r="E173" i="9"/>
  <c r="D173" i="9"/>
  <c r="C173" i="9"/>
  <c r="B173" i="9"/>
  <c r="D173" i="7" s="1"/>
  <c r="A173" i="9"/>
  <c r="R172" i="9"/>
  <c r="Q172" i="9"/>
  <c r="O172" i="9"/>
  <c r="N172" i="9"/>
  <c r="M172" i="9"/>
  <c r="K172" i="9"/>
  <c r="L172" i="9" s="1"/>
  <c r="J172" i="9"/>
  <c r="P172" i="9" s="1"/>
  <c r="I172" i="9"/>
  <c r="H172" i="9"/>
  <c r="G172" i="9"/>
  <c r="F172" i="9"/>
  <c r="E172" i="9"/>
  <c r="D172" i="9"/>
  <c r="C172" i="9"/>
  <c r="B172" i="9"/>
  <c r="B172" i="7" s="1"/>
  <c r="A172" i="9"/>
  <c r="R171" i="9"/>
  <c r="Q171" i="9"/>
  <c r="O171" i="9"/>
  <c r="N171" i="9"/>
  <c r="M171" i="9"/>
  <c r="K171" i="9"/>
  <c r="L171" i="9" s="1"/>
  <c r="J171" i="9"/>
  <c r="P171" i="9" s="1"/>
  <c r="I171" i="9"/>
  <c r="H171" i="9"/>
  <c r="G171" i="9"/>
  <c r="F171" i="9"/>
  <c r="E171" i="9"/>
  <c r="D171" i="9"/>
  <c r="C171" i="9"/>
  <c r="B171" i="9"/>
  <c r="F171" i="7" s="1"/>
  <c r="A171" i="9"/>
  <c r="R170" i="9"/>
  <c r="Q170" i="9"/>
  <c r="O170" i="9"/>
  <c r="N170" i="9"/>
  <c r="M170" i="9"/>
  <c r="K170" i="9"/>
  <c r="L170" i="9" s="1"/>
  <c r="J170" i="9"/>
  <c r="P170" i="9" s="1"/>
  <c r="I170" i="9"/>
  <c r="H170" i="9"/>
  <c r="G170" i="9"/>
  <c r="F170" i="9"/>
  <c r="E170" i="9"/>
  <c r="D170" i="9"/>
  <c r="C170" i="9"/>
  <c r="B170" i="9"/>
  <c r="F170" i="7" s="1"/>
  <c r="A170" i="9"/>
  <c r="R169" i="9"/>
  <c r="Q169" i="9"/>
  <c r="O169" i="9"/>
  <c r="N169" i="9"/>
  <c r="M169" i="9"/>
  <c r="K169" i="9"/>
  <c r="L169" i="9" s="1"/>
  <c r="J169" i="9"/>
  <c r="P169" i="9" s="1"/>
  <c r="I169" i="9"/>
  <c r="H169" i="9"/>
  <c r="G169" i="9"/>
  <c r="F169" i="9"/>
  <c r="E169" i="9"/>
  <c r="D169" i="9"/>
  <c r="C169" i="9"/>
  <c r="B169" i="9"/>
  <c r="D169" i="7" s="1"/>
  <c r="A169" i="9"/>
  <c r="R168" i="9"/>
  <c r="Q168" i="9"/>
  <c r="O168" i="9"/>
  <c r="N168" i="9"/>
  <c r="M168" i="9"/>
  <c r="K168" i="9"/>
  <c r="L168" i="9" s="1"/>
  <c r="J168" i="9"/>
  <c r="P168" i="9" s="1"/>
  <c r="I168" i="9"/>
  <c r="H168" i="9"/>
  <c r="G168" i="9"/>
  <c r="F168" i="9"/>
  <c r="E168" i="9"/>
  <c r="D168" i="9"/>
  <c r="C168" i="9"/>
  <c r="B168" i="9"/>
  <c r="F168" i="7" s="1"/>
  <c r="A168" i="9"/>
  <c r="R167" i="9"/>
  <c r="Q167" i="9"/>
  <c r="O167" i="9"/>
  <c r="N167" i="9"/>
  <c r="M167" i="9"/>
  <c r="K167" i="9"/>
  <c r="L167" i="9" s="1"/>
  <c r="J167" i="9"/>
  <c r="P167" i="9" s="1"/>
  <c r="I167" i="9"/>
  <c r="H167" i="9"/>
  <c r="G167" i="9"/>
  <c r="F167" i="9"/>
  <c r="E167" i="9"/>
  <c r="D167" i="9"/>
  <c r="C167" i="9"/>
  <c r="B167" i="9"/>
  <c r="D167" i="7" s="1"/>
  <c r="A167" i="9"/>
  <c r="R166" i="9"/>
  <c r="Q166" i="9"/>
  <c r="O166" i="9"/>
  <c r="N166" i="9"/>
  <c r="M166" i="9"/>
  <c r="K166" i="9"/>
  <c r="L166" i="9" s="1"/>
  <c r="J166" i="9"/>
  <c r="P166" i="9" s="1"/>
  <c r="I166" i="9"/>
  <c r="H166" i="9"/>
  <c r="G166" i="9"/>
  <c r="F166" i="9"/>
  <c r="E166" i="9"/>
  <c r="D166" i="9"/>
  <c r="C166" i="9"/>
  <c r="B166" i="9"/>
  <c r="F166" i="7" s="1"/>
  <c r="A166" i="9"/>
  <c r="R165" i="9"/>
  <c r="Q165" i="9"/>
  <c r="O165" i="9"/>
  <c r="N165" i="9"/>
  <c r="M165" i="9"/>
  <c r="K165" i="9"/>
  <c r="L165" i="9" s="1"/>
  <c r="J165" i="9"/>
  <c r="P165" i="9" s="1"/>
  <c r="I165" i="9"/>
  <c r="H165" i="9"/>
  <c r="G165" i="9"/>
  <c r="F165" i="9"/>
  <c r="E165" i="9"/>
  <c r="D165" i="9"/>
  <c r="C165" i="9"/>
  <c r="B165" i="9"/>
  <c r="B165" i="7" s="1"/>
  <c r="A165" i="9"/>
  <c r="R164" i="9"/>
  <c r="Q164" i="9"/>
  <c r="O164" i="9"/>
  <c r="N164" i="9"/>
  <c r="M164" i="9"/>
  <c r="K164" i="9"/>
  <c r="L164" i="9" s="1"/>
  <c r="J164" i="9"/>
  <c r="P164" i="9" s="1"/>
  <c r="I164" i="9"/>
  <c r="H164" i="9"/>
  <c r="G164" i="9"/>
  <c r="F164" i="9"/>
  <c r="E164" i="9"/>
  <c r="D164" i="9"/>
  <c r="C164" i="9"/>
  <c r="B164" i="9"/>
  <c r="C164" i="7" s="1"/>
  <c r="A164" i="9"/>
  <c r="R163" i="9"/>
  <c r="Q163" i="9"/>
  <c r="O163" i="9"/>
  <c r="N163" i="9"/>
  <c r="M163" i="9"/>
  <c r="K163" i="9"/>
  <c r="L163" i="9" s="1"/>
  <c r="J163" i="9"/>
  <c r="P163" i="9" s="1"/>
  <c r="I163" i="9"/>
  <c r="H163" i="9"/>
  <c r="G163" i="9"/>
  <c r="F163" i="9"/>
  <c r="E163" i="9"/>
  <c r="D163" i="9"/>
  <c r="C163" i="9"/>
  <c r="B163" i="9"/>
  <c r="E163" i="7" s="1"/>
  <c r="A163" i="9"/>
  <c r="R162" i="9"/>
  <c r="Q162" i="9"/>
  <c r="O162" i="9"/>
  <c r="N162" i="9"/>
  <c r="M162" i="9"/>
  <c r="K162" i="9"/>
  <c r="L162" i="9" s="1"/>
  <c r="J162" i="9"/>
  <c r="P162" i="9" s="1"/>
  <c r="I162" i="9"/>
  <c r="H162" i="9"/>
  <c r="G162" i="9"/>
  <c r="F162" i="9"/>
  <c r="E162" i="9"/>
  <c r="D162" i="9"/>
  <c r="C162" i="9"/>
  <c r="B162" i="9"/>
  <c r="F162" i="7" s="1"/>
  <c r="A162" i="9"/>
  <c r="R161" i="9"/>
  <c r="Q161" i="9"/>
  <c r="O161" i="9"/>
  <c r="N161" i="9"/>
  <c r="M161" i="9"/>
  <c r="K161" i="9"/>
  <c r="L161" i="9" s="1"/>
  <c r="J161" i="9"/>
  <c r="P161" i="9" s="1"/>
  <c r="I161" i="9"/>
  <c r="H161" i="9"/>
  <c r="G161" i="9"/>
  <c r="F161" i="9"/>
  <c r="E161" i="9"/>
  <c r="D161" i="9"/>
  <c r="C161" i="9"/>
  <c r="B161" i="9"/>
  <c r="B161" i="7" s="1"/>
  <c r="A161" i="9"/>
  <c r="R160" i="9"/>
  <c r="Q160" i="9"/>
  <c r="O160" i="9"/>
  <c r="N160" i="9"/>
  <c r="M160" i="9"/>
  <c r="K160" i="9"/>
  <c r="L160" i="9" s="1"/>
  <c r="J160" i="9"/>
  <c r="P160" i="9" s="1"/>
  <c r="I160" i="9"/>
  <c r="H160" i="9"/>
  <c r="G160" i="9"/>
  <c r="F160" i="9"/>
  <c r="E160" i="9"/>
  <c r="D160" i="9"/>
  <c r="C160" i="9"/>
  <c r="B160" i="9"/>
  <c r="E160" i="7" s="1"/>
  <c r="A160" i="9"/>
  <c r="R159" i="9"/>
  <c r="Q159" i="9"/>
  <c r="O159" i="9"/>
  <c r="N159" i="9"/>
  <c r="M159" i="9"/>
  <c r="K159" i="9"/>
  <c r="L159" i="9" s="1"/>
  <c r="J159" i="9"/>
  <c r="P159" i="9" s="1"/>
  <c r="I159" i="9"/>
  <c r="H159" i="9"/>
  <c r="G159" i="9"/>
  <c r="F159" i="9"/>
  <c r="E159" i="9"/>
  <c r="D159" i="9"/>
  <c r="C159" i="9"/>
  <c r="B159" i="9"/>
  <c r="B159" i="7" s="1"/>
  <c r="A159" i="9"/>
  <c r="R158" i="9"/>
  <c r="Q158" i="9"/>
  <c r="O158" i="9"/>
  <c r="N158" i="9"/>
  <c r="M158" i="9"/>
  <c r="K158" i="9"/>
  <c r="L158" i="9" s="1"/>
  <c r="J158" i="9"/>
  <c r="P158" i="9" s="1"/>
  <c r="I158" i="9"/>
  <c r="H158" i="9"/>
  <c r="G158" i="9"/>
  <c r="F158" i="9"/>
  <c r="E158" i="9"/>
  <c r="D158" i="9"/>
  <c r="C158" i="9"/>
  <c r="B158" i="9"/>
  <c r="E158" i="7" s="1"/>
  <c r="A158" i="9"/>
  <c r="R157" i="9"/>
  <c r="Q157" i="9"/>
  <c r="O157" i="9"/>
  <c r="N157" i="9"/>
  <c r="M157" i="9"/>
  <c r="K157" i="9"/>
  <c r="L157" i="9" s="1"/>
  <c r="J157" i="9"/>
  <c r="P157" i="9" s="1"/>
  <c r="I157" i="9"/>
  <c r="H157" i="9"/>
  <c r="G157" i="9"/>
  <c r="F157" i="9"/>
  <c r="E157" i="9"/>
  <c r="D157" i="9"/>
  <c r="C157" i="9"/>
  <c r="B157" i="9"/>
  <c r="A157" i="7" s="1"/>
  <c r="Q157" i="7" s="1"/>
  <c r="A157" i="9"/>
  <c r="R156" i="9"/>
  <c r="Q156" i="9"/>
  <c r="O156" i="9"/>
  <c r="N156" i="9"/>
  <c r="M156" i="9"/>
  <c r="K156" i="9"/>
  <c r="L156" i="9" s="1"/>
  <c r="J156" i="9"/>
  <c r="P156" i="9" s="1"/>
  <c r="I156" i="9"/>
  <c r="H156" i="9"/>
  <c r="G156" i="9"/>
  <c r="F156" i="9"/>
  <c r="E156" i="9"/>
  <c r="D156" i="9"/>
  <c r="C156" i="9"/>
  <c r="B156" i="9"/>
  <c r="D156" i="7" s="1"/>
  <c r="A156" i="9"/>
  <c r="R155" i="9"/>
  <c r="Q155" i="9"/>
  <c r="O155" i="9"/>
  <c r="N155" i="9"/>
  <c r="M155" i="9"/>
  <c r="K155" i="9"/>
  <c r="L155" i="9" s="1"/>
  <c r="J155" i="9"/>
  <c r="P155" i="9" s="1"/>
  <c r="I155" i="9"/>
  <c r="H155" i="9"/>
  <c r="G155" i="9"/>
  <c r="F155" i="9"/>
  <c r="E155" i="9"/>
  <c r="D155" i="9"/>
  <c r="C155" i="9"/>
  <c r="B155" i="9"/>
  <c r="D155" i="7" s="1"/>
  <c r="A155" i="9"/>
  <c r="R154" i="9"/>
  <c r="Q154" i="9"/>
  <c r="O154" i="9"/>
  <c r="N154" i="9"/>
  <c r="M154" i="9"/>
  <c r="K154" i="9"/>
  <c r="L154" i="9" s="1"/>
  <c r="J154" i="9"/>
  <c r="P154" i="9" s="1"/>
  <c r="I154" i="9"/>
  <c r="H154" i="9"/>
  <c r="G154" i="9"/>
  <c r="F154" i="9"/>
  <c r="E154" i="9"/>
  <c r="D154" i="9"/>
  <c r="C154" i="9"/>
  <c r="B154" i="9"/>
  <c r="A154" i="7" s="1"/>
  <c r="Q154" i="7" s="1"/>
  <c r="A154" i="9"/>
  <c r="R153" i="9"/>
  <c r="Q153" i="9"/>
  <c r="O153" i="9"/>
  <c r="N153" i="9"/>
  <c r="M153" i="9"/>
  <c r="K153" i="9"/>
  <c r="L153" i="9" s="1"/>
  <c r="J153" i="9"/>
  <c r="P153" i="9" s="1"/>
  <c r="I153" i="9"/>
  <c r="H153" i="9"/>
  <c r="G153" i="9"/>
  <c r="F153" i="9"/>
  <c r="E153" i="9"/>
  <c r="D153" i="9"/>
  <c r="C153" i="9"/>
  <c r="B153" i="9"/>
  <c r="E153" i="7" s="1"/>
  <c r="A153" i="9"/>
  <c r="R152" i="9"/>
  <c r="Q152" i="9"/>
  <c r="O152" i="9"/>
  <c r="N152" i="9"/>
  <c r="M152" i="9"/>
  <c r="K152" i="9"/>
  <c r="L152" i="9" s="1"/>
  <c r="J152" i="9"/>
  <c r="P152" i="9" s="1"/>
  <c r="I152" i="9"/>
  <c r="H152" i="9"/>
  <c r="G152" i="9"/>
  <c r="F152" i="9"/>
  <c r="E152" i="9"/>
  <c r="D152" i="9"/>
  <c r="C152" i="9"/>
  <c r="B152" i="9"/>
  <c r="E152" i="7" s="1"/>
  <c r="A152" i="9"/>
  <c r="R151" i="9"/>
  <c r="Q151" i="9"/>
  <c r="O151" i="9"/>
  <c r="N151" i="9"/>
  <c r="M151" i="9"/>
  <c r="K151" i="9"/>
  <c r="L151" i="9" s="1"/>
  <c r="J151" i="9"/>
  <c r="P151" i="9" s="1"/>
  <c r="I151" i="9"/>
  <c r="H151" i="9"/>
  <c r="G151" i="9"/>
  <c r="F151" i="9"/>
  <c r="E151" i="9"/>
  <c r="D151" i="9"/>
  <c r="C151" i="9"/>
  <c r="B151" i="9"/>
  <c r="D151" i="7" s="1"/>
  <c r="A151" i="9"/>
  <c r="R150" i="9"/>
  <c r="Q150" i="9"/>
  <c r="O150" i="9"/>
  <c r="N150" i="9"/>
  <c r="M150" i="9"/>
  <c r="K150" i="9"/>
  <c r="L150" i="9" s="1"/>
  <c r="J150" i="9"/>
  <c r="P150" i="9" s="1"/>
  <c r="I150" i="9"/>
  <c r="H150" i="9"/>
  <c r="G150" i="9"/>
  <c r="F150" i="9"/>
  <c r="E150" i="9"/>
  <c r="D150" i="9"/>
  <c r="C150" i="9"/>
  <c r="B150" i="9"/>
  <c r="F150" i="7" s="1"/>
  <c r="A150" i="9"/>
  <c r="R149" i="9"/>
  <c r="Q149" i="9"/>
  <c r="O149" i="9"/>
  <c r="N149" i="9"/>
  <c r="M149" i="9"/>
  <c r="K149" i="9"/>
  <c r="L149" i="9" s="1"/>
  <c r="J149" i="9"/>
  <c r="P149" i="9" s="1"/>
  <c r="I149" i="9"/>
  <c r="H149" i="9"/>
  <c r="G149" i="9"/>
  <c r="F149" i="9"/>
  <c r="E149" i="9"/>
  <c r="D149" i="9"/>
  <c r="C149" i="9"/>
  <c r="B149" i="9"/>
  <c r="D149" i="7" s="1"/>
  <c r="A149" i="9"/>
  <c r="R148" i="9"/>
  <c r="Q148" i="9"/>
  <c r="O148" i="9"/>
  <c r="N148" i="9"/>
  <c r="M148" i="9"/>
  <c r="K148" i="9"/>
  <c r="L148" i="9" s="1"/>
  <c r="J148" i="9"/>
  <c r="P148" i="9" s="1"/>
  <c r="I148" i="9"/>
  <c r="H148" i="9"/>
  <c r="G148" i="9"/>
  <c r="F148" i="9"/>
  <c r="E148" i="9"/>
  <c r="D148" i="9"/>
  <c r="C148" i="9"/>
  <c r="B148" i="9"/>
  <c r="E148" i="7" s="1"/>
  <c r="A148" i="9"/>
  <c r="R147" i="9"/>
  <c r="Q147" i="9"/>
  <c r="O147" i="9"/>
  <c r="N147" i="9"/>
  <c r="M147" i="9"/>
  <c r="K147" i="9"/>
  <c r="L147" i="9" s="1"/>
  <c r="J147" i="9"/>
  <c r="P147" i="9" s="1"/>
  <c r="I147" i="9"/>
  <c r="H147" i="9"/>
  <c r="G147" i="9"/>
  <c r="F147" i="9"/>
  <c r="E147" i="9"/>
  <c r="D147" i="9"/>
  <c r="C147" i="9"/>
  <c r="B147" i="9"/>
  <c r="F147" i="7" s="1"/>
  <c r="A147" i="9"/>
  <c r="R146" i="9"/>
  <c r="Q146" i="9"/>
  <c r="O146" i="9"/>
  <c r="N146" i="9"/>
  <c r="M146" i="9"/>
  <c r="K146" i="9"/>
  <c r="L146" i="9" s="1"/>
  <c r="J146" i="9"/>
  <c r="P146" i="9" s="1"/>
  <c r="I146" i="9"/>
  <c r="H146" i="9"/>
  <c r="G146" i="9"/>
  <c r="F146" i="9"/>
  <c r="E146" i="9"/>
  <c r="D146" i="9"/>
  <c r="C146" i="9"/>
  <c r="B146" i="9"/>
  <c r="B146" i="7" s="1"/>
  <c r="A146" i="9"/>
  <c r="Q145" i="9"/>
  <c r="K145" i="9"/>
  <c r="J145" i="9"/>
  <c r="P145" i="9" s="1"/>
  <c r="I145" i="9"/>
  <c r="H145" i="9"/>
  <c r="G145" i="9"/>
  <c r="F145" i="9"/>
  <c r="E145" i="9"/>
  <c r="D145" i="9"/>
  <c r="C145" i="9"/>
  <c r="B145" i="9"/>
  <c r="A145" i="9"/>
  <c r="Q144" i="9"/>
  <c r="K144" i="9"/>
  <c r="J144" i="9"/>
  <c r="P144" i="9" s="1"/>
  <c r="I144" i="9"/>
  <c r="H144" i="9"/>
  <c r="G144" i="9"/>
  <c r="F144" i="9"/>
  <c r="E144" i="9"/>
  <c r="D144" i="9"/>
  <c r="C144" i="9"/>
  <c r="B144" i="9"/>
  <c r="N144" i="9" s="1"/>
  <c r="A144" i="9"/>
  <c r="Q143" i="9"/>
  <c r="K143" i="9"/>
  <c r="J143" i="9"/>
  <c r="I143" i="9"/>
  <c r="H143" i="9"/>
  <c r="G143" i="9"/>
  <c r="F143" i="9"/>
  <c r="E143" i="9"/>
  <c r="D143" i="9"/>
  <c r="C143" i="9"/>
  <c r="B143" i="9"/>
  <c r="N143" i="9" s="1"/>
  <c r="A143" i="9"/>
  <c r="Q142" i="9"/>
  <c r="K142" i="9"/>
  <c r="J142" i="9"/>
  <c r="I142" i="9"/>
  <c r="H142" i="9"/>
  <c r="G142" i="9"/>
  <c r="F142" i="9"/>
  <c r="E142" i="9"/>
  <c r="D142" i="9"/>
  <c r="C142" i="9"/>
  <c r="B142" i="9"/>
  <c r="N142" i="9" s="1"/>
  <c r="A142" i="9"/>
  <c r="Q141" i="9"/>
  <c r="K141" i="9"/>
  <c r="J141" i="9"/>
  <c r="I141" i="9"/>
  <c r="H141" i="9"/>
  <c r="G141" i="9"/>
  <c r="F141" i="9"/>
  <c r="E141" i="9"/>
  <c r="D141" i="9"/>
  <c r="C141" i="9"/>
  <c r="B141" i="9"/>
  <c r="A141" i="9"/>
  <c r="Q140" i="9"/>
  <c r="K140" i="9"/>
  <c r="J140" i="9"/>
  <c r="I140" i="9"/>
  <c r="H140" i="9"/>
  <c r="G140" i="9"/>
  <c r="F140" i="9"/>
  <c r="E140" i="9"/>
  <c r="D140" i="9"/>
  <c r="C140" i="9"/>
  <c r="B140" i="9"/>
  <c r="A140" i="7" s="1"/>
  <c r="J140" i="7" s="1"/>
  <c r="A140" i="9"/>
  <c r="Q139" i="9"/>
  <c r="K139" i="9"/>
  <c r="J139" i="9"/>
  <c r="I139" i="9"/>
  <c r="H139" i="9"/>
  <c r="G139" i="9"/>
  <c r="F139" i="9"/>
  <c r="E139" i="9"/>
  <c r="D139" i="9"/>
  <c r="C139" i="9"/>
  <c r="B139" i="9"/>
  <c r="N139" i="9" s="1"/>
  <c r="A139" i="9"/>
  <c r="Q138" i="9"/>
  <c r="K138" i="9"/>
  <c r="J138" i="9"/>
  <c r="I138" i="9"/>
  <c r="H138" i="9"/>
  <c r="G138" i="9"/>
  <c r="F138" i="9"/>
  <c r="E138" i="9"/>
  <c r="D138" i="9"/>
  <c r="C138" i="9"/>
  <c r="B138" i="9"/>
  <c r="A138" i="7" s="1"/>
  <c r="A138" i="9"/>
  <c r="Q137" i="9"/>
  <c r="K137" i="9"/>
  <c r="J137" i="9"/>
  <c r="P137" i="9" s="1"/>
  <c r="I137" i="9"/>
  <c r="H137" i="9"/>
  <c r="G137" i="9"/>
  <c r="F137" i="9"/>
  <c r="E137" i="9"/>
  <c r="D137" i="9"/>
  <c r="C137" i="9"/>
  <c r="B137" i="9"/>
  <c r="M137" i="9" s="1"/>
  <c r="A137" i="9"/>
  <c r="Q136" i="9"/>
  <c r="K136" i="9"/>
  <c r="J136" i="9"/>
  <c r="P136" i="9" s="1"/>
  <c r="I136" i="9"/>
  <c r="H136" i="9"/>
  <c r="G136" i="9"/>
  <c r="F136" i="9"/>
  <c r="E136" i="9"/>
  <c r="D136" i="9"/>
  <c r="C136" i="9"/>
  <c r="B136" i="9"/>
  <c r="A136" i="7" s="1"/>
  <c r="J136" i="7" s="1"/>
  <c r="A136" i="9"/>
  <c r="Q135" i="9"/>
  <c r="K135" i="9"/>
  <c r="J135" i="9"/>
  <c r="I135" i="9"/>
  <c r="H135" i="9"/>
  <c r="G135" i="9"/>
  <c r="F135" i="9"/>
  <c r="E135" i="9"/>
  <c r="D135" i="9"/>
  <c r="C135" i="9"/>
  <c r="B135" i="9"/>
  <c r="M135" i="9" s="1"/>
  <c r="A135" i="9"/>
  <c r="Q134" i="9"/>
  <c r="K134" i="9"/>
  <c r="J134" i="9"/>
  <c r="I134" i="9"/>
  <c r="H134" i="9"/>
  <c r="G134" i="9"/>
  <c r="F134" i="9"/>
  <c r="E134" i="9"/>
  <c r="D134" i="9"/>
  <c r="C134" i="9"/>
  <c r="B134" i="9"/>
  <c r="N134" i="9" s="1"/>
  <c r="A134" i="9"/>
  <c r="Q133" i="9"/>
  <c r="K133" i="9"/>
  <c r="J133" i="9"/>
  <c r="I133" i="9"/>
  <c r="H133" i="9"/>
  <c r="G133" i="9"/>
  <c r="F133" i="9"/>
  <c r="E133" i="9"/>
  <c r="D133" i="9"/>
  <c r="C133" i="9"/>
  <c r="B133" i="9"/>
  <c r="N133" i="9" s="1"/>
  <c r="A133" i="9"/>
  <c r="Q132" i="9"/>
  <c r="K132" i="9"/>
  <c r="J132" i="9"/>
  <c r="I132" i="9"/>
  <c r="H132" i="9"/>
  <c r="G132" i="9"/>
  <c r="F132" i="9"/>
  <c r="E132" i="9"/>
  <c r="D132" i="9"/>
  <c r="C132" i="9"/>
  <c r="B132" i="9"/>
  <c r="N132" i="9" s="1"/>
  <c r="A132" i="9"/>
  <c r="Q131" i="9"/>
  <c r="K131" i="9"/>
  <c r="J131" i="9"/>
  <c r="I131" i="9"/>
  <c r="H131" i="9"/>
  <c r="G131" i="9"/>
  <c r="F131" i="9"/>
  <c r="E131" i="9"/>
  <c r="D131" i="9"/>
  <c r="C131" i="9"/>
  <c r="B131" i="9"/>
  <c r="A131" i="9"/>
  <c r="Q130" i="9"/>
  <c r="K130" i="9"/>
  <c r="J130" i="9"/>
  <c r="I130" i="9"/>
  <c r="H130" i="9"/>
  <c r="G130" i="9"/>
  <c r="F130" i="9"/>
  <c r="E130" i="9"/>
  <c r="D130" i="9"/>
  <c r="C130" i="9"/>
  <c r="B130" i="9"/>
  <c r="M130" i="9" s="1"/>
  <c r="A130" i="9"/>
  <c r="Q129" i="9"/>
  <c r="K129" i="9"/>
  <c r="J129" i="9"/>
  <c r="I129" i="9"/>
  <c r="H129" i="9"/>
  <c r="G129" i="9"/>
  <c r="F129" i="9"/>
  <c r="E129" i="9"/>
  <c r="D129" i="9"/>
  <c r="C129" i="9"/>
  <c r="B129" i="9"/>
  <c r="N129" i="9" s="1"/>
  <c r="A129" i="9"/>
  <c r="Q128" i="9"/>
  <c r="K128" i="9"/>
  <c r="J128" i="9"/>
  <c r="I128" i="9"/>
  <c r="H128" i="9"/>
  <c r="G128" i="9"/>
  <c r="F128" i="9"/>
  <c r="E128" i="9"/>
  <c r="D128" i="9"/>
  <c r="C128" i="9"/>
  <c r="B128" i="9"/>
  <c r="N128" i="9" s="1"/>
  <c r="A128" i="9"/>
  <c r="Q127" i="9"/>
  <c r="K127" i="9"/>
  <c r="J127" i="9"/>
  <c r="I127" i="9"/>
  <c r="H127" i="9"/>
  <c r="G127" i="9"/>
  <c r="F127" i="9"/>
  <c r="E127" i="9"/>
  <c r="D127" i="9"/>
  <c r="C127" i="9"/>
  <c r="B127" i="9"/>
  <c r="N127" i="9" s="1"/>
  <c r="A127" i="9"/>
  <c r="Q126" i="9"/>
  <c r="K126" i="9"/>
  <c r="J126" i="9"/>
  <c r="I126" i="9"/>
  <c r="H126" i="9"/>
  <c r="G126" i="9"/>
  <c r="F126" i="9"/>
  <c r="E126" i="9"/>
  <c r="D126" i="9"/>
  <c r="C126" i="9"/>
  <c r="B126" i="9"/>
  <c r="M126" i="9" s="1"/>
  <c r="A126" i="9"/>
  <c r="Q125" i="9"/>
  <c r="K125" i="9"/>
  <c r="J125" i="9"/>
  <c r="I125" i="9"/>
  <c r="H125" i="9"/>
  <c r="G125" i="9"/>
  <c r="F125" i="9"/>
  <c r="E125" i="9"/>
  <c r="D125" i="9"/>
  <c r="C125" i="9"/>
  <c r="B125" i="9"/>
  <c r="A125" i="9"/>
  <c r="Q124" i="9"/>
  <c r="K124" i="9"/>
  <c r="J124" i="9"/>
  <c r="I124" i="9"/>
  <c r="H124" i="9"/>
  <c r="G124" i="9"/>
  <c r="F124" i="9"/>
  <c r="E124" i="9"/>
  <c r="D124" i="9"/>
  <c r="C124" i="9"/>
  <c r="B124" i="9"/>
  <c r="N124" i="9" s="1"/>
  <c r="A124" i="9"/>
  <c r="Q123" i="9"/>
  <c r="K123" i="9"/>
  <c r="J123" i="9"/>
  <c r="I123" i="9"/>
  <c r="H123" i="9"/>
  <c r="G123" i="9"/>
  <c r="F123" i="9"/>
  <c r="E123" i="9"/>
  <c r="D123" i="9"/>
  <c r="C123" i="9"/>
  <c r="B123" i="9"/>
  <c r="A123" i="9"/>
  <c r="Q122" i="9"/>
  <c r="K122" i="9"/>
  <c r="J122" i="9"/>
  <c r="I122" i="9"/>
  <c r="H122" i="9"/>
  <c r="G122" i="9"/>
  <c r="F122" i="9"/>
  <c r="E122" i="9"/>
  <c r="D122" i="9"/>
  <c r="C122" i="9"/>
  <c r="B122" i="9"/>
  <c r="A122" i="9"/>
  <c r="Q121" i="9"/>
  <c r="K121" i="9"/>
  <c r="J121" i="9"/>
  <c r="I121" i="9"/>
  <c r="H121" i="9"/>
  <c r="G121" i="9"/>
  <c r="F121" i="9"/>
  <c r="E121" i="9"/>
  <c r="D121" i="9"/>
  <c r="C121" i="9"/>
  <c r="B121" i="9"/>
  <c r="M121" i="9" s="1"/>
  <c r="A121" i="9"/>
  <c r="Q120" i="9"/>
  <c r="K120" i="9"/>
  <c r="J120" i="9"/>
  <c r="I120" i="9"/>
  <c r="H120" i="9"/>
  <c r="G120" i="9"/>
  <c r="F120" i="9"/>
  <c r="E120" i="9"/>
  <c r="D120" i="9"/>
  <c r="C120" i="9"/>
  <c r="B120" i="9"/>
  <c r="A120" i="9"/>
  <c r="Q119" i="9"/>
  <c r="K119" i="9"/>
  <c r="J119" i="9"/>
  <c r="I119" i="9"/>
  <c r="H119" i="9"/>
  <c r="G119" i="9"/>
  <c r="F119" i="9"/>
  <c r="E119" i="9"/>
  <c r="D119" i="9"/>
  <c r="C119" i="9"/>
  <c r="B119" i="9"/>
  <c r="A119" i="7" s="1"/>
  <c r="A119" i="9"/>
  <c r="Q118" i="9"/>
  <c r="K118" i="9"/>
  <c r="J118" i="9"/>
  <c r="I118" i="9"/>
  <c r="H118" i="9"/>
  <c r="G118" i="9"/>
  <c r="F118" i="9"/>
  <c r="E118" i="9"/>
  <c r="D118" i="9"/>
  <c r="C118" i="9"/>
  <c r="B118" i="9"/>
  <c r="N118" i="9" s="1"/>
  <c r="A118" i="9"/>
  <c r="Q117" i="9"/>
  <c r="K117" i="9"/>
  <c r="J117" i="9"/>
  <c r="I117" i="9"/>
  <c r="H117" i="9"/>
  <c r="G117" i="9"/>
  <c r="F117" i="9"/>
  <c r="E117" i="9"/>
  <c r="D117" i="9"/>
  <c r="C117" i="9"/>
  <c r="B117" i="9"/>
  <c r="N117" i="9" s="1"/>
  <c r="A117" i="9"/>
  <c r="Q116" i="9"/>
  <c r="K116" i="9"/>
  <c r="J116" i="9"/>
  <c r="I116" i="9"/>
  <c r="H116" i="9"/>
  <c r="G116" i="9"/>
  <c r="F116" i="9"/>
  <c r="E116" i="9"/>
  <c r="D116" i="9"/>
  <c r="C116" i="9"/>
  <c r="B116" i="9"/>
  <c r="A116" i="9"/>
  <c r="Q115" i="9"/>
  <c r="K115" i="9"/>
  <c r="J115" i="9"/>
  <c r="I115" i="9"/>
  <c r="H115" i="9"/>
  <c r="G115" i="9"/>
  <c r="F115" i="9"/>
  <c r="E115" i="9"/>
  <c r="D115" i="9"/>
  <c r="C115" i="9"/>
  <c r="B115" i="9"/>
  <c r="A115" i="9"/>
  <c r="Q114" i="9"/>
  <c r="K114" i="9"/>
  <c r="J114" i="9"/>
  <c r="P114" i="9" s="1"/>
  <c r="I114" i="9"/>
  <c r="H114" i="9"/>
  <c r="G114" i="9"/>
  <c r="F114" i="9"/>
  <c r="E114" i="9"/>
  <c r="D114" i="9"/>
  <c r="C114" i="9"/>
  <c r="B114" i="9"/>
  <c r="N114" i="9" s="1"/>
  <c r="A114" i="9"/>
  <c r="Q113" i="9"/>
  <c r="K113" i="9"/>
  <c r="J113" i="9"/>
  <c r="I113" i="9"/>
  <c r="H113" i="9"/>
  <c r="G113" i="9"/>
  <c r="F113" i="9"/>
  <c r="E113" i="9"/>
  <c r="D113" i="9"/>
  <c r="C113" i="9"/>
  <c r="B113" i="9"/>
  <c r="N113" i="9" s="1"/>
  <c r="A113" i="9"/>
  <c r="Q112" i="9"/>
  <c r="K112" i="9"/>
  <c r="J112" i="9"/>
  <c r="I112" i="9"/>
  <c r="H112" i="9"/>
  <c r="G112" i="9"/>
  <c r="F112" i="9"/>
  <c r="E112" i="9"/>
  <c r="D112" i="9"/>
  <c r="C112" i="9"/>
  <c r="B112" i="9"/>
  <c r="A112" i="9"/>
  <c r="Q111" i="9"/>
  <c r="K111" i="9"/>
  <c r="J111" i="9"/>
  <c r="I111" i="9"/>
  <c r="H111" i="9"/>
  <c r="G111" i="9"/>
  <c r="F111" i="9"/>
  <c r="E111" i="9"/>
  <c r="D111" i="9"/>
  <c r="C111" i="9"/>
  <c r="B111" i="9"/>
  <c r="A111" i="9"/>
  <c r="Q110" i="9"/>
  <c r="K110" i="9"/>
  <c r="J110" i="9"/>
  <c r="I110" i="9"/>
  <c r="H110" i="9"/>
  <c r="G110" i="9"/>
  <c r="F110" i="9"/>
  <c r="E110" i="9"/>
  <c r="D110" i="9"/>
  <c r="C110" i="9"/>
  <c r="B110" i="9"/>
  <c r="A110" i="9"/>
  <c r="Q109" i="9"/>
  <c r="K109" i="9"/>
  <c r="J109" i="9"/>
  <c r="I109" i="9"/>
  <c r="H109" i="9"/>
  <c r="G109" i="9"/>
  <c r="F109" i="9"/>
  <c r="E109" i="9"/>
  <c r="D109" i="9"/>
  <c r="C109" i="9"/>
  <c r="B109" i="9"/>
  <c r="N109" i="9" s="1"/>
  <c r="A109" i="9"/>
  <c r="Q108" i="9"/>
  <c r="K108" i="9"/>
  <c r="J108" i="9"/>
  <c r="I108" i="9"/>
  <c r="H108" i="9"/>
  <c r="G108" i="9"/>
  <c r="F108" i="9"/>
  <c r="E108" i="9"/>
  <c r="D108" i="9"/>
  <c r="C108" i="9"/>
  <c r="B108" i="9"/>
  <c r="A108" i="7" s="1"/>
  <c r="Q108" i="7" s="1"/>
  <c r="A108" i="9"/>
  <c r="Q107" i="9"/>
  <c r="K107" i="9"/>
  <c r="J107" i="9"/>
  <c r="I107" i="9"/>
  <c r="H107" i="9"/>
  <c r="G107" i="9"/>
  <c r="F107" i="9"/>
  <c r="E107" i="9"/>
  <c r="D107" i="9"/>
  <c r="C107" i="9"/>
  <c r="B107" i="9"/>
  <c r="N107" i="9" s="1"/>
  <c r="A107" i="9"/>
  <c r="Q106" i="9"/>
  <c r="K106" i="9"/>
  <c r="J106" i="9"/>
  <c r="I106" i="9"/>
  <c r="H106" i="9"/>
  <c r="G106" i="9"/>
  <c r="F106" i="9"/>
  <c r="E106" i="9"/>
  <c r="D106" i="9"/>
  <c r="C106" i="9"/>
  <c r="B106" i="9"/>
  <c r="A106" i="9"/>
  <c r="Q105" i="9"/>
  <c r="K105" i="9"/>
  <c r="J105" i="9"/>
  <c r="I105" i="9"/>
  <c r="H105" i="9"/>
  <c r="G105" i="9"/>
  <c r="F105" i="9"/>
  <c r="E105" i="9"/>
  <c r="D105" i="9"/>
  <c r="C105" i="9"/>
  <c r="B105" i="9"/>
  <c r="A105" i="7" s="1"/>
  <c r="Q105" i="7" s="1"/>
  <c r="A105" i="9"/>
  <c r="Q104" i="9"/>
  <c r="K104" i="9"/>
  <c r="J104" i="9"/>
  <c r="I104" i="9"/>
  <c r="H104" i="9"/>
  <c r="G104" i="9"/>
  <c r="F104" i="9"/>
  <c r="E104" i="9"/>
  <c r="D104" i="9"/>
  <c r="C104" i="9"/>
  <c r="B104" i="9"/>
  <c r="A104" i="9"/>
  <c r="Q103" i="9"/>
  <c r="K103" i="9"/>
  <c r="J103" i="9"/>
  <c r="I103" i="9"/>
  <c r="H103" i="9"/>
  <c r="G103" i="9"/>
  <c r="F103" i="9"/>
  <c r="E103" i="9"/>
  <c r="D103" i="9"/>
  <c r="C103" i="9"/>
  <c r="B103" i="9"/>
  <c r="N103" i="9" s="1"/>
  <c r="A103" i="9"/>
  <c r="Q102" i="9"/>
  <c r="K102" i="9"/>
  <c r="J102" i="9"/>
  <c r="I102" i="9"/>
  <c r="H102" i="9"/>
  <c r="G102" i="9"/>
  <c r="F102" i="9"/>
  <c r="E102" i="9"/>
  <c r="D102" i="9"/>
  <c r="C102" i="9"/>
  <c r="B102" i="9"/>
  <c r="A102" i="9"/>
  <c r="Q101" i="9"/>
  <c r="K101" i="9"/>
  <c r="J101" i="9"/>
  <c r="I101" i="9"/>
  <c r="H101" i="9"/>
  <c r="G101" i="9"/>
  <c r="F101" i="9"/>
  <c r="E101" i="9"/>
  <c r="D101" i="9"/>
  <c r="C101" i="9"/>
  <c r="B101" i="9"/>
  <c r="A101" i="9"/>
  <c r="Q100" i="9"/>
  <c r="K100" i="9"/>
  <c r="J100" i="9"/>
  <c r="I100" i="9"/>
  <c r="H100" i="9"/>
  <c r="G100" i="9"/>
  <c r="F100" i="9"/>
  <c r="E100" i="9"/>
  <c r="D100" i="9"/>
  <c r="C100" i="9"/>
  <c r="B100" i="9"/>
  <c r="A100" i="7" s="1"/>
  <c r="N100" i="7" s="1"/>
  <c r="A100" i="9"/>
  <c r="Q99" i="9"/>
  <c r="K99" i="9"/>
  <c r="J99" i="9"/>
  <c r="I99" i="9"/>
  <c r="H99" i="9"/>
  <c r="G99" i="9"/>
  <c r="F99" i="9"/>
  <c r="E99" i="9"/>
  <c r="D99" i="9"/>
  <c r="C99" i="9"/>
  <c r="B99" i="9"/>
  <c r="A99" i="9"/>
  <c r="Q98" i="9"/>
  <c r="K98" i="9"/>
  <c r="J98" i="9"/>
  <c r="I98" i="9"/>
  <c r="H98" i="9"/>
  <c r="G98" i="9"/>
  <c r="F98" i="9"/>
  <c r="E98" i="9"/>
  <c r="D98" i="9"/>
  <c r="C98" i="9"/>
  <c r="B98" i="9"/>
  <c r="A98" i="7" s="1"/>
  <c r="Q98" i="7" s="1"/>
  <c r="A98" i="9"/>
  <c r="Q97" i="9"/>
  <c r="K97" i="9"/>
  <c r="J97" i="9"/>
  <c r="I97" i="9"/>
  <c r="H97" i="9"/>
  <c r="G97" i="9"/>
  <c r="F97" i="9"/>
  <c r="E97" i="9"/>
  <c r="D97" i="9"/>
  <c r="C97" i="9"/>
  <c r="B97" i="9"/>
  <c r="N97" i="9" s="1"/>
  <c r="A97" i="9"/>
  <c r="Q96" i="9"/>
  <c r="K96" i="9"/>
  <c r="J96" i="9"/>
  <c r="I96" i="9"/>
  <c r="H96" i="9"/>
  <c r="G96" i="9"/>
  <c r="F96" i="9"/>
  <c r="E96" i="9"/>
  <c r="D96" i="9"/>
  <c r="C96" i="9"/>
  <c r="B96" i="9"/>
  <c r="A96" i="9"/>
  <c r="Q95" i="9"/>
  <c r="K95" i="9"/>
  <c r="J95" i="9"/>
  <c r="I95" i="9"/>
  <c r="H95" i="9"/>
  <c r="G95" i="9"/>
  <c r="F95" i="9"/>
  <c r="E95" i="9"/>
  <c r="D95" i="9"/>
  <c r="C95" i="9"/>
  <c r="B95" i="9"/>
  <c r="A95" i="7" s="1"/>
  <c r="Q95" i="7" s="1"/>
  <c r="A95" i="9"/>
  <c r="Q94" i="9"/>
  <c r="K94" i="9"/>
  <c r="J94" i="9"/>
  <c r="I94" i="9"/>
  <c r="H94" i="9"/>
  <c r="G94" i="9"/>
  <c r="F94" i="9"/>
  <c r="E94" i="9"/>
  <c r="D94" i="9"/>
  <c r="C94" i="9"/>
  <c r="B94" i="9"/>
  <c r="A94" i="9"/>
  <c r="Q93" i="9"/>
  <c r="K93" i="9"/>
  <c r="J93" i="9"/>
  <c r="I93" i="9"/>
  <c r="H93" i="9"/>
  <c r="G93" i="9"/>
  <c r="F93" i="9"/>
  <c r="E93" i="9"/>
  <c r="D93" i="9"/>
  <c r="C93" i="9"/>
  <c r="B93" i="9"/>
  <c r="N93" i="9" s="1"/>
  <c r="A93" i="9"/>
  <c r="Q92" i="9"/>
  <c r="K92" i="9"/>
  <c r="J92" i="9"/>
  <c r="I92" i="9"/>
  <c r="H92" i="9"/>
  <c r="G92" i="9"/>
  <c r="F92" i="9"/>
  <c r="E92" i="9"/>
  <c r="D92" i="9"/>
  <c r="C92" i="9"/>
  <c r="B92" i="9"/>
  <c r="A92" i="7" s="1"/>
  <c r="Q92" i="7" s="1"/>
  <c r="A92" i="9"/>
  <c r="Q91" i="9"/>
  <c r="K91" i="9"/>
  <c r="J91" i="9"/>
  <c r="I91" i="9"/>
  <c r="H91" i="9"/>
  <c r="G91" i="9"/>
  <c r="F91" i="9"/>
  <c r="E91" i="9"/>
  <c r="D91" i="9"/>
  <c r="C91" i="9"/>
  <c r="B91" i="9"/>
  <c r="A91" i="9"/>
  <c r="Q90" i="9"/>
  <c r="K90" i="9"/>
  <c r="J90" i="9"/>
  <c r="I90" i="9"/>
  <c r="H90" i="9"/>
  <c r="G90" i="9"/>
  <c r="F90" i="9"/>
  <c r="E90" i="9"/>
  <c r="D90" i="9"/>
  <c r="C90" i="9"/>
  <c r="B90" i="9"/>
  <c r="A90" i="9"/>
  <c r="Q89" i="9"/>
  <c r="K89" i="9"/>
  <c r="J89" i="9"/>
  <c r="I89" i="9"/>
  <c r="H89" i="9"/>
  <c r="G89" i="9"/>
  <c r="F89" i="9"/>
  <c r="E89" i="9"/>
  <c r="D89" i="9"/>
  <c r="C89" i="9"/>
  <c r="B89" i="9"/>
  <c r="N89" i="9" s="1"/>
  <c r="A89" i="9"/>
  <c r="Q88" i="9"/>
  <c r="K88" i="9"/>
  <c r="J88" i="9"/>
  <c r="I88" i="9"/>
  <c r="H88" i="9"/>
  <c r="G88" i="9"/>
  <c r="F88" i="9"/>
  <c r="E88" i="9"/>
  <c r="D88" i="9"/>
  <c r="C88" i="9"/>
  <c r="B88" i="9"/>
  <c r="A88" i="9"/>
  <c r="Q87" i="9"/>
  <c r="K87" i="9"/>
  <c r="J87" i="9"/>
  <c r="I87" i="9"/>
  <c r="H87" i="9"/>
  <c r="G87" i="9"/>
  <c r="F87" i="9"/>
  <c r="E87" i="9"/>
  <c r="D87" i="9"/>
  <c r="C87" i="9"/>
  <c r="B87" i="9"/>
  <c r="M87" i="9" s="1"/>
  <c r="A87" i="9"/>
  <c r="Q86" i="9"/>
  <c r="K86" i="9"/>
  <c r="J86" i="9"/>
  <c r="I86" i="9"/>
  <c r="H86" i="9"/>
  <c r="G86" i="9"/>
  <c r="F86" i="9"/>
  <c r="E86" i="9"/>
  <c r="D86" i="9"/>
  <c r="C86" i="9"/>
  <c r="B86" i="9"/>
  <c r="N86" i="9" s="1"/>
  <c r="A86" i="9"/>
  <c r="Q85" i="9"/>
  <c r="K85" i="9"/>
  <c r="J85" i="9"/>
  <c r="I85" i="9"/>
  <c r="H85" i="9"/>
  <c r="G85" i="9"/>
  <c r="F85" i="9"/>
  <c r="E85" i="9"/>
  <c r="D85" i="9"/>
  <c r="C85" i="9"/>
  <c r="B85" i="9"/>
  <c r="A85" i="7" s="1"/>
  <c r="A85" i="9"/>
  <c r="Q84" i="9"/>
  <c r="K84" i="9"/>
  <c r="J84" i="9"/>
  <c r="I84" i="9"/>
  <c r="H84" i="9"/>
  <c r="G84" i="9"/>
  <c r="F84" i="9"/>
  <c r="E84" i="9"/>
  <c r="D84" i="9"/>
  <c r="C84" i="9"/>
  <c r="B84" i="9"/>
  <c r="N84" i="9" s="1"/>
  <c r="A84" i="9"/>
  <c r="Q83" i="9"/>
  <c r="K83" i="9"/>
  <c r="J83" i="9"/>
  <c r="I83" i="9"/>
  <c r="H83" i="9"/>
  <c r="G83" i="9"/>
  <c r="F83" i="9"/>
  <c r="E83" i="9"/>
  <c r="D83" i="9"/>
  <c r="C83" i="9"/>
  <c r="B83" i="9"/>
  <c r="N83" i="9" s="1"/>
  <c r="A83" i="9"/>
  <c r="Q82" i="9"/>
  <c r="K82" i="9"/>
  <c r="J82" i="9"/>
  <c r="I82" i="9"/>
  <c r="H82" i="9"/>
  <c r="G82" i="9"/>
  <c r="F82" i="9"/>
  <c r="E82" i="9"/>
  <c r="D82" i="9"/>
  <c r="C82" i="9"/>
  <c r="B82" i="9"/>
  <c r="A82" i="7" s="1"/>
  <c r="Q82" i="7" s="1"/>
  <c r="A82" i="9"/>
  <c r="Q81" i="9"/>
  <c r="K81" i="9"/>
  <c r="J81" i="9"/>
  <c r="I81" i="9"/>
  <c r="H81" i="9"/>
  <c r="G81" i="9"/>
  <c r="F81" i="9"/>
  <c r="E81" i="9"/>
  <c r="D81" i="9"/>
  <c r="C81" i="9"/>
  <c r="B81" i="9"/>
  <c r="A81" i="9"/>
  <c r="Q80" i="9"/>
  <c r="K80" i="9"/>
  <c r="J80" i="9"/>
  <c r="I80" i="9"/>
  <c r="H80" i="9"/>
  <c r="G80" i="9"/>
  <c r="F80" i="9"/>
  <c r="E80" i="9"/>
  <c r="D80" i="9"/>
  <c r="C80" i="9"/>
  <c r="B80" i="9"/>
  <c r="A80" i="9"/>
  <c r="Q79" i="9"/>
  <c r="K79" i="9"/>
  <c r="J79" i="9"/>
  <c r="I79" i="9"/>
  <c r="H79" i="9"/>
  <c r="G79" i="9"/>
  <c r="F79" i="9"/>
  <c r="E79" i="9"/>
  <c r="D79" i="9"/>
  <c r="C79" i="9"/>
  <c r="B79" i="9"/>
  <c r="N79" i="9" s="1"/>
  <c r="A79" i="9"/>
  <c r="Q78" i="9"/>
  <c r="K78" i="9"/>
  <c r="J78" i="9"/>
  <c r="I78" i="9"/>
  <c r="H78" i="9"/>
  <c r="G78" i="9"/>
  <c r="F78" i="9"/>
  <c r="E78" i="9"/>
  <c r="D78" i="9"/>
  <c r="C78" i="9"/>
  <c r="B78" i="9"/>
  <c r="N78" i="9" s="1"/>
  <c r="A78" i="9"/>
  <c r="Q77" i="9"/>
  <c r="K77" i="9"/>
  <c r="J77" i="9"/>
  <c r="I77" i="9"/>
  <c r="H77" i="9"/>
  <c r="G77" i="9"/>
  <c r="F77" i="9"/>
  <c r="E77" i="9"/>
  <c r="D77" i="9"/>
  <c r="C77" i="9"/>
  <c r="B77" i="9"/>
  <c r="A77" i="7" s="1"/>
  <c r="Q77" i="7" s="1"/>
  <c r="A77" i="9"/>
  <c r="Q76" i="9"/>
  <c r="K76" i="9"/>
  <c r="J76" i="9"/>
  <c r="I76" i="9"/>
  <c r="H76" i="9"/>
  <c r="G76" i="9"/>
  <c r="F76" i="9"/>
  <c r="E76" i="9"/>
  <c r="D76" i="9"/>
  <c r="C76" i="9"/>
  <c r="B76" i="9"/>
  <c r="N76" i="9" s="1"/>
  <c r="A76" i="9"/>
  <c r="Q75" i="9"/>
  <c r="K75" i="9"/>
  <c r="J75" i="9"/>
  <c r="I75" i="9"/>
  <c r="H75" i="9"/>
  <c r="G75" i="9"/>
  <c r="F75" i="9"/>
  <c r="E75" i="9"/>
  <c r="D75" i="9"/>
  <c r="C75" i="9"/>
  <c r="B75" i="9"/>
  <c r="M75" i="9" s="1"/>
  <c r="A75" i="9"/>
  <c r="Q74" i="9"/>
  <c r="K74" i="9"/>
  <c r="J74" i="9"/>
  <c r="I74" i="9"/>
  <c r="H74" i="9"/>
  <c r="G74" i="9"/>
  <c r="F74" i="9"/>
  <c r="E74" i="9"/>
  <c r="D74" i="9"/>
  <c r="C74" i="9"/>
  <c r="B74" i="9"/>
  <c r="N74" i="9" s="1"/>
  <c r="A74" i="9"/>
  <c r="Q73" i="9"/>
  <c r="K73" i="9"/>
  <c r="J73" i="9"/>
  <c r="I73" i="9"/>
  <c r="H73" i="9"/>
  <c r="G73" i="9"/>
  <c r="F73" i="9"/>
  <c r="E73" i="9"/>
  <c r="D73" i="9"/>
  <c r="C73" i="9"/>
  <c r="B73" i="9"/>
  <c r="N73" i="9" s="1"/>
  <c r="A73" i="9"/>
  <c r="Q72" i="9"/>
  <c r="K72" i="9"/>
  <c r="J72" i="9"/>
  <c r="I72" i="9"/>
  <c r="H72" i="9"/>
  <c r="G72" i="9"/>
  <c r="F72" i="9"/>
  <c r="E72" i="9"/>
  <c r="D72" i="9"/>
  <c r="C72" i="9"/>
  <c r="B72" i="9"/>
  <c r="N72" i="9" s="1"/>
  <c r="A72" i="9"/>
  <c r="Q71" i="9"/>
  <c r="K71" i="9"/>
  <c r="J71" i="9"/>
  <c r="I71" i="9"/>
  <c r="H71" i="9"/>
  <c r="G71" i="9"/>
  <c r="F71" i="9"/>
  <c r="E71" i="9"/>
  <c r="D71" i="9"/>
  <c r="C71" i="9"/>
  <c r="B71" i="9"/>
  <c r="M71" i="9" s="1"/>
  <c r="A71" i="9"/>
  <c r="Q70" i="9"/>
  <c r="K70" i="9"/>
  <c r="J70" i="9"/>
  <c r="I70" i="9"/>
  <c r="H70" i="9"/>
  <c r="G70" i="9"/>
  <c r="F70" i="9"/>
  <c r="E70" i="9"/>
  <c r="D70" i="9"/>
  <c r="C70" i="9"/>
  <c r="B70" i="9"/>
  <c r="A70" i="9"/>
  <c r="Q69" i="9"/>
  <c r="K69" i="9"/>
  <c r="J69" i="9"/>
  <c r="I69" i="9"/>
  <c r="H69" i="9"/>
  <c r="G69" i="9"/>
  <c r="F69" i="9"/>
  <c r="E69" i="9"/>
  <c r="D69" i="9"/>
  <c r="C69" i="9"/>
  <c r="B69" i="9"/>
  <c r="N69" i="9" s="1"/>
  <c r="A69" i="9"/>
  <c r="Q68" i="9"/>
  <c r="K68" i="9"/>
  <c r="J68" i="9"/>
  <c r="I68" i="9"/>
  <c r="H68" i="9"/>
  <c r="G68" i="9"/>
  <c r="F68" i="9"/>
  <c r="E68" i="9"/>
  <c r="D68" i="9"/>
  <c r="C68" i="9"/>
  <c r="B68" i="9"/>
  <c r="N68" i="9" s="1"/>
  <c r="A68" i="9"/>
  <c r="Q67" i="9"/>
  <c r="K67" i="9"/>
  <c r="J67" i="9"/>
  <c r="I67" i="9"/>
  <c r="H67" i="9"/>
  <c r="G67" i="9"/>
  <c r="F67" i="9"/>
  <c r="E67" i="9"/>
  <c r="D67" i="9"/>
  <c r="C67" i="9"/>
  <c r="B67" i="9"/>
  <c r="N67" i="9" s="1"/>
  <c r="A67" i="9"/>
  <c r="Q66" i="9"/>
  <c r="K66" i="9"/>
  <c r="J66" i="9"/>
  <c r="I66" i="9"/>
  <c r="H66" i="9"/>
  <c r="G66" i="9"/>
  <c r="F66" i="9"/>
  <c r="E66" i="9"/>
  <c r="D66" i="9"/>
  <c r="C66" i="9"/>
  <c r="B66" i="9"/>
  <c r="A66" i="9"/>
  <c r="Q65" i="9"/>
  <c r="K65" i="9"/>
  <c r="J65" i="9"/>
  <c r="I65" i="9"/>
  <c r="H65" i="9"/>
  <c r="G65" i="9"/>
  <c r="F65" i="9"/>
  <c r="E65" i="9"/>
  <c r="D65" i="9"/>
  <c r="C65" i="9"/>
  <c r="B65" i="9"/>
  <c r="M65" i="9" s="1"/>
  <c r="A65" i="9"/>
  <c r="Q64" i="9"/>
  <c r="K64" i="9"/>
  <c r="J64" i="9"/>
  <c r="I64" i="9"/>
  <c r="H64" i="9"/>
  <c r="G64" i="9"/>
  <c r="F64" i="9"/>
  <c r="E64" i="9"/>
  <c r="D64" i="9"/>
  <c r="C64" i="9"/>
  <c r="B64" i="9"/>
  <c r="N64" i="9" s="1"/>
  <c r="A64" i="9"/>
  <c r="Q63" i="9"/>
  <c r="K63" i="9"/>
  <c r="J63" i="9"/>
  <c r="I63" i="9"/>
  <c r="H63" i="9"/>
  <c r="G63" i="9"/>
  <c r="F63" i="9"/>
  <c r="E63" i="9"/>
  <c r="D63" i="9"/>
  <c r="C63" i="9"/>
  <c r="B63" i="9"/>
  <c r="N63" i="9" s="1"/>
  <c r="A63" i="9"/>
  <c r="Q62" i="9"/>
  <c r="K62" i="9"/>
  <c r="J62" i="9"/>
  <c r="I62" i="9"/>
  <c r="H62" i="9"/>
  <c r="G62" i="9"/>
  <c r="F62" i="9"/>
  <c r="E62" i="9"/>
  <c r="D62" i="9"/>
  <c r="C62" i="9"/>
  <c r="B62" i="9"/>
  <c r="M62" i="9" s="1"/>
  <c r="A62" i="9"/>
  <c r="Q61" i="9"/>
  <c r="K61" i="9"/>
  <c r="J61" i="9"/>
  <c r="I61" i="9"/>
  <c r="H61" i="9"/>
  <c r="G61" i="9"/>
  <c r="F61" i="9"/>
  <c r="E61" i="9"/>
  <c r="D61" i="9"/>
  <c r="C61" i="9"/>
  <c r="B61" i="9"/>
  <c r="M61" i="9" s="1"/>
  <c r="A61" i="9"/>
  <c r="Q60" i="9"/>
  <c r="K60" i="9"/>
  <c r="J60" i="9"/>
  <c r="I60" i="9"/>
  <c r="H60" i="9"/>
  <c r="G60" i="9"/>
  <c r="F60" i="9"/>
  <c r="E60" i="9"/>
  <c r="D60" i="9"/>
  <c r="C60" i="9"/>
  <c r="B60" i="9"/>
  <c r="A60" i="9"/>
  <c r="Q59" i="9"/>
  <c r="K59" i="9"/>
  <c r="J59" i="9"/>
  <c r="I59" i="9"/>
  <c r="H59" i="9"/>
  <c r="G59" i="9"/>
  <c r="F59" i="9"/>
  <c r="E59" i="9"/>
  <c r="D59" i="9"/>
  <c r="C59" i="9"/>
  <c r="B59" i="9"/>
  <c r="N59" i="9" s="1"/>
  <c r="A59" i="9"/>
  <c r="Q58" i="9"/>
  <c r="K58" i="9"/>
  <c r="J58" i="9"/>
  <c r="I58" i="9"/>
  <c r="H58" i="9"/>
  <c r="G58" i="9"/>
  <c r="F58" i="9"/>
  <c r="E58" i="9"/>
  <c r="D58" i="9"/>
  <c r="C58" i="9"/>
  <c r="B58" i="9"/>
  <c r="N58" i="9" s="1"/>
  <c r="A58" i="9"/>
  <c r="Q57" i="9"/>
  <c r="K57" i="9"/>
  <c r="J57" i="9"/>
  <c r="I57" i="9"/>
  <c r="H57" i="9"/>
  <c r="G57" i="9"/>
  <c r="F57" i="9"/>
  <c r="E57" i="9"/>
  <c r="D57" i="9"/>
  <c r="C57" i="9"/>
  <c r="B57" i="9"/>
  <c r="N57" i="9" s="1"/>
  <c r="A57" i="9"/>
  <c r="Q56" i="9"/>
  <c r="K56" i="9"/>
  <c r="J56" i="9"/>
  <c r="I56" i="9"/>
  <c r="H56" i="9"/>
  <c r="G56" i="9"/>
  <c r="F56" i="9"/>
  <c r="E56" i="9"/>
  <c r="D56" i="9"/>
  <c r="C56" i="9"/>
  <c r="B56" i="9"/>
  <c r="M56" i="9" s="1"/>
  <c r="A56" i="9"/>
  <c r="Q55" i="9"/>
  <c r="K55" i="9"/>
  <c r="J55" i="9"/>
  <c r="I55" i="9"/>
  <c r="H55" i="9"/>
  <c r="G55" i="9"/>
  <c r="F55" i="9"/>
  <c r="E55" i="9"/>
  <c r="D55" i="9"/>
  <c r="C55" i="9"/>
  <c r="B55" i="9"/>
  <c r="A55" i="7" s="1"/>
  <c r="Q55" i="7" s="1"/>
  <c r="A55" i="9"/>
  <c r="Q54" i="9"/>
  <c r="K54" i="9"/>
  <c r="J54" i="9"/>
  <c r="I54" i="9"/>
  <c r="H54" i="9"/>
  <c r="G54" i="9"/>
  <c r="F54" i="9"/>
  <c r="E54" i="9"/>
  <c r="D54" i="9"/>
  <c r="C54" i="9"/>
  <c r="B54" i="9"/>
  <c r="N54" i="9" s="1"/>
  <c r="A54" i="9"/>
  <c r="Q53" i="9"/>
  <c r="K53" i="9"/>
  <c r="J53" i="9"/>
  <c r="I53" i="9"/>
  <c r="H53" i="9"/>
  <c r="G53" i="9"/>
  <c r="F53" i="9"/>
  <c r="E53" i="9"/>
  <c r="D53" i="9"/>
  <c r="C53" i="9"/>
  <c r="B53" i="9"/>
  <c r="N53" i="9" s="1"/>
  <c r="A53" i="9"/>
  <c r="Q52" i="9"/>
  <c r="K52" i="9"/>
  <c r="J52" i="9"/>
  <c r="I52" i="9"/>
  <c r="H52" i="9"/>
  <c r="G52" i="9"/>
  <c r="F52" i="9"/>
  <c r="E52" i="9"/>
  <c r="D52" i="9"/>
  <c r="C52" i="9"/>
  <c r="B52" i="9"/>
  <c r="A52" i="7" s="1"/>
  <c r="A52" i="9"/>
  <c r="Q51" i="9"/>
  <c r="K51" i="9"/>
  <c r="J51" i="9"/>
  <c r="I51" i="9"/>
  <c r="H51" i="9"/>
  <c r="G51" i="9"/>
  <c r="F51" i="9"/>
  <c r="E51" i="9"/>
  <c r="D51" i="9"/>
  <c r="C51" i="9"/>
  <c r="B51" i="9"/>
  <c r="M51" i="9" s="1"/>
  <c r="A51" i="9"/>
  <c r="Q50" i="9"/>
  <c r="K50" i="9"/>
  <c r="J50" i="9"/>
  <c r="I50" i="9"/>
  <c r="H50" i="9"/>
  <c r="G50" i="9"/>
  <c r="F50" i="9"/>
  <c r="E50" i="9"/>
  <c r="D50" i="9"/>
  <c r="C50" i="9"/>
  <c r="B50" i="9"/>
  <c r="M50" i="9" s="1"/>
  <c r="A50" i="9"/>
  <c r="Q49" i="9"/>
  <c r="K49" i="9"/>
  <c r="J49" i="9"/>
  <c r="I49" i="9"/>
  <c r="H49" i="9"/>
  <c r="G49" i="9"/>
  <c r="F49" i="9"/>
  <c r="E49" i="9"/>
  <c r="D49" i="9"/>
  <c r="C49" i="9"/>
  <c r="B49" i="9"/>
  <c r="N49" i="9" s="1"/>
  <c r="A49" i="9"/>
  <c r="Q48" i="9"/>
  <c r="K48" i="9"/>
  <c r="J48" i="9"/>
  <c r="I48" i="9"/>
  <c r="H48" i="9"/>
  <c r="G48" i="9"/>
  <c r="F48" i="9"/>
  <c r="E48" i="9"/>
  <c r="D48" i="9"/>
  <c r="C48" i="9"/>
  <c r="B48" i="9"/>
  <c r="N48" i="9" s="1"/>
  <c r="A48" i="9"/>
  <c r="Q47" i="9"/>
  <c r="K47" i="9"/>
  <c r="J47" i="9"/>
  <c r="I47" i="9"/>
  <c r="H47" i="9"/>
  <c r="G47" i="9"/>
  <c r="F47" i="9"/>
  <c r="E47" i="9"/>
  <c r="D47" i="9"/>
  <c r="C47" i="9"/>
  <c r="B47" i="9"/>
  <c r="M47" i="9" s="1"/>
  <c r="A47" i="9"/>
  <c r="Q46" i="9"/>
  <c r="K46" i="9"/>
  <c r="J46" i="9"/>
  <c r="I46" i="9"/>
  <c r="H46" i="9"/>
  <c r="G46" i="9"/>
  <c r="F46" i="9"/>
  <c r="E46" i="9"/>
  <c r="D46" i="9"/>
  <c r="C46" i="9"/>
  <c r="B46" i="9"/>
  <c r="M46" i="9" s="1"/>
  <c r="A46" i="9"/>
  <c r="Q45" i="9"/>
  <c r="K45" i="9"/>
  <c r="J45" i="9"/>
  <c r="I45" i="9"/>
  <c r="H45" i="9"/>
  <c r="G45" i="9"/>
  <c r="F45" i="9"/>
  <c r="E45" i="9"/>
  <c r="D45" i="9"/>
  <c r="C45" i="9"/>
  <c r="B45" i="9"/>
  <c r="A45" i="7" s="1"/>
  <c r="J45" i="7" s="1"/>
  <c r="A45" i="9"/>
  <c r="Q44" i="9"/>
  <c r="K44" i="9"/>
  <c r="J44" i="9"/>
  <c r="I44" i="9"/>
  <c r="H44" i="9"/>
  <c r="G44" i="9"/>
  <c r="F44" i="9"/>
  <c r="E44" i="9"/>
  <c r="D44" i="9"/>
  <c r="C44" i="9"/>
  <c r="B44" i="9"/>
  <c r="U44" i="14" s="1"/>
  <c r="A44" i="9"/>
  <c r="Q43" i="9"/>
  <c r="K43" i="9"/>
  <c r="J43" i="9"/>
  <c r="I43" i="9"/>
  <c r="H43" i="9"/>
  <c r="G43" i="9"/>
  <c r="F43" i="9"/>
  <c r="E43" i="9"/>
  <c r="D43" i="9"/>
  <c r="C43" i="9"/>
  <c r="B43" i="9"/>
  <c r="N43" i="9" s="1"/>
  <c r="A43" i="9"/>
  <c r="Q42" i="9"/>
  <c r="K42" i="9"/>
  <c r="J42" i="9"/>
  <c r="I42" i="9"/>
  <c r="H42" i="9"/>
  <c r="G42" i="9"/>
  <c r="F42" i="9"/>
  <c r="E42" i="9"/>
  <c r="D42" i="9"/>
  <c r="C42" i="9"/>
  <c r="B42" i="9"/>
  <c r="N42" i="9" s="1"/>
  <c r="A42" i="9"/>
  <c r="Q41" i="9"/>
  <c r="K41" i="9"/>
  <c r="J41" i="9"/>
  <c r="I41" i="9"/>
  <c r="H41" i="9"/>
  <c r="G41" i="9"/>
  <c r="F41" i="9"/>
  <c r="E41" i="9"/>
  <c r="D41" i="9"/>
  <c r="C41" i="9"/>
  <c r="B41" i="9"/>
  <c r="A41" i="9"/>
  <c r="Q40" i="9"/>
  <c r="K40" i="9"/>
  <c r="J40" i="9"/>
  <c r="I40" i="9"/>
  <c r="H40" i="9"/>
  <c r="G40" i="9"/>
  <c r="F40" i="9"/>
  <c r="E40" i="9"/>
  <c r="D40" i="9"/>
  <c r="C40" i="9"/>
  <c r="B40" i="9"/>
  <c r="M40" i="9" s="1"/>
  <c r="A40" i="9"/>
  <c r="Q39" i="9"/>
  <c r="K39" i="9"/>
  <c r="J39" i="9"/>
  <c r="I39" i="9"/>
  <c r="H39" i="9"/>
  <c r="G39" i="9"/>
  <c r="F39" i="9"/>
  <c r="E39" i="9"/>
  <c r="D39" i="9"/>
  <c r="C39" i="9"/>
  <c r="B39" i="9"/>
  <c r="N39" i="9" s="1"/>
  <c r="A39" i="9"/>
  <c r="Q38" i="9"/>
  <c r="K38" i="9"/>
  <c r="J38" i="9"/>
  <c r="I38" i="9"/>
  <c r="H38" i="9"/>
  <c r="G38" i="9"/>
  <c r="F38" i="9"/>
  <c r="E38" i="9"/>
  <c r="D38" i="9"/>
  <c r="C38" i="9"/>
  <c r="B38" i="9"/>
  <c r="N38" i="9" s="1"/>
  <c r="A38" i="9"/>
  <c r="Q37" i="9"/>
  <c r="K37" i="9"/>
  <c r="J37" i="9"/>
  <c r="I37" i="9"/>
  <c r="H37" i="9"/>
  <c r="G37" i="9"/>
  <c r="F37" i="9"/>
  <c r="E37" i="9"/>
  <c r="D37" i="9"/>
  <c r="C37" i="9"/>
  <c r="B37" i="9"/>
  <c r="M37" i="9" s="1"/>
  <c r="A37" i="9"/>
  <c r="Q36" i="9"/>
  <c r="K36" i="9"/>
  <c r="J36" i="9"/>
  <c r="I36" i="9"/>
  <c r="H36" i="9"/>
  <c r="G36" i="9"/>
  <c r="F36" i="9"/>
  <c r="E36" i="9"/>
  <c r="D36" i="9"/>
  <c r="C36" i="9"/>
  <c r="B36" i="9"/>
  <c r="N36" i="9" s="1"/>
  <c r="A36" i="9"/>
  <c r="Q35" i="9"/>
  <c r="K35" i="9"/>
  <c r="J35" i="9"/>
  <c r="I35" i="9"/>
  <c r="H35" i="9"/>
  <c r="G35" i="9"/>
  <c r="F35" i="9"/>
  <c r="E35" i="9"/>
  <c r="D35" i="9"/>
  <c r="C35" i="9"/>
  <c r="B35" i="9"/>
  <c r="A35" i="9"/>
  <c r="Q34" i="9"/>
  <c r="K34" i="9"/>
  <c r="J34" i="9"/>
  <c r="I34" i="9"/>
  <c r="H34" i="9"/>
  <c r="G34" i="9"/>
  <c r="F34" i="9"/>
  <c r="E34" i="9"/>
  <c r="D34" i="9"/>
  <c r="C34" i="9"/>
  <c r="B34" i="9"/>
  <c r="A34" i="7" s="1"/>
  <c r="A34" i="9"/>
  <c r="Q33" i="9"/>
  <c r="K33" i="9"/>
  <c r="J33" i="9"/>
  <c r="I33" i="9"/>
  <c r="H33" i="9"/>
  <c r="G33" i="9"/>
  <c r="F33" i="9"/>
  <c r="E33" i="9"/>
  <c r="D33" i="9"/>
  <c r="C33" i="9"/>
  <c r="B33" i="9"/>
  <c r="N33" i="9" s="1"/>
  <c r="A33" i="9"/>
  <c r="Q32" i="9"/>
  <c r="K32" i="9"/>
  <c r="J32" i="9"/>
  <c r="I32" i="9"/>
  <c r="H32" i="9"/>
  <c r="G32" i="9"/>
  <c r="F32" i="9"/>
  <c r="E32" i="9"/>
  <c r="D32" i="9"/>
  <c r="C32" i="9"/>
  <c r="B32" i="9"/>
  <c r="N32" i="9" s="1"/>
  <c r="A32" i="9"/>
  <c r="Q31" i="9"/>
  <c r="K31" i="9"/>
  <c r="J31" i="9"/>
  <c r="I31" i="9"/>
  <c r="H31" i="9"/>
  <c r="G31" i="9"/>
  <c r="F31" i="9"/>
  <c r="E31" i="9"/>
  <c r="D31" i="9"/>
  <c r="C31" i="9"/>
  <c r="B31" i="9"/>
  <c r="A31" i="9"/>
  <c r="Q30" i="9"/>
  <c r="K30" i="9"/>
  <c r="J30" i="9"/>
  <c r="I30" i="9"/>
  <c r="H30" i="9"/>
  <c r="G30" i="9"/>
  <c r="F30" i="9"/>
  <c r="E30" i="9"/>
  <c r="D30" i="9"/>
  <c r="C30" i="9"/>
  <c r="B30" i="9"/>
  <c r="A30" i="9"/>
  <c r="Q29" i="9"/>
  <c r="K29" i="9"/>
  <c r="J29" i="9"/>
  <c r="I29" i="9"/>
  <c r="H29" i="9"/>
  <c r="G29" i="9"/>
  <c r="F29" i="9"/>
  <c r="E29" i="9"/>
  <c r="D29" i="9"/>
  <c r="C29" i="9"/>
  <c r="B29" i="9"/>
  <c r="A29" i="7" s="1"/>
  <c r="A29" i="9"/>
  <c r="Q28" i="9"/>
  <c r="K28" i="9"/>
  <c r="J28" i="9"/>
  <c r="I28" i="9"/>
  <c r="H28" i="9"/>
  <c r="G28" i="9"/>
  <c r="F28" i="9"/>
  <c r="E28" i="9"/>
  <c r="D28" i="9"/>
  <c r="C28" i="9"/>
  <c r="B28" i="9"/>
  <c r="N28" i="9" s="1"/>
  <c r="A28" i="9"/>
  <c r="Q27" i="9"/>
  <c r="K27" i="9"/>
  <c r="J27" i="9"/>
  <c r="I27" i="9"/>
  <c r="H27" i="9"/>
  <c r="G27" i="9"/>
  <c r="F27" i="9"/>
  <c r="E27" i="9"/>
  <c r="D27" i="9"/>
  <c r="C27" i="9"/>
  <c r="B27" i="9"/>
  <c r="A27" i="7" s="1"/>
  <c r="Q27" i="7" s="1"/>
  <c r="A27" i="9"/>
  <c r="Q26" i="9"/>
  <c r="K26" i="9"/>
  <c r="J26" i="9"/>
  <c r="I26" i="9"/>
  <c r="H26" i="9"/>
  <c r="G26" i="9"/>
  <c r="F26" i="9"/>
  <c r="E26" i="9"/>
  <c r="D26" i="9"/>
  <c r="C26" i="9"/>
  <c r="B26" i="9"/>
  <c r="M26" i="9" s="1"/>
  <c r="A26" i="9"/>
  <c r="Q25" i="9"/>
  <c r="K25" i="9"/>
  <c r="J25" i="9"/>
  <c r="I25" i="9"/>
  <c r="H25" i="9"/>
  <c r="G25" i="9"/>
  <c r="F25" i="9"/>
  <c r="E25" i="9"/>
  <c r="D25" i="9"/>
  <c r="C25" i="9"/>
  <c r="B25" i="9"/>
  <c r="M25" i="9" s="1"/>
  <c r="A25" i="9"/>
  <c r="Q24" i="9"/>
  <c r="K24" i="9"/>
  <c r="J24" i="9"/>
  <c r="I24" i="9"/>
  <c r="H24" i="9"/>
  <c r="G24" i="9"/>
  <c r="F24" i="9"/>
  <c r="E24" i="9"/>
  <c r="D24" i="9"/>
  <c r="C24" i="9"/>
  <c r="B24" i="9"/>
  <c r="N24" i="9" s="1"/>
  <c r="A24" i="9"/>
  <c r="Q23" i="9"/>
  <c r="K23" i="9"/>
  <c r="J23" i="9"/>
  <c r="I23" i="9"/>
  <c r="H23" i="9"/>
  <c r="G23" i="9"/>
  <c r="F23" i="9"/>
  <c r="E23" i="9"/>
  <c r="D23" i="9"/>
  <c r="C23" i="9"/>
  <c r="B23" i="9"/>
  <c r="N23" i="9" s="1"/>
  <c r="A23" i="9"/>
  <c r="Q22" i="9"/>
  <c r="K22" i="9"/>
  <c r="J22" i="9"/>
  <c r="I22" i="9"/>
  <c r="H22" i="9"/>
  <c r="G22" i="9"/>
  <c r="F22" i="9"/>
  <c r="E22" i="9"/>
  <c r="D22" i="9"/>
  <c r="C22" i="9"/>
  <c r="B22" i="9"/>
  <c r="N22" i="9" s="1"/>
  <c r="A22" i="9"/>
  <c r="Q21" i="9"/>
  <c r="K21" i="9"/>
  <c r="J21" i="9"/>
  <c r="I21" i="9"/>
  <c r="H21" i="9"/>
  <c r="G21" i="9"/>
  <c r="F21" i="9"/>
  <c r="E21" i="9"/>
  <c r="D21" i="9"/>
  <c r="C21" i="9"/>
  <c r="B21" i="9"/>
  <c r="M21" i="9" s="1"/>
  <c r="A21" i="9"/>
  <c r="Q20" i="9"/>
  <c r="K20" i="9"/>
  <c r="J20" i="9"/>
  <c r="P20" i="9" s="1"/>
  <c r="I20" i="9"/>
  <c r="H20" i="9"/>
  <c r="G20" i="9"/>
  <c r="F20" i="9"/>
  <c r="E20" i="9"/>
  <c r="D20" i="9"/>
  <c r="C20" i="9"/>
  <c r="B20" i="9"/>
  <c r="A20" i="9"/>
  <c r="Q19" i="9"/>
  <c r="K19" i="9"/>
  <c r="J19" i="9"/>
  <c r="I19" i="9"/>
  <c r="H19" i="9"/>
  <c r="G19" i="9"/>
  <c r="F19" i="9"/>
  <c r="E19" i="9"/>
  <c r="D19" i="9"/>
  <c r="C19" i="9"/>
  <c r="B19" i="9"/>
  <c r="N19" i="9" s="1"/>
  <c r="A19" i="9"/>
  <c r="Q18" i="9"/>
  <c r="K18" i="9"/>
  <c r="J18" i="9"/>
  <c r="L18" i="9" s="1"/>
  <c r="R18" i="9" s="1"/>
  <c r="I18" i="9"/>
  <c r="H18" i="9"/>
  <c r="G18" i="9"/>
  <c r="F18" i="9"/>
  <c r="E18" i="9"/>
  <c r="D18" i="9"/>
  <c r="C18" i="9"/>
  <c r="B18" i="9"/>
  <c r="N18" i="9" s="1"/>
  <c r="A18" i="9"/>
  <c r="Q17" i="9"/>
  <c r="K17" i="9"/>
  <c r="J17" i="9"/>
  <c r="I17" i="9"/>
  <c r="H17" i="9"/>
  <c r="G17" i="9"/>
  <c r="F17" i="9"/>
  <c r="E17" i="9"/>
  <c r="D17" i="9"/>
  <c r="C17" i="9"/>
  <c r="B17" i="9"/>
  <c r="A17" i="7" s="1"/>
  <c r="A17" i="9"/>
  <c r="Q16" i="9"/>
  <c r="K16" i="9"/>
  <c r="J16" i="9"/>
  <c r="I16" i="9"/>
  <c r="H16" i="9"/>
  <c r="G16" i="9"/>
  <c r="F16" i="9"/>
  <c r="E16" i="9"/>
  <c r="D16" i="9"/>
  <c r="C16" i="9"/>
  <c r="B16" i="9"/>
  <c r="M16" i="9" s="1"/>
  <c r="A16" i="9"/>
  <c r="Q15" i="9"/>
  <c r="K15" i="9"/>
  <c r="J15" i="9"/>
  <c r="I15" i="9"/>
  <c r="H15" i="9"/>
  <c r="G15" i="9"/>
  <c r="F15" i="9"/>
  <c r="E15" i="9"/>
  <c r="D15" i="9"/>
  <c r="C15" i="9"/>
  <c r="B15" i="9"/>
  <c r="A15" i="9"/>
  <c r="Q14" i="9"/>
  <c r="K14" i="9"/>
  <c r="J14" i="9"/>
  <c r="I14" i="9"/>
  <c r="H14" i="9"/>
  <c r="G14" i="9"/>
  <c r="F14" i="9"/>
  <c r="E14" i="9"/>
  <c r="D14" i="9"/>
  <c r="C14" i="9"/>
  <c r="B14" i="9"/>
  <c r="N14" i="9" s="1"/>
  <c r="A14" i="9"/>
  <c r="Q13" i="9"/>
  <c r="K13" i="9"/>
  <c r="J13" i="9"/>
  <c r="I13" i="9"/>
  <c r="H13" i="9"/>
  <c r="G13" i="9"/>
  <c r="F13" i="9"/>
  <c r="E13" i="9"/>
  <c r="D13" i="9"/>
  <c r="C13" i="9"/>
  <c r="B13" i="9"/>
  <c r="A13" i="7" s="1"/>
  <c r="N13" i="7" s="1"/>
  <c r="A13" i="9"/>
  <c r="Q12" i="9"/>
  <c r="K12" i="9"/>
  <c r="J12" i="9"/>
  <c r="I12" i="9"/>
  <c r="H12" i="9"/>
  <c r="G12" i="9"/>
  <c r="F12" i="9"/>
  <c r="E12" i="9"/>
  <c r="D12" i="9"/>
  <c r="C12" i="9"/>
  <c r="B12" i="9"/>
  <c r="N12" i="9" s="1"/>
  <c r="A12" i="9"/>
  <c r="Q11" i="9"/>
  <c r="K11" i="9"/>
  <c r="J11" i="9"/>
  <c r="I11" i="9"/>
  <c r="H11" i="9"/>
  <c r="G11" i="9"/>
  <c r="F11" i="9"/>
  <c r="E11" i="9"/>
  <c r="D11" i="9"/>
  <c r="C11" i="9"/>
  <c r="B11" i="9"/>
  <c r="N11" i="9" s="1"/>
  <c r="A11" i="9"/>
  <c r="Q10" i="9"/>
  <c r="K10" i="9"/>
  <c r="J10" i="9"/>
  <c r="I10" i="9"/>
  <c r="H10" i="9"/>
  <c r="G10" i="9"/>
  <c r="F10" i="9"/>
  <c r="E10" i="9"/>
  <c r="D10" i="9"/>
  <c r="C10" i="9"/>
  <c r="B10" i="9"/>
  <c r="A10" i="9"/>
  <c r="Q9" i="9"/>
  <c r="K9" i="9"/>
  <c r="J9" i="9"/>
  <c r="I9" i="9"/>
  <c r="H9" i="9"/>
  <c r="G9" i="9"/>
  <c r="F9" i="9"/>
  <c r="E9" i="9"/>
  <c r="D9" i="9"/>
  <c r="C9" i="9"/>
  <c r="B9" i="9"/>
  <c r="A9" i="9"/>
  <c r="Q8" i="9"/>
  <c r="K8" i="9"/>
  <c r="J8" i="9"/>
  <c r="I8" i="9"/>
  <c r="H8" i="9"/>
  <c r="G8" i="9"/>
  <c r="F8" i="9"/>
  <c r="E8" i="9"/>
  <c r="D8" i="9"/>
  <c r="C8" i="9"/>
  <c r="B8" i="9"/>
  <c r="A8" i="7" s="1"/>
  <c r="A8" i="9"/>
  <c r="Q7" i="9"/>
  <c r="K7" i="9"/>
  <c r="J7" i="9"/>
  <c r="I7" i="9"/>
  <c r="H7" i="9"/>
  <c r="G7" i="9"/>
  <c r="F7" i="9"/>
  <c r="E7" i="9"/>
  <c r="D7" i="9"/>
  <c r="C7" i="9"/>
  <c r="B7" i="9"/>
  <c r="A7" i="7" s="1"/>
  <c r="Q7" i="7" s="1"/>
  <c r="A7" i="9"/>
  <c r="Q6" i="9"/>
  <c r="K6" i="9"/>
  <c r="J6" i="9"/>
  <c r="I6" i="9"/>
  <c r="H6" i="9"/>
  <c r="G6" i="9"/>
  <c r="F6" i="9"/>
  <c r="E6" i="9"/>
  <c r="D6" i="9"/>
  <c r="C6" i="9"/>
  <c r="B6" i="9"/>
  <c r="M6" i="9" s="1"/>
  <c r="A6" i="9"/>
  <c r="Q5" i="9"/>
  <c r="K5" i="9"/>
  <c r="J5" i="9"/>
  <c r="I5" i="9"/>
  <c r="H5" i="9"/>
  <c r="G5" i="9"/>
  <c r="F5" i="9"/>
  <c r="E5" i="9"/>
  <c r="D5" i="9"/>
  <c r="C5" i="9"/>
  <c r="B5" i="9"/>
  <c r="A5" i="7" s="1"/>
  <c r="A5" i="9"/>
  <c r="Q4" i="9"/>
  <c r="K4" i="9"/>
  <c r="J4" i="9"/>
  <c r="I4" i="9"/>
  <c r="H4" i="9"/>
  <c r="G4" i="9"/>
  <c r="F4" i="9"/>
  <c r="E4" i="9"/>
  <c r="D4" i="9"/>
  <c r="C4" i="9"/>
  <c r="B4" i="9"/>
  <c r="N4" i="9" s="1"/>
  <c r="A4" i="9"/>
  <c r="D154" i="8"/>
  <c r="H153" i="8"/>
  <c r="G153" i="8"/>
  <c r="F153" i="8"/>
  <c r="H152" i="8"/>
  <c r="G152" i="8"/>
  <c r="F152" i="8"/>
  <c r="H151" i="8"/>
  <c r="G151" i="8"/>
  <c r="F151" i="8"/>
  <c r="H150" i="8"/>
  <c r="G150" i="8"/>
  <c r="F150" i="8"/>
  <c r="H149" i="8"/>
  <c r="G149" i="8"/>
  <c r="F149" i="8"/>
  <c r="H148" i="8"/>
  <c r="G148" i="8"/>
  <c r="F148" i="8"/>
  <c r="H147" i="8"/>
  <c r="G147" i="8"/>
  <c r="F147" i="8"/>
  <c r="H146" i="8"/>
  <c r="G146" i="8"/>
  <c r="F146" i="8"/>
  <c r="H145" i="8"/>
  <c r="G145" i="8"/>
  <c r="F145" i="8"/>
  <c r="H144" i="8"/>
  <c r="G144" i="8"/>
  <c r="F144" i="8"/>
  <c r="H143" i="8"/>
  <c r="G143" i="8"/>
  <c r="F143" i="8"/>
  <c r="H142" i="8"/>
  <c r="G142" i="8"/>
  <c r="F142" i="8"/>
  <c r="H141" i="8"/>
  <c r="G141" i="8"/>
  <c r="F141" i="8"/>
  <c r="H140" i="8"/>
  <c r="G140" i="8"/>
  <c r="F140" i="8"/>
  <c r="H139" i="8"/>
  <c r="G139" i="8"/>
  <c r="F139" i="8"/>
  <c r="H138" i="8"/>
  <c r="G138" i="8"/>
  <c r="F138" i="8"/>
  <c r="H137" i="8"/>
  <c r="G137" i="8"/>
  <c r="F137" i="8"/>
  <c r="H136" i="8"/>
  <c r="G136" i="8"/>
  <c r="F136" i="8"/>
  <c r="H135" i="8"/>
  <c r="G135" i="8"/>
  <c r="F135" i="8"/>
  <c r="H134" i="8"/>
  <c r="G134" i="8"/>
  <c r="F134" i="8"/>
  <c r="H133" i="8"/>
  <c r="G133" i="8"/>
  <c r="F133" i="8"/>
  <c r="H132" i="8"/>
  <c r="G132" i="8"/>
  <c r="F132" i="8"/>
  <c r="H131" i="8"/>
  <c r="G131" i="8"/>
  <c r="F131" i="8"/>
  <c r="H130" i="8"/>
  <c r="G130" i="8"/>
  <c r="F130" i="8"/>
  <c r="H129" i="8"/>
  <c r="G129" i="8"/>
  <c r="F129" i="8"/>
  <c r="H128" i="8"/>
  <c r="G128" i="8"/>
  <c r="F128" i="8"/>
  <c r="H127" i="8"/>
  <c r="G127" i="8"/>
  <c r="F127" i="8"/>
  <c r="H126" i="8"/>
  <c r="G126" i="8"/>
  <c r="F126" i="8"/>
  <c r="H125" i="8"/>
  <c r="G125" i="8"/>
  <c r="F125" i="8"/>
  <c r="H124" i="8"/>
  <c r="G124" i="8"/>
  <c r="F124" i="8"/>
  <c r="H123" i="8"/>
  <c r="G123" i="8"/>
  <c r="F123" i="8"/>
  <c r="H122" i="8"/>
  <c r="G122" i="8"/>
  <c r="F122" i="8"/>
  <c r="H121" i="8"/>
  <c r="G121" i="8"/>
  <c r="F121" i="8"/>
  <c r="H120" i="8"/>
  <c r="G120" i="8"/>
  <c r="F120" i="8"/>
  <c r="H119" i="8"/>
  <c r="G119" i="8"/>
  <c r="F119" i="8"/>
  <c r="H118" i="8"/>
  <c r="G118" i="8"/>
  <c r="F118" i="8"/>
  <c r="H117" i="8"/>
  <c r="G117" i="8"/>
  <c r="F117" i="8"/>
  <c r="H116" i="8"/>
  <c r="G116" i="8"/>
  <c r="F116" i="8"/>
  <c r="H115" i="8"/>
  <c r="G115" i="8"/>
  <c r="F115" i="8"/>
  <c r="H114" i="8"/>
  <c r="G114" i="8"/>
  <c r="F114" i="8"/>
  <c r="H113" i="8"/>
  <c r="G113" i="8"/>
  <c r="F113" i="8"/>
  <c r="H112" i="8"/>
  <c r="G112" i="8"/>
  <c r="F112" i="8"/>
  <c r="H111" i="8"/>
  <c r="G111" i="8"/>
  <c r="F111" i="8"/>
  <c r="H110" i="8"/>
  <c r="G110" i="8"/>
  <c r="F110" i="8"/>
  <c r="H109" i="8"/>
  <c r="G109" i="8"/>
  <c r="F109" i="8"/>
  <c r="H108" i="8"/>
  <c r="G108" i="8"/>
  <c r="F108" i="8"/>
  <c r="H107" i="8"/>
  <c r="G107" i="8"/>
  <c r="F107" i="8"/>
  <c r="H106" i="8"/>
  <c r="G106" i="8"/>
  <c r="F106" i="8"/>
  <c r="H105" i="8"/>
  <c r="G105" i="8"/>
  <c r="F105" i="8"/>
  <c r="H104" i="8"/>
  <c r="G104" i="8"/>
  <c r="F104" i="8"/>
  <c r="H103" i="8"/>
  <c r="G103" i="8"/>
  <c r="F103" i="8"/>
  <c r="H102" i="8"/>
  <c r="G102" i="8"/>
  <c r="F102" i="8"/>
  <c r="H101" i="8"/>
  <c r="G101" i="8"/>
  <c r="F101" i="8"/>
  <c r="H100" i="8"/>
  <c r="G100" i="8"/>
  <c r="F100" i="8"/>
  <c r="H99" i="8"/>
  <c r="G99" i="8"/>
  <c r="F99" i="8"/>
  <c r="H98" i="8"/>
  <c r="G98" i="8"/>
  <c r="F98" i="8"/>
  <c r="H97" i="8"/>
  <c r="G97" i="8"/>
  <c r="F97" i="8"/>
  <c r="H96" i="8"/>
  <c r="G96" i="8"/>
  <c r="F96" i="8"/>
  <c r="H95" i="8"/>
  <c r="G95" i="8"/>
  <c r="F95" i="8"/>
  <c r="H94" i="8"/>
  <c r="G94" i="8"/>
  <c r="F94" i="8"/>
  <c r="H93" i="8"/>
  <c r="G93" i="8"/>
  <c r="F93" i="8"/>
  <c r="H92" i="8"/>
  <c r="G92" i="8"/>
  <c r="F92" i="8"/>
  <c r="F91" i="8"/>
  <c r="G91" i="8" s="1"/>
  <c r="F90" i="8"/>
  <c r="F89" i="8"/>
  <c r="F127" i="13" s="1"/>
  <c r="F88" i="8"/>
  <c r="G88" i="8" s="1"/>
  <c r="G126" i="13" s="1"/>
  <c r="F87" i="8"/>
  <c r="H87" i="8" s="1"/>
  <c r="H125" i="13" s="1"/>
  <c r="F86" i="8"/>
  <c r="F85" i="8"/>
  <c r="F84" i="8"/>
  <c r="F122" i="13" s="1"/>
  <c r="F83" i="8"/>
  <c r="H83" i="8" s="1"/>
  <c r="H121" i="13" s="1"/>
  <c r="F82" i="8"/>
  <c r="F120" i="13" s="1"/>
  <c r="F81" i="8"/>
  <c r="F80" i="8"/>
  <c r="F79" i="8"/>
  <c r="F78" i="8"/>
  <c r="F116" i="13" s="1"/>
  <c r="F77" i="8"/>
  <c r="F115" i="13" s="1"/>
  <c r="F76" i="8"/>
  <c r="F75" i="8"/>
  <c r="F74" i="8"/>
  <c r="H74" i="8" s="1"/>
  <c r="H112" i="13" s="1"/>
  <c r="F73" i="8"/>
  <c r="F111" i="13" s="1"/>
  <c r="F72" i="8"/>
  <c r="F71" i="8"/>
  <c r="F70" i="8"/>
  <c r="F108" i="13" s="1"/>
  <c r="F69" i="8"/>
  <c r="G69" i="8" s="1"/>
  <c r="G107" i="13" s="1"/>
  <c r="F68" i="8"/>
  <c r="H68" i="8" s="1"/>
  <c r="H106" i="13" s="1"/>
  <c r="F67" i="8"/>
  <c r="F105" i="13" s="1"/>
  <c r="F66" i="8"/>
  <c r="F104" i="13" s="1"/>
  <c r="F65" i="8"/>
  <c r="F64" i="8"/>
  <c r="H64" i="8" s="1"/>
  <c r="H102" i="13" s="1"/>
  <c r="F63" i="8"/>
  <c r="F101" i="13" s="1"/>
  <c r="F62" i="8"/>
  <c r="H62" i="8" s="1"/>
  <c r="H100" i="13" s="1"/>
  <c r="F61" i="8"/>
  <c r="F99" i="13" s="1"/>
  <c r="F60" i="8"/>
  <c r="H60" i="8" s="1"/>
  <c r="H98" i="13" s="1"/>
  <c r="F59" i="8"/>
  <c r="H59" i="8" s="1"/>
  <c r="H97" i="13" s="1"/>
  <c r="F58" i="8"/>
  <c r="G58" i="8" s="1"/>
  <c r="G96" i="13" s="1"/>
  <c r="F57" i="8"/>
  <c r="H57" i="8" s="1"/>
  <c r="H95" i="13" s="1"/>
  <c r="F56" i="8"/>
  <c r="F55" i="8"/>
  <c r="G55" i="8" s="1"/>
  <c r="G93" i="13" s="1"/>
  <c r="F54" i="8"/>
  <c r="F53" i="8"/>
  <c r="F91" i="13" s="1"/>
  <c r="F52" i="8"/>
  <c r="H52" i="8" s="1"/>
  <c r="H90" i="13" s="1"/>
  <c r="F51" i="8"/>
  <c r="H51" i="8" s="1"/>
  <c r="H89" i="13" s="1"/>
  <c r="F50" i="8"/>
  <c r="F49" i="8"/>
  <c r="F48" i="8"/>
  <c r="F86" i="13" s="1"/>
  <c r="F47" i="8"/>
  <c r="F46" i="8"/>
  <c r="H46" i="8" s="1"/>
  <c r="H84" i="13" s="1"/>
  <c r="F45" i="8"/>
  <c r="F44" i="8"/>
  <c r="F43" i="8"/>
  <c r="F81" i="13" s="1"/>
  <c r="F42" i="8"/>
  <c r="H42" i="8" s="1"/>
  <c r="H80" i="13" s="1"/>
  <c r="F41" i="8"/>
  <c r="H41" i="8" s="1"/>
  <c r="H79" i="13" s="1"/>
  <c r="F40" i="8"/>
  <c r="F39" i="8"/>
  <c r="F38" i="8"/>
  <c r="F37" i="8"/>
  <c r="F36" i="8"/>
  <c r="F74" i="13" s="1"/>
  <c r="F35" i="8"/>
  <c r="G35" i="8" s="1"/>
  <c r="G73" i="13" s="1"/>
  <c r="F34" i="8"/>
  <c r="H34" i="8" s="1"/>
  <c r="H72" i="13" s="1"/>
  <c r="F33" i="8"/>
  <c r="F32" i="8"/>
  <c r="F31" i="8"/>
  <c r="F69" i="13" s="1"/>
  <c r="F30" i="8"/>
  <c r="F29" i="8"/>
  <c r="F67" i="13" s="1"/>
  <c r="F28" i="8"/>
  <c r="F66" i="13" s="1"/>
  <c r="F27" i="8"/>
  <c r="F65" i="13" s="1"/>
  <c r="F26" i="8"/>
  <c r="G26" i="8" s="1"/>
  <c r="G64" i="13" s="1"/>
  <c r="F25" i="8"/>
  <c r="G25" i="8" s="1"/>
  <c r="G63" i="13" s="1"/>
  <c r="F24" i="8"/>
  <c r="F62" i="13" s="1"/>
  <c r="F23" i="8"/>
  <c r="H23" i="8" s="1"/>
  <c r="H61" i="13" s="1"/>
  <c r="F22" i="8"/>
  <c r="H22" i="8" s="1"/>
  <c r="H60" i="13" s="1"/>
  <c r="F21" i="8"/>
  <c r="F20" i="8"/>
  <c r="F19" i="8"/>
  <c r="F18" i="8"/>
  <c r="H18" i="8" s="1"/>
  <c r="H56" i="13" s="1"/>
  <c r="F17" i="8"/>
  <c r="F55" i="13" s="1"/>
  <c r="F16" i="8"/>
  <c r="F15" i="8"/>
  <c r="G15" i="8" s="1"/>
  <c r="G53" i="13" s="1"/>
  <c r="F14" i="8"/>
  <c r="F13" i="8"/>
  <c r="F12" i="8"/>
  <c r="H12" i="8" s="1"/>
  <c r="H50" i="13" s="1"/>
  <c r="F11" i="8"/>
  <c r="H11" i="8" s="1"/>
  <c r="H49" i="13" s="1"/>
  <c r="F10" i="8"/>
  <c r="F48" i="13" s="1"/>
  <c r="F9" i="8"/>
  <c r="F47" i="13" s="1"/>
  <c r="F8" i="8"/>
  <c r="F7" i="8"/>
  <c r="F6" i="8"/>
  <c r="F44" i="13" s="1"/>
  <c r="F5" i="8"/>
  <c r="G5" i="8" s="1"/>
  <c r="G43" i="13" s="1"/>
  <c r="F4" i="8"/>
  <c r="F42" i="13" s="1"/>
  <c r="P204" i="7"/>
  <c r="O204" i="7"/>
  <c r="M204" i="7"/>
  <c r="H204" i="7"/>
  <c r="G204" i="7"/>
  <c r="E201" i="7"/>
  <c r="E412" i="6"/>
  <c r="F412" i="6" s="1"/>
  <c r="D412" i="6"/>
  <c r="C412" i="6"/>
  <c r="B412" i="6"/>
  <c r="G412" i="6" s="1"/>
  <c r="A412" i="6"/>
  <c r="E411" i="6"/>
  <c r="F411" i="6" s="1"/>
  <c r="D411" i="6"/>
  <c r="C411" i="6"/>
  <c r="B411" i="6"/>
  <c r="G411" i="6" s="1"/>
  <c r="A411" i="6"/>
  <c r="E410" i="6"/>
  <c r="F410" i="6" s="1"/>
  <c r="D410" i="6"/>
  <c r="C410" i="6"/>
  <c r="B410" i="6"/>
  <c r="G410" i="6" s="1"/>
  <c r="A410" i="6"/>
  <c r="E409" i="6"/>
  <c r="F409" i="6" s="1"/>
  <c r="D409" i="6"/>
  <c r="C409" i="6"/>
  <c r="B409" i="6"/>
  <c r="G409" i="6" s="1"/>
  <c r="A409" i="6"/>
  <c r="E408" i="6"/>
  <c r="F408" i="6" s="1"/>
  <c r="D408" i="6"/>
  <c r="C408" i="6"/>
  <c r="B408" i="6"/>
  <c r="G408" i="6" s="1"/>
  <c r="A408" i="6"/>
  <c r="E407" i="6"/>
  <c r="F407" i="6" s="1"/>
  <c r="D407" i="6"/>
  <c r="C407" i="6"/>
  <c r="B407" i="6"/>
  <c r="G407" i="6" s="1"/>
  <c r="A407" i="6"/>
  <c r="E406" i="6"/>
  <c r="F406" i="6" s="1"/>
  <c r="D406" i="6"/>
  <c r="C406" i="6"/>
  <c r="B406" i="6"/>
  <c r="G406" i="6" s="1"/>
  <c r="A406" i="6"/>
  <c r="E405" i="6"/>
  <c r="F405" i="6" s="1"/>
  <c r="D405" i="6"/>
  <c r="C405" i="6"/>
  <c r="B405" i="6"/>
  <c r="G405" i="6" s="1"/>
  <c r="A405" i="6"/>
  <c r="E404" i="6"/>
  <c r="F404" i="6" s="1"/>
  <c r="D404" i="6"/>
  <c r="C404" i="6"/>
  <c r="B404" i="6"/>
  <c r="G404" i="6" s="1"/>
  <c r="A404" i="6"/>
  <c r="E403" i="6"/>
  <c r="F403" i="6" s="1"/>
  <c r="D403" i="6"/>
  <c r="C403" i="6"/>
  <c r="B403" i="6"/>
  <c r="G403" i="6" s="1"/>
  <c r="A403" i="6"/>
  <c r="E402" i="6"/>
  <c r="F402" i="6" s="1"/>
  <c r="D402" i="6"/>
  <c r="C402" i="6"/>
  <c r="G402" i="6"/>
  <c r="A402" i="6"/>
  <c r="E401" i="6"/>
  <c r="F401" i="6" s="1"/>
  <c r="D401" i="6"/>
  <c r="C401" i="6"/>
  <c r="B401" i="6"/>
  <c r="G401" i="6" s="1"/>
  <c r="A401" i="6"/>
  <c r="E400" i="6"/>
  <c r="F400" i="6" s="1"/>
  <c r="D400" i="6"/>
  <c r="C400" i="6"/>
  <c r="B400" i="6"/>
  <c r="G400" i="6" s="1"/>
  <c r="A400" i="6"/>
  <c r="E399" i="6"/>
  <c r="F399" i="6" s="1"/>
  <c r="D399" i="6"/>
  <c r="C399" i="6"/>
  <c r="B399" i="6"/>
  <c r="G399" i="6" s="1"/>
  <c r="A399" i="6"/>
  <c r="E398" i="6"/>
  <c r="F398" i="6" s="1"/>
  <c r="D398" i="6"/>
  <c r="C398" i="6"/>
  <c r="B398" i="6"/>
  <c r="G398" i="6" s="1"/>
  <c r="A398" i="6"/>
  <c r="E397" i="6"/>
  <c r="F397" i="6" s="1"/>
  <c r="D397" i="6"/>
  <c r="C397" i="6"/>
  <c r="B397" i="6"/>
  <c r="G397" i="6" s="1"/>
  <c r="A397" i="6"/>
  <c r="E396" i="6"/>
  <c r="F396" i="6" s="1"/>
  <c r="D396" i="6"/>
  <c r="C396" i="6"/>
  <c r="B396" i="6"/>
  <c r="G396" i="6" s="1"/>
  <c r="A396" i="6"/>
  <c r="E395" i="6"/>
  <c r="F395" i="6" s="1"/>
  <c r="D395" i="6"/>
  <c r="C395" i="6"/>
  <c r="B395" i="6"/>
  <c r="G395" i="6" s="1"/>
  <c r="A395" i="6"/>
  <c r="E394" i="6"/>
  <c r="F394" i="6" s="1"/>
  <c r="D394" i="6"/>
  <c r="C394" i="6"/>
  <c r="B394" i="6"/>
  <c r="G394" i="6" s="1"/>
  <c r="A394" i="6"/>
  <c r="E393" i="6"/>
  <c r="F393" i="6" s="1"/>
  <c r="D393" i="6"/>
  <c r="C393" i="6"/>
  <c r="B393" i="6"/>
  <c r="G393" i="6" s="1"/>
  <c r="A393" i="6"/>
  <c r="E392" i="6"/>
  <c r="F392" i="6" s="1"/>
  <c r="D392" i="6"/>
  <c r="C392" i="6"/>
  <c r="B392" i="6"/>
  <c r="G392" i="6" s="1"/>
  <c r="A392" i="6"/>
  <c r="E391" i="6"/>
  <c r="F391" i="6" s="1"/>
  <c r="D391" i="6"/>
  <c r="C391" i="6"/>
  <c r="B391" i="6"/>
  <c r="G391" i="6" s="1"/>
  <c r="A391" i="6"/>
  <c r="E390" i="6"/>
  <c r="F390" i="6" s="1"/>
  <c r="D390" i="6"/>
  <c r="C390" i="6"/>
  <c r="B390" i="6"/>
  <c r="G390" i="6" s="1"/>
  <c r="A390" i="6"/>
  <c r="E389" i="6"/>
  <c r="F389" i="6" s="1"/>
  <c r="D389" i="6"/>
  <c r="C389" i="6"/>
  <c r="B389" i="6"/>
  <c r="G389" i="6" s="1"/>
  <c r="A389" i="6"/>
  <c r="E388" i="6"/>
  <c r="F388" i="6" s="1"/>
  <c r="D388" i="6"/>
  <c r="C388" i="6"/>
  <c r="B388" i="6"/>
  <c r="G388" i="6" s="1"/>
  <c r="A388" i="6"/>
  <c r="E387" i="6"/>
  <c r="F387" i="6" s="1"/>
  <c r="D387" i="6"/>
  <c r="C387" i="6"/>
  <c r="B387" i="6"/>
  <c r="G387" i="6" s="1"/>
  <c r="A387" i="6"/>
  <c r="E386" i="6"/>
  <c r="F386" i="6" s="1"/>
  <c r="D386" i="6"/>
  <c r="C386" i="6"/>
  <c r="B386" i="6"/>
  <c r="G386" i="6" s="1"/>
  <c r="A386" i="6"/>
  <c r="E385" i="6"/>
  <c r="F385" i="6" s="1"/>
  <c r="D385" i="6"/>
  <c r="C385" i="6"/>
  <c r="B385" i="6"/>
  <c r="G385" i="6" s="1"/>
  <c r="A385" i="6"/>
  <c r="E384" i="6"/>
  <c r="F384" i="6" s="1"/>
  <c r="D384" i="6"/>
  <c r="C384" i="6"/>
  <c r="B384" i="6"/>
  <c r="G384" i="6" s="1"/>
  <c r="A384" i="6"/>
  <c r="E383" i="6"/>
  <c r="F383" i="6" s="1"/>
  <c r="D383" i="6"/>
  <c r="C383" i="6"/>
  <c r="B383" i="6"/>
  <c r="G383" i="6" s="1"/>
  <c r="A383" i="6"/>
  <c r="E382" i="6"/>
  <c r="F382" i="6" s="1"/>
  <c r="D382" i="6"/>
  <c r="C382" i="6"/>
  <c r="B382" i="6"/>
  <c r="G382" i="6" s="1"/>
  <c r="A382" i="6"/>
  <c r="E381" i="6"/>
  <c r="F381" i="6" s="1"/>
  <c r="D381" i="6"/>
  <c r="C381" i="6"/>
  <c r="B381" i="6"/>
  <c r="G381" i="6" s="1"/>
  <c r="A381" i="6"/>
  <c r="E380" i="6"/>
  <c r="F380" i="6" s="1"/>
  <c r="D380" i="6"/>
  <c r="C380" i="6"/>
  <c r="B380" i="6"/>
  <c r="G380" i="6" s="1"/>
  <c r="A380" i="6"/>
  <c r="E379" i="6"/>
  <c r="F379" i="6" s="1"/>
  <c r="D379" i="6"/>
  <c r="C379" i="6"/>
  <c r="B379" i="6"/>
  <c r="G379" i="6" s="1"/>
  <c r="A379" i="6"/>
  <c r="E378" i="6"/>
  <c r="F378" i="6" s="1"/>
  <c r="D378" i="6"/>
  <c r="C378" i="6"/>
  <c r="B378" i="6"/>
  <c r="G378" i="6" s="1"/>
  <c r="A378" i="6"/>
  <c r="E377" i="6"/>
  <c r="F377" i="6" s="1"/>
  <c r="D377" i="6"/>
  <c r="C377" i="6"/>
  <c r="B377" i="6"/>
  <c r="G377" i="6" s="1"/>
  <c r="A377" i="6"/>
  <c r="E376" i="6"/>
  <c r="F376" i="6" s="1"/>
  <c r="D376" i="6"/>
  <c r="C376" i="6"/>
  <c r="B376" i="6"/>
  <c r="G376" i="6" s="1"/>
  <c r="A376" i="6"/>
  <c r="E375" i="6"/>
  <c r="F375" i="6" s="1"/>
  <c r="D375" i="6"/>
  <c r="C375" i="6"/>
  <c r="B375" i="6"/>
  <c r="G375" i="6" s="1"/>
  <c r="A375" i="6"/>
  <c r="E374" i="6"/>
  <c r="F374" i="6" s="1"/>
  <c r="D374" i="6"/>
  <c r="C374" i="6"/>
  <c r="B374" i="6"/>
  <c r="G374" i="6" s="1"/>
  <c r="A374" i="6"/>
  <c r="E373" i="6"/>
  <c r="F373" i="6" s="1"/>
  <c r="D373" i="6"/>
  <c r="C373" i="6"/>
  <c r="B373" i="6"/>
  <c r="G373" i="6" s="1"/>
  <c r="A373" i="6"/>
  <c r="E372" i="6"/>
  <c r="F372" i="6" s="1"/>
  <c r="D372" i="6"/>
  <c r="C372" i="6"/>
  <c r="B372" i="6"/>
  <c r="G372" i="6" s="1"/>
  <c r="A372" i="6"/>
  <c r="E371" i="6"/>
  <c r="F371" i="6" s="1"/>
  <c r="D371" i="6"/>
  <c r="C371" i="6"/>
  <c r="B371" i="6"/>
  <c r="G371" i="6" s="1"/>
  <c r="A371" i="6"/>
  <c r="E370" i="6"/>
  <c r="F370" i="6" s="1"/>
  <c r="D370" i="6"/>
  <c r="C370" i="6"/>
  <c r="B370" i="6"/>
  <c r="G370" i="6" s="1"/>
  <c r="A370" i="6"/>
  <c r="E369" i="6"/>
  <c r="F369" i="6" s="1"/>
  <c r="D369" i="6"/>
  <c r="C369" i="6"/>
  <c r="B369" i="6"/>
  <c r="G369" i="6" s="1"/>
  <c r="A369" i="6"/>
  <c r="E368" i="6"/>
  <c r="F368" i="6" s="1"/>
  <c r="D368" i="6"/>
  <c r="C368" i="6"/>
  <c r="B368" i="6"/>
  <c r="G368" i="6" s="1"/>
  <c r="A368" i="6"/>
  <c r="E367" i="6"/>
  <c r="F367" i="6" s="1"/>
  <c r="D367" i="6"/>
  <c r="C367" i="6"/>
  <c r="B367" i="6"/>
  <c r="G367" i="6" s="1"/>
  <c r="A367" i="6"/>
  <c r="E366" i="6"/>
  <c r="F366" i="6" s="1"/>
  <c r="D366" i="6"/>
  <c r="C366" i="6"/>
  <c r="B366" i="6"/>
  <c r="G366" i="6" s="1"/>
  <c r="A366" i="6"/>
  <c r="E365" i="6"/>
  <c r="F365" i="6" s="1"/>
  <c r="D365" i="6"/>
  <c r="C365" i="6"/>
  <c r="B365" i="6"/>
  <c r="G365" i="6" s="1"/>
  <c r="A365" i="6"/>
  <c r="E364" i="6"/>
  <c r="F364" i="6" s="1"/>
  <c r="D364" i="6"/>
  <c r="C364" i="6"/>
  <c r="B364" i="6"/>
  <c r="G364" i="6" s="1"/>
  <c r="A364" i="6"/>
  <c r="E363" i="6"/>
  <c r="F363" i="6" s="1"/>
  <c r="D363" i="6"/>
  <c r="C363" i="6"/>
  <c r="B363" i="6"/>
  <c r="G363" i="6" s="1"/>
  <c r="A363" i="6"/>
  <c r="E362" i="6"/>
  <c r="F362" i="6" s="1"/>
  <c r="D362" i="6"/>
  <c r="C362" i="6"/>
  <c r="B362" i="6"/>
  <c r="G362" i="6" s="1"/>
  <c r="A362" i="6"/>
  <c r="E361" i="6"/>
  <c r="F361" i="6" s="1"/>
  <c r="D361" i="6"/>
  <c r="C361" i="6"/>
  <c r="B361" i="6"/>
  <c r="G361" i="6" s="1"/>
  <c r="A361" i="6"/>
  <c r="E360" i="6"/>
  <c r="F360" i="6" s="1"/>
  <c r="D360" i="6"/>
  <c r="C360" i="6"/>
  <c r="B360" i="6"/>
  <c r="G360" i="6" s="1"/>
  <c r="A360" i="6"/>
  <c r="E359" i="6"/>
  <c r="F359" i="6" s="1"/>
  <c r="D359" i="6"/>
  <c r="C359" i="6"/>
  <c r="B359" i="6"/>
  <c r="G359" i="6" s="1"/>
  <c r="A359" i="6"/>
  <c r="E358" i="6"/>
  <c r="F358" i="6" s="1"/>
  <c r="D358" i="6"/>
  <c r="C358" i="6"/>
  <c r="B358" i="6"/>
  <c r="G358" i="6" s="1"/>
  <c r="A358" i="6"/>
  <c r="E357" i="6"/>
  <c r="F357" i="6" s="1"/>
  <c r="D357" i="6"/>
  <c r="C357" i="6"/>
  <c r="B357" i="6"/>
  <c r="G357" i="6" s="1"/>
  <c r="A357" i="6"/>
  <c r="E356" i="6"/>
  <c r="F356" i="6" s="1"/>
  <c r="D356" i="6"/>
  <c r="C356" i="6"/>
  <c r="B356" i="6"/>
  <c r="G356" i="6" s="1"/>
  <c r="A356" i="6"/>
  <c r="E355" i="6"/>
  <c r="F355" i="6" s="1"/>
  <c r="D355" i="6"/>
  <c r="C355" i="6"/>
  <c r="B355" i="6"/>
  <c r="G355" i="6" s="1"/>
  <c r="A355" i="6"/>
  <c r="E354" i="6"/>
  <c r="F354" i="6" s="1"/>
  <c r="D354" i="6"/>
  <c r="C354" i="6"/>
  <c r="B354" i="6"/>
  <c r="G354" i="6" s="1"/>
  <c r="A354" i="6"/>
  <c r="E353" i="6"/>
  <c r="F353" i="6" s="1"/>
  <c r="D353" i="6"/>
  <c r="C353" i="6"/>
  <c r="B353" i="6"/>
  <c r="G353" i="6" s="1"/>
  <c r="A353" i="6"/>
  <c r="E352" i="6"/>
  <c r="F352" i="6" s="1"/>
  <c r="D352" i="6"/>
  <c r="C352" i="6"/>
  <c r="B352" i="6"/>
  <c r="G352" i="6" s="1"/>
  <c r="A352" i="6"/>
  <c r="E351" i="6"/>
  <c r="F351" i="6" s="1"/>
  <c r="D351" i="6"/>
  <c r="C351" i="6"/>
  <c r="B351" i="6"/>
  <c r="G351" i="6" s="1"/>
  <c r="A351" i="6"/>
  <c r="E350" i="6"/>
  <c r="F350" i="6" s="1"/>
  <c r="D350" i="6"/>
  <c r="C350" i="6"/>
  <c r="B350" i="6"/>
  <c r="G350" i="6" s="1"/>
  <c r="A350" i="6"/>
  <c r="E349" i="6"/>
  <c r="F349" i="6" s="1"/>
  <c r="D349" i="6"/>
  <c r="C349" i="6"/>
  <c r="B349" i="6"/>
  <c r="G349" i="6" s="1"/>
  <c r="A349" i="6"/>
  <c r="E348" i="6"/>
  <c r="F348" i="6" s="1"/>
  <c r="D348" i="6"/>
  <c r="C348" i="6"/>
  <c r="B348" i="6"/>
  <c r="G348" i="6" s="1"/>
  <c r="A348" i="6"/>
  <c r="E347" i="6"/>
  <c r="F347" i="6" s="1"/>
  <c r="D347" i="6"/>
  <c r="C347" i="6"/>
  <c r="B347" i="6"/>
  <c r="G347" i="6" s="1"/>
  <c r="A347" i="6"/>
  <c r="E346" i="6"/>
  <c r="F346" i="6" s="1"/>
  <c r="D346" i="6"/>
  <c r="C346" i="6"/>
  <c r="B346" i="6"/>
  <c r="G346" i="6" s="1"/>
  <c r="A346" i="6"/>
  <c r="E345" i="6"/>
  <c r="F345" i="6" s="1"/>
  <c r="D345" i="6"/>
  <c r="C345" i="6"/>
  <c r="B345" i="6"/>
  <c r="G345" i="6" s="1"/>
  <c r="A345" i="6"/>
  <c r="E344" i="6"/>
  <c r="F344" i="6" s="1"/>
  <c r="D344" i="6"/>
  <c r="C344" i="6"/>
  <c r="B344" i="6"/>
  <c r="G344" i="6" s="1"/>
  <c r="A344" i="6"/>
  <c r="E343" i="6"/>
  <c r="F343" i="6" s="1"/>
  <c r="D343" i="6"/>
  <c r="C343" i="6"/>
  <c r="B343" i="6"/>
  <c r="G343" i="6" s="1"/>
  <c r="A343" i="6"/>
  <c r="E342" i="6"/>
  <c r="F342" i="6" s="1"/>
  <c r="D342" i="6"/>
  <c r="C342" i="6"/>
  <c r="B342" i="6"/>
  <c r="G342" i="6" s="1"/>
  <c r="A342" i="6"/>
  <c r="E341" i="6"/>
  <c r="F341" i="6" s="1"/>
  <c r="D341" i="6"/>
  <c r="C341" i="6"/>
  <c r="B341" i="6"/>
  <c r="G341" i="6" s="1"/>
  <c r="A341" i="6"/>
  <c r="E340" i="6"/>
  <c r="F340" i="6" s="1"/>
  <c r="D340" i="6"/>
  <c r="C340" i="6"/>
  <c r="B340" i="6"/>
  <c r="G340" i="6" s="1"/>
  <c r="A340" i="6"/>
  <c r="E339" i="6"/>
  <c r="F339" i="6" s="1"/>
  <c r="D339" i="6"/>
  <c r="C339" i="6"/>
  <c r="B339" i="6"/>
  <c r="G339" i="6" s="1"/>
  <c r="A339" i="6"/>
  <c r="E338" i="6"/>
  <c r="F338" i="6" s="1"/>
  <c r="D338" i="6"/>
  <c r="C338" i="6"/>
  <c r="B338" i="6"/>
  <c r="G338" i="6" s="1"/>
  <c r="A338" i="6"/>
  <c r="E337" i="6"/>
  <c r="F337" i="6" s="1"/>
  <c r="D337" i="6"/>
  <c r="C337" i="6"/>
  <c r="B337" i="6"/>
  <c r="G337" i="6" s="1"/>
  <c r="A337" i="6"/>
  <c r="E336" i="6"/>
  <c r="F336" i="6" s="1"/>
  <c r="D336" i="6"/>
  <c r="C336" i="6"/>
  <c r="B336" i="6"/>
  <c r="G336" i="6" s="1"/>
  <c r="A336" i="6"/>
  <c r="E335" i="6"/>
  <c r="F335" i="6" s="1"/>
  <c r="D335" i="6"/>
  <c r="C335" i="6"/>
  <c r="B335" i="6"/>
  <c r="G335" i="6" s="1"/>
  <c r="A335" i="6"/>
  <c r="E334" i="6"/>
  <c r="F334" i="6" s="1"/>
  <c r="D334" i="6"/>
  <c r="C334" i="6"/>
  <c r="B334" i="6"/>
  <c r="G334" i="6" s="1"/>
  <c r="A334" i="6"/>
  <c r="E333" i="6"/>
  <c r="F333" i="6" s="1"/>
  <c r="D333" i="6"/>
  <c r="C333" i="6"/>
  <c r="B333" i="6"/>
  <c r="G333" i="6" s="1"/>
  <c r="A333" i="6"/>
  <c r="E332" i="6"/>
  <c r="F332" i="6" s="1"/>
  <c r="D332" i="6"/>
  <c r="C332" i="6"/>
  <c r="B332" i="6"/>
  <c r="G332" i="6" s="1"/>
  <c r="A332" i="6"/>
  <c r="E331" i="6"/>
  <c r="F331" i="6" s="1"/>
  <c r="D331" i="6"/>
  <c r="C331" i="6"/>
  <c r="B331" i="6"/>
  <c r="G331" i="6" s="1"/>
  <c r="A331" i="6"/>
  <c r="E330" i="6"/>
  <c r="F330" i="6" s="1"/>
  <c r="D330" i="6"/>
  <c r="C330" i="6"/>
  <c r="B330" i="6"/>
  <c r="G330" i="6" s="1"/>
  <c r="A330" i="6"/>
  <c r="E329" i="6"/>
  <c r="F329" i="6" s="1"/>
  <c r="D329" i="6"/>
  <c r="C329" i="6"/>
  <c r="B329" i="6"/>
  <c r="G329" i="6" s="1"/>
  <c r="A329" i="6"/>
  <c r="E328" i="6"/>
  <c r="F328" i="6" s="1"/>
  <c r="D328" i="6"/>
  <c r="C328" i="6"/>
  <c r="B328" i="6"/>
  <c r="G328" i="6" s="1"/>
  <c r="A328" i="6"/>
  <c r="E327" i="6"/>
  <c r="F327" i="6" s="1"/>
  <c r="D327" i="6"/>
  <c r="C327" i="6"/>
  <c r="B327" i="6"/>
  <c r="G327" i="6" s="1"/>
  <c r="A327" i="6"/>
  <c r="E326" i="6"/>
  <c r="F326" i="6" s="1"/>
  <c r="D326" i="6"/>
  <c r="C326" i="6"/>
  <c r="B326" i="6"/>
  <c r="G326" i="6" s="1"/>
  <c r="A326" i="6"/>
  <c r="E325" i="6"/>
  <c r="F325" i="6" s="1"/>
  <c r="D325" i="6"/>
  <c r="C325" i="6"/>
  <c r="B325" i="6"/>
  <c r="G325" i="6" s="1"/>
  <c r="A325" i="6"/>
  <c r="E324" i="6"/>
  <c r="F324" i="6" s="1"/>
  <c r="D324" i="6"/>
  <c r="C324" i="6"/>
  <c r="B324" i="6"/>
  <c r="G324" i="6" s="1"/>
  <c r="A324" i="6"/>
  <c r="E323" i="6"/>
  <c r="F323" i="6" s="1"/>
  <c r="D323" i="6"/>
  <c r="C323" i="6"/>
  <c r="B323" i="6"/>
  <c r="G323" i="6" s="1"/>
  <c r="A323" i="6"/>
  <c r="E322" i="6"/>
  <c r="F322" i="6" s="1"/>
  <c r="D322" i="6"/>
  <c r="C322" i="6"/>
  <c r="B322" i="6"/>
  <c r="G322" i="6" s="1"/>
  <c r="A322" i="6"/>
  <c r="E321" i="6"/>
  <c r="F321" i="6" s="1"/>
  <c r="D321" i="6"/>
  <c r="C321" i="6"/>
  <c r="B321" i="6"/>
  <c r="G321" i="6" s="1"/>
  <c r="A321" i="6"/>
  <c r="E320" i="6"/>
  <c r="F320" i="6" s="1"/>
  <c r="D320" i="6"/>
  <c r="C320" i="6"/>
  <c r="B320" i="6"/>
  <c r="G320" i="6" s="1"/>
  <c r="A320" i="6"/>
  <c r="E319" i="6"/>
  <c r="F319" i="6" s="1"/>
  <c r="D319" i="6"/>
  <c r="C319" i="6"/>
  <c r="B319" i="6"/>
  <c r="G319" i="6" s="1"/>
  <c r="A319" i="6"/>
  <c r="E318" i="6"/>
  <c r="F318" i="6" s="1"/>
  <c r="D318" i="6"/>
  <c r="C318" i="6"/>
  <c r="B318" i="6"/>
  <c r="G318" i="6" s="1"/>
  <c r="A318" i="6"/>
  <c r="E317" i="6"/>
  <c r="F317" i="6" s="1"/>
  <c r="D317" i="6"/>
  <c r="C317" i="6"/>
  <c r="B317" i="6"/>
  <c r="G317" i="6" s="1"/>
  <c r="A317" i="6"/>
  <c r="E316" i="6"/>
  <c r="F316" i="6" s="1"/>
  <c r="D316" i="6"/>
  <c r="C316" i="6"/>
  <c r="B316" i="6"/>
  <c r="G316" i="6" s="1"/>
  <c r="A316" i="6"/>
  <c r="E315" i="6"/>
  <c r="F315" i="6" s="1"/>
  <c r="D315" i="6"/>
  <c r="C315" i="6"/>
  <c r="B315" i="6"/>
  <c r="G315" i="6" s="1"/>
  <c r="A315" i="6"/>
  <c r="E314" i="6"/>
  <c r="F314" i="6" s="1"/>
  <c r="D314" i="6"/>
  <c r="C314" i="6"/>
  <c r="B314" i="6"/>
  <c r="G314" i="6" s="1"/>
  <c r="A314" i="6"/>
  <c r="E313" i="6"/>
  <c r="F313" i="6" s="1"/>
  <c r="D313" i="6"/>
  <c r="C313" i="6"/>
  <c r="B313" i="6"/>
  <c r="G313" i="6" s="1"/>
  <c r="A313" i="6"/>
  <c r="E312" i="6"/>
  <c r="F312" i="6" s="1"/>
  <c r="D312" i="6"/>
  <c r="C312" i="6"/>
  <c r="B312" i="6"/>
  <c r="G312" i="6" s="1"/>
  <c r="A312" i="6"/>
  <c r="E311" i="6"/>
  <c r="F311" i="6" s="1"/>
  <c r="D311" i="6"/>
  <c r="C311" i="6"/>
  <c r="B311" i="6"/>
  <c r="G311" i="6" s="1"/>
  <c r="A311" i="6"/>
  <c r="E310" i="6"/>
  <c r="F310" i="6" s="1"/>
  <c r="D310" i="6"/>
  <c r="C310" i="6"/>
  <c r="B310" i="6"/>
  <c r="G310" i="6" s="1"/>
  <c r="A310" i="6"/>
  <c r="E309" i="6"/>
  <c r="F309" i="6" s="1"/>
  <c r="D309" i="6"/>
  <c r="C309" i="6"/>
  <c r="B309" i="6"/>
  <c r="G309" i="6" s="1"/>
  <c r="A309" i="6"/>
  <c r="E308" i="6"/>
  <c r="F308" i="6" s="1"/>
  <c r="D308" i="6"/>
  <c r="C308" i="6"/>
  <c r="B308" i="6"/>
  <c r="G308" i="6" s="1"/>
  <c r="A308" i="6"/>
  <c r="E307" i="6"/>
  <c r="F307" i="6" s="1"/>
  <c r="D307" i="6"/>
  <c r="C307" i="6"/>
  <c r="B307" i="6"/>
  <c r="G307" i="6" s="1"/>
  <c r="A307" i="6"/>
  <c r="E306" i="6"/>
  <c r="F306" i="6" s="1"/>
  <c r="D306" i="6"/>
  <c r="C306" i="6"/>
  <c r="B306" i="6"/>
  <c r="G306" i="6" s="1"/>
  <c r="A306" i="6"/>
  <c r="E305" i="6"/>
  <c r="F305" i="6" s="1"/>
  <c r="D305" i="6"/>
  <c r="C305" i="6"/>
  <c r="B305" i="6"/>
  <c r="G305" i="6" s="1"/>
  <c r="A305" i="6"/>
  <c r="E304" i="6"/>
  <c r="F304" i="6" s="1"/>
  <c r="D304" i="6"/>
  <c r="C304" i="6"/>
  <c r="B304" i="6"/>
  <c r="G304" i="6" s="1"/>
  <c r="A304" i="6"/>
  <c r="E303" i="6"/>
  <c r="F303" i="6" s="1"/>
  <c r="D303" i="6"/>
  <c r="C303" i="6"/>
  <c r="B303" i="6"/>
  <c r="G303" i="6" s="1"/>
  <c r="A303" i="6"/>
  <c r="E302" i="6"/>
  <c r="F302" i="6" s="1"/>
  <c r="D302" i="6"/>
  <c r="C302" i="6"/>
  <c r="B302" i="6"/>
  <c r="G302" i="6" s="1"/>
  <c r="A302" i="6"/>
  <c r="E301" i="6"/>
  <c r="F301" i="6" s="1"/>
  <c r="D301" i="6"/>
  <c r="C301" i="6"/>
  <c r="B301" i="6"/>
  <c r="G301" i="6" s="1"/>
  <c r="A301" i="6"/>
  <c r="E300" i="6"/>
  <c r="F300" i="6" s="1"/>
  <c r="D300" i="6"/>
  <c r="C300" i="6"/>
  <c r="B300" i="6"/>
  <c r="G300" i="6" s="1"/>
  <c r="A300" i="6"/>
  <c r="E299" i="6"/>
  <c r="F299" i="6" s="1"/>
  <c r="D299" i="6"/>
  <c r="C299" i="6"/>
  <c r="B299" i="6"/>
  <c r="G299" i="6" s="1"/>
  <c r="A299" i="6"/>
  <c r="E298" i="6"/>
  <c r="F298" i="6" s="1"/>
  <c r="D298" i="6"/>
  <c r="C298" i="6"/>
  <c r="B298" i="6"/>
  <c r="G298" i="6" s="1"/>
  <c r="A298" i="6"/>
  <c r="E297" i="6"/>
  <c r="F297" i="6" s="1"/>
  <c r="D297" i="6"/>
  <c r="C297" i="6"/>
  <c r="B297" i="6"/>
  <c r="G297" i="6" s="1"/>
  <c r="A297" i="6"/>
  <c r="E296" i="6"/>
  <c r="F296" i="6" s="1"/>
  <c r="D296" i="6"/>
  <c r="C296" i="6"/>
  <c r="B296" i="6"/>
  <c r="G296" i="6" s="1"/>
  <c r="A296" i="6"/>
  <c r="E295" i="6"/>
  <c r="F295" i="6" s="1"/>
  <c r="D295" i="6"/>
  <c r="C295" i="6"/>
  <c r="B295" i="6"/>
  <c r="G295" i="6" s="1"/>
  <c r="A295" i="6"/>
  <c r="E294" i="6"/>
  <c r="F294" i="6" s="1"/>
  <c r="D294" i="6"/>
  <c r="C294" i="6"/>
  <c r="B294" i="6"/>
  <c r="G294" i="6" s="1"/>
  <c r="A294" i="6"/>
  <c r="E293" i="6"/>
  <c r="F293" i="6" s="1"/>
  <c r="D293" i="6"/>
  <c r="C293" i="6"/>
  <c r="B293" i="6"/>
  <c r="G293" i="6" s="1"/>
  <c r="A293" i="6"/>
  <c r="E292" i="6"/>
  <c r="F292" i="6" s="1"/>
  <c r="D292" i="6"/>
  <c r="C292" i="6"/>
  <c r="B292" i="6"/>
  <c r="G292" i="6" s="1"/>
  <c r="A292" i="6"/>
  <c r="E291" i="6"/>
  <c r="F291" i="6" s="1"/>
  <c r="D291" i="6"/>
  <c r="C291" i="6"/>
  <c r="B291" i="6"/>
  <c r="G291" i="6" s="1"/>
  <c r="A291" i="6"/>
  <c r="E290" i="6"/>
  <c r="F290" i="6" s="1"/>
  <c r="D290" i="6"/>
  <c r="C290" i="6"/>
  <c r="B290" i="6"/>
  <c r="G290" i="6" s="1"/>
  <c r="A290" i="6"/>
  <c r="E289" i="6"/>
  <c r="F289" i="6" s="1"/>
  <c r="D289" i="6"/>
  <c r="C289" i="6"/>
  <c r="B289" i="6"/>
  <c r="G289" i="6" s="1"/>
  <c r="A289" i="6"/>
  <c r="E288" i="6"/>
  <c r="F288" i="6" s="1"/>
  <c r="D288" i="6"/>
  <c r="C288" i="6"/>
  <c r="B288" i="6"/>
  <c r="G288" i="6" s="1"/>
  <c r="A288" i="6"/>
  <c r="E287" i="6"/>
  <c r="F287" i="6" s="1"/>
  <c r="D287" i="6"/>
  <c r="C287" i="6"/>
  <c r="B287" i="6"/>
  <c r="G287" i="6" s="1"/>
  <c r="A287" i="6"/>
  <c r="E286" i="6"/>
  <c r="F286" i="6" s="1"/>
  <c r="D286" i="6"/>
  <c r="C286" i="6"/>
  <c r="B286" i="6"/>
  <c r="G286" i="6" s="1"/>
  <c r="A286" i="6"/>
  <c r="E285" i="6"/>
  <c r="F285" i="6" s="1"/>
  <c r="D285" i="6"/>
  <c r="C285" i="6"/>
  <c r="B285" i="6"/>
  <c r="G285" i="6" s="1"/>
  <c r="A285" i="6"/>
  <c r="E284" i="6"/>
  <c r="F284" i="6" s="1"/>
  <c r="D284" i="6"/>
  <c r="C284" i="6"/>
  <c r="B284" i="6"/>
  <c r="G284" i="6" s="1"/>
  <c r="A284" i="6"/>
  <c r="E283" i="6"/>
  <c r="F283" i="6" s="1"/>
  <c r="D283" i="6"/>
  <c r="C283" i="6"/>
  <c r="B283" i="6"/>
  <c r="G283" i="6" s="1"/>
  <c r="A283" i="6"/>
  <c r="E282" i="6"/>
  <c r="F282" i="6" s="1"/>
  <c r="D282" i="6"/>
  <c r="C282" i="6"/>
  <c r="B282" i="6"/>
  <c r="G282" i="6" s="1"/>
  <c r="A282" i="6"/>
  <c r="E281" i="6"/>
  <c r="F281" i="6" s="1"/>
  <c r="D281" i="6"/>
  <c r="C281" i="6"/>
  <c r="B281" i="6"/>
  <c r="G281" i="6" s="1"/>
  <c r="A281" i="6"/>
  <c r="E280" i="6"/>
  <c r="F280" i="6" s="1"/>
  <c r="D280" i="6"/>
  <c r="C280" i="6"/>
  <c r="B280" i="6"/>
  <c r="G280" i="6" s="1"/>
  <c r="A280" i="6"/>
  <c r="E279" i="6"/>
  <c r="F279" i="6" s="1"/>
  <c r="D279" i="6"/>
  <c r="C279" i="6"/>
  <c r="B279" i="6"/>
  <c r="G279" i="6" s="1"/>
  <c r="A279" i="6"/>
  <c r="E278" i="6"/>
  <c r="F278" i="6" s="1"/>
  <c r="D278" i="6"/>
  <c r="C278" i="6"/>
  <c r="B278" i="6"/>
  <c r="G278" i="6" s="1"/>
  <c r="A278" i="6"/>
  <c r="E277" i="6"/>
  <c r="F277" i="6" s="1"/>
  <c r="D277" i="6"/>
  <c r="C277" i="6"/>
  <c r="B277" i="6"/>
  <c r="G277" i="6" s="1"/>
  <c r="A277" i="6"/>
  <c r="E276" i="6"/>
  <c r="F276" i="6" s="1"/>
  <c r="D276" i="6"/>
  <c r="C276" i="6"/>
  <c r="B276" i="6"/>
  <c r="G276" i="6" s="1"/>
  <c r="A276" i="6"/>
  <c r="E275" i="6"/>
  <c r="F275" i="6" s="1"/>
  <c r="D275" i="6"/>
  <c r="C275" i="6"/>
  <c r="B275" i="6"/>
  <c r="G275" i="6" s="1"/>
  <c r="A275" i="6"/>
  <c r="E274" i="6"/>
  <c r="F274" i="6" s="1"/>
  <c r="D274" i="6"/>
  <c r="C274" i="6"/>
  <c r="B274" i="6"/>
  <c r="G274" i="6" s="1"/>
  <c r="A274" i="6"/>
  <c r="E273" i="6"/>
  <c r="F273" i="6" s="1"/>
  <c r="D273" i="6"/>
  <c r="C273" i="6"/>
  <c r="B273" i="6"/>
  <c r="G273" i="6" s="1"/>
  <c r="A273" i="6"/>
  <c r="E272" i="6"/>
  <c r="F272" i="6" s="1"/>
  <c r="D272" i="6"/>
  <c r="C272" i="6"/>
  <c r="B272" i="6"/>
  <c r="G272" i="6" s="1"/>
  <c r="A272" i="6"/>
  <c r="E271" i="6"/>
  <c r="F271" i="6" s="1"/>
  <c r="D271" i="6"/>
  <c r="C271" i="6"/>
  <c r="B271" i="6"/>
  <c r="G271" i="6" s="1"/>
  <c r="A271" i="6"/>
  <c r="E270" i="6"/>
  <c r="F270" i="6" s="1"/>
  <c r="D270" i="6"/>
  <c r="C270" i="6"/>
  <c r="B270" i="6"/>
  <c r="G270" i="6" s="1"/>
  <c r="A270" i="6"/>
  <c r="E269" i="6"/>
  <c r="F269" i="6" s="1"/>
  <c r="D269" i="6"/>
  <c r="C269" i="6"/>
  <c r="B269" i="6"/>
  <c r="G269" i="6" s="1"/>
  <c r="A269" i="6"/>
  <c r="E268" i="6"/>
  <c r="F268" i="6" s="1"/>
  <c r="D268" i="6"/>
  <c r="C268" i="6"/>
  <c r="B268" i="6"/>
  <c r="G268" i="6" s="1"/>
  <c r="A268" i="6"/>
  <c r="E267" i="6"/>
  <c r="F267" i="6" s="1"/>
  <c r="D267" i="6"/>
  <c r="C267" i="6"/>
  <c r="B267" i="6"/>
  <c r="G267" i="6" s="1"/>
  <c r="A267" i="6"/>
  <c r="E266" i="6"/>
  <c r="F266" i="6" s="1"/>
  <c r="D266" i="6"/>
  <c r="C266" i="6"/>
  <c r="B266" i="6"/>
  <c r="G266" i="6" s="1"/>
  <c r="A266" i="6"/>
  <c r="E265" i="6"/>
  <c r="F265" i="6" s="1"/>
  <c r="D265" i="6"/>
  <c r="C265" i="6"/>
  <c r="B265" i="6"/>
  <c r="G265" i="6" s="1"/>
  <c r="A265" i="6"/>
  <c r="E264" i="6"/>
  <c r="F264" i="6" s="1"/>
  <c r="D264" i="6"/>
  <c r="C264" i="6"/>
  <c r="B264" i="6"/>
  <c r="G264" i="6" s="1"/>
  <c r="A264" i="6"/>
  <c r="E263" i="6"/>
  <c r="F263" i="6" s="1"/>
  <c r="D263" i="6"/>
  <c r="C263" i="6"/>
  <c r="B263" i="6"/>
  <c r="G263" i="6" s="1"/>
  <c r="A263" i="6"/>
  <c r="E262" i="6"/>
  <c r="F262" i="6" s="1"/>
  <c r="D262" i="6"/>
  <c r="C262" i="6"/>
  <c r="B262" i="6"/>
  <c r="G262" i="6" s="1"/>
  <c r="A262" i="6"/>
  <c r="E261" i="6"/>
  <c r="F261" i="6" s="1"/>
  <c r="D261" i="6"/>
  <c r="C261" i="6"/>
  <c r="B261" i="6"/>
  <c r="G261" i="6" s="1"/>
  <c r="A261" i="6"/>
  <c r="E260" i="6"/>
  <c r="F260" i="6" s="1"/>
  <c r="D260" i="6"/>
  <c r="C260" i="6"/>
  <c r="B260" i="6"/>
  <c r="G260" i="6" s="1"/>
  <c r="A260" i="6"/>
  <c r="E259" i="6"/>
  <c r="F259" i="6" s="1"/>
  <c r="D259" i="6"/>
  <c r="C259" i="6"/>
  <c r="B259" i="6"/>
  <c r="G259" i="6" s="1"/>
  <c r="A259" i="6"/>
  <c r="E258" i="6"/>
  <c r="F258" i="6" s="1"/>
  <c r="D258" i="6"/>
  <c r="C258" i="6"/>
  <c r="B258" i="6"/>
  <c r="G258" i="6" s="1"/>
  <c r="A258" i="6"/>
  <c r="E257" i="6"/>
  <c r="F257" i="6" s="1"/>
  <c r="D257" i="6"/>
  <c r="C257" i="6"/>
  <c r="B257" i="6"/>
  <c r="G257" i="6" s="1"/>
  <c r="A257" i="6"/>
  <c r="E256" i="6"/>
  <c r="F256" i="6" s="1"/>
  <c r="D256" i="6"/>
  <c r="C256" i="6"/>
  <c r="B256" i="6"/>
  <c r="G256" i="6" s="1"/>
  <c r="A256" i="6"/>
  <c r="E255" i="6"/>
  <c r="F255" i="6" s="1"/>
  <c r="D255" i="6"/>
  <c r="C255" i="6"/>
  <c r="B255" i="6"/>
  <c r="G255" i="6" s="1"/>
  <c r="A255" i="6"/>
  <c r="E254" i="6"/>
  <c r="F254" i="6" s="1"/>
  <c r="D254" i="6"/>
  <c r="C254" i="6"/>
  <c r="B254" i="6"/>
  <c r="G254" i="6" s="1"/>
  <c r="A254" i="6"/>
  <c r="E253" i="6"/>
  <c r="F253" i="6" s="1"/>
  <c r="D253" i="6"/>
  <c r="C253" i="6"/>
  <c r="B253" i="6"/>
  <c r="G253" i="6" s="1"/>
  <c r="A253" i="6"/>
  <c r="E252" i="6"/>
  <c r="F252" i="6" s="1"/>
  <c r="D252" i="6"/>
  <c r="C252" i="6"/>
  <c r="B252" i="6"/>
  <c r="G252" i="6" s="1"/>
  <c r="A252" i="6"/>
  <c r="E251" i="6"/>
  <c r="F251" i="6" s="1"/>
  <c r="D251" i="6"/>
  <c r="C251" i="6"/>
  <c r="B251" i="6"/>
  <c r="G251" i="6" s="1"/>
  <c r="A251" i="6"/>
  <c r="E250" i="6"/>
  <c r="F250" i="6" s="1"/>
  <c r="D250" i="6"/>
  <c r="C250" i="6"/>
  <c r="B250" i="6"/>
  <c r="G250" i="6" s="1"/>
  <c r="A250" i="6"/>
  <c r="E249" i="6"/>
  <c r="F249" i="6" s="1"/>
  <c r="D249" i="6"/>
  <c r="C249" i="6"/>
  <c r="B249" i="6"/>
  <c r="G249" i="6" s="1"/>
  <c r="A249" i="6"/>
  <c r="E248" i="6"/>
  <c r="F248" i="6" s="1"/>
  <c r="D248" i="6"/>
  <c r="C248" i="6"/>
  <c r="B248" i="6"/>
  <c r="G248" i="6" s="1"/>
  <c r="A248" i="6"/>
  <c r="E247" i="6"/>
  <c r="F247" i="6" s="1"/>
  <c r="D247" i="6"/>
  <c r="C247" i="6"/>
  <c r="B247" i="6"/>
  <c r="G247" i="6" s="1"/>
  <c r="A247" i="6"/>
  <c r="E246" i="6"/>
  <c r="F246" i="6" s="1"/>
  <c r="D246" i="6"/>
  <c r="C246" i="6"/>
  <c r="B246" i="6"/>
  <c r="G246" i="6" s="1"/>
  <c r="A246" i="6"/>
  <c r="E245" i="6"/>
  <c r="F245" i="6" s="1"/>
  <c r="D245" i="6"/>
  <c r="C245" i="6"/>
  <c r="B245" i="6"/>
  <c r="G245" i="6" s="1"/>
  <c r="A245" i="6"/>
  <c r="E244" i="6"/>
  <c r="F244" i="6" s="1"/>
  <c r="D244" i="6"/>
  <c r="C244" i="6"/>
  <c r="B244" i="6"/>
  <c r="G244" i="6" s="1"/>
  <c r="A244" i="6"/>
  <c r="E243" i="6"/>
  <c r="F243" i="6" s="1"/>
  <c r="D243" i="6"/>
  <c r="C243" i="6"/>
  <c r="B243" i="6"/>
  <c r="G243" i="6" s="1"/>
  <c r="A243" i="6"/>
  <c r="E242" i="6"/>
  <c r="F242" i="6" s="1"/>
  <c r="D242" i="6"/>
  <c r="C242" i="6"/>
  <c r="B242" i="6"/>
  <c r="G242" i="6" s="1"/>
  <c r="A242" i="6"/>
  <c r="E241" i="6"/>
  <c r="F241" i="6" s="1"/>
  <c r="D241" i="6"/>
  <c r="C241" i="6"/>
  <c r="B241" i="6"/>
  <c r="G241" i="6" s="1"/>
  <c r="A241" i="6"/>
  <c r="E240" i="6"/>
  <c r="F240" i="6" s="1"/>
  <c r="D240" i="6"/>
  <c r="C240" i="6"/>
  <c r="B240" i="6"/>
  <c r="G240" i="6" s="1"/>
  <c r="A240" i="6"/>
  <c r="E239" i="6"/>
  <c r="F239" i="6" s="1"/>
  <c r="D239" i="6"/>
  <c r="C239" i="6"/>
  <c r="B239" i="6"/>
  <c r="G239" i="6" s="1"/>
  <c r="A239" i="6"/>
  <c r="E238" i="6"/>
  <c r="F238" i="6" s="1"/>
  <c r="D238" i="6"/>
  <c r="C238" i="6"/>
  <c r="B238" i="6"/>
  <c r="G238" i="6" s="1"/>
  <c r="A238" i="6"/>
  <c r="E237" i="6"/>
  <c r="F237" i="6" s="1"/>
  <c r="D237" i="6"/>
  <c r="C237" i="6"/>
  <c r="B237" i="6"/>
  <c r="G237" i="6" s="1"/>
  <c r="A237" i="6"/>
  <c r="E236" i="6"/>
  <c r="F236" i="6" s="1"/>
  <c r="D236" i="6"/>
  <c r="C236" i="6"/>
  <c r="B236" i="6"/>
  <c r="G236" i="6" s="1"/>
  <c r="A236" i="6"/>
  <c r="E235" i="6"/>
  <c r="F235" i="6" s="1"/>
  <c r="D235" i="6"/>
  <c r="C235" i="6"/>
  <c r="B235" i="6"/>
  <c r="G235" i="6" s="1"/>
  <c r="A235" i="6"/>
  <c r="E234" i="6"/>
  <c r="F234" i="6" s="1"/>
  <c r="D234" i="6"/>
  <c r="C234" i="6"/>
  <c r="B234" i="6"/>
  <c r="G234" i="6" s="1"/>
  <c r="A234" i="6"/>
  <c r="E233" i="6"/>
  <c r="F233" i="6" s="1"/>
  <c r="D233" i="6"/>
  <c r="C233" i="6"/>
  <c r="B233" i="6"/>
  <c r="G233" i="6" s="1"/>
  <c r="A233" i="6"/>
  <c r="E232" i="6"/>
  <c r="F232" i="6" s="1"/>
  <c r="D232" i="6"/>
  <c r="C232" i="6"/>
  <c r="B232" i="6"/>
  <c r="G232" i="6" s="1"/>
  <c r="A232" i="6"/>
  <c r="E231" i="6"/>
  <c r="F231" i="6" s="1"/>
  <c r="D231" i="6"/>
  <c r="C231" i="6"/>
  <c r="B231" i="6"/>
  <c r="G231" i="6" s="1"/>
  <c r="A231" i="6"/>
  <c r="E230" i="6"/>
  <c r="F230" i="6" s="1"/>
  <c r="D230" i="6"/>
  <c r="C230" i="6"/>
  <c r="B230" i="6"/>
  <c r="G230" i="6" s="1"/>
  <c r="A230" i="6"/>
  <c r="E229" i="6"/>
  <c r="F229" i="6" s="1"/>
  <c r="D229" i="6"/>
  <c r="C229" i="6"/>
  <c r="B229" i="6"/>
  <c r="G229" i="6" s="1"/>
  <c r="A229" i="6"/>
  <c r="E228" i="6"/>
  <c r="F228" i="6" s="1"/>
  <c r="D228" i="6"/>
  <c r="C228" i="6"/>
  <c r="B228" i="6"/>
  <c r="G228" i="6" s="1"/>
  <c r="A228" i="6"/>
  <c r="E227" i="6"/>
  <c r="F227" i="6" s="1"/>
  <c r="D227" i="6"/>
  <c r="C227" i="6"/>
  <c r="B227" i="6"/>
  <c r="G227" i="6" s="1"/>
  <c r="A227" i="6"/>
  <c r="E226" i="6"/>
  <c r="F226" i="6" s="1"/>
  <c r="D226" i="6"/>
  <c r="C226" i="6"/>
  <c r="B226" i="6"/>
  <c r="G226" i="6" s="1"/>
  <c r="A226" i="6"/>
  <c r="E225" i="6"/>
  <c r="F225" i="6" s="1"/>
  <c r="D225" i="6"/>
  <c r="C225" i="6"/>
  <c r="B225" i="6"/>
  <c r="G225" i="6" s="1"/>
  <c r="A225" i="6"/>
  <c r="E224" i="6"/>
  <c r="F224" i="6" s="1"/>
  <c r="D224" i="6"/>
  <c r="C224" i="6"/>
  <c r="B224" i="6"/>
  <c r="G224" i="6" s="1"/>
  <c r="A224" i="6"/>
  <c r="E223" i="6"/>
  <c r="F223" i="6" s="1"/>
  <c r="D223" i="6"/>
  <c r="C223" i="6"/>
  <c r="B223" i="6"/>
  <c r="G223" i="6" s="1"/>
  <c r="A223" i="6"/>
  <c r="E222" i="6"/>
  <c r="F222" i="6" s="1"/>
  <c r="D222" i="6"/>
  <c r="C222" i="6"/>
  <c r="B222" i="6"/>
  <c r="G222" i="6" s="1"/>
  <c r="A222" i="6"/>
  <c r="E221" i="6"/>
  <c r="F221" i="6" s="1"/>
  <c r="D221" i="6"/>
  <c r="C221" i="6"/>
  <c r="B221" i="6"/>
  <c r="G221" i="6" s="1"/>
  <c r="A221" i="6"/>
  <c r="E220" i="6"/>
  <c r="F220" i="6" s="1"/>
  <c r="D220" i="6"/>
  <c r="C220" i="6"/>
  <c r="B220" i="6"/>
  <c r="G220" i="6" s="1"/>
  <c r="A220" i="6"/>
  <c r="E219" i="6"/>
  <c r="F219" i="6" s="1"/>
  <c r="D219" i="6"/>
  <c r="C219" i="6"/>
  <c r="B219" i="6"/>
  <c r="G219" i="6" s="1"/>
  <c r="A219" i="6"/>
  <c r="E218" i="6"/>
  <c r="F218" i="6" s="1"/>
  <c r="D218" i="6"/>
  <c r="C218" i="6"/>
  <c r="B218" i="6"/>
  <c r="G218" i="6" s="1"/>
  <c r="A218" i="6"/>
  <c r="E217" i="6"/>
  <c r="F217" i="6" s="1"/>
  <c r="D217" i="6"/>
  <c r="C217" i="6"/>
  <c r="B217" i="6"/>
  <c r="G217" i="6" s="1"/>
  <c r="A217" i="6"/>
  <c r="E216" i="6"/>
  <c r="F216" i="6" s="1"/>
  <c r="D216" i="6"/>
  <c r="C216" i="6"/>
  <c r="B216" i="6"/>
  <c r="G216" i="6" s="1"/>
  <c r="A216" i="6"/>
  <c r="E215" i="6"/>
  <c r="F215" i="6" s="1"/>
  <c r="D215" i="6"/>
  <c r="C215" i="6"/>
  <c r="B215" i="6"/>
  <c r="G215" i="6" s="1"/>
  <c r="A215" i="6"/>
  <c r="E214" i="6"/>
  <c r="F214" i="6" s="1"/>
  <c r="D214" i="6"/>
  <c r="C214" i="6"/>
  <c r="B214" i="6"/>
  <c r="G214" i="6" s="1"/>
  <c r="A214" i="6"/>
  <c r="E213" i="6"/>
  <c r="F213" i="6" s="1"/>
  <c r="D213" i="6"/>
  <c r="C213" i="6"/>
  <c r="B213" i="6"/>
  <c r="G213" i="6" s="1"/>
  <c r="A213" i="6"/>
  <c r="E212" i="6"/>
  <c r="F212" i="6" s="1"/>
  <c r="D212" i="6"/>
  <c r="C212" i="6"/>
  <c r="B212" i="6"/>
  <c r="G212" i="6" s="1"/>
  <c r="A212" i="6"/>
  <c r="E211" i="6"/>
  <c r="F211" i="6" s="1"/>
  <c r="D211" i="6"/>
  <c r="C211" i="6"/>
  <c r="B211" i="6"/>
  <c r="G211" i="6" s="1"/>
  <c r="A211" i="6"/>
  <c r="E210" i="6"/>
  <c r="F210" i="6" s="1"/>
  <c r="D210" i="6"/>
  <c r="C210" i="6"/>
  <c r="B210" i="6"/>
  <c r="G210" i="6" s="1"/>
  <c r="A210" i="6"/>
  <c r="E209" i="6"/>
  <c r="F209" i="6" s="1"/>
  <c r="D209" i="6"/>
  <c r="C209" i="6"/>
  <c r="B209" i="6"/>
  <c r="G209" i="6" s="1"/>
  <c r="A209" i="6"/>
  <c r="E208" i="6"/>
  <c r="F208" i="6" s="1"/>
  <c r="D208" i="6"/>
  <c r="C208" i="6"/>
  <c r="B208" i="6"/>
  <c r="G208" i="6" s="1"/>
  <c r="A208" i="6"/>
  <c r="E207" i="6"/>
  <c r="F207" i="6" s="1"/>
  <c r="D207" i="6"/>
  <c r="C207" i="6"/>
  <c r="B207" i="6"/>
  <c r="G207" i="6" s="1"/>
  <c r="A207" i="6"/>
  <c r="E206" i="6"/>
  <c r="F206" i="6" s="1"/>
  <c r="D206" i="6"/>
  <c r="C206" i="6"/>
  <c r="B206" i="6"/>
  <c r="G206" i="6" s="1"/>
  <c r="A206" i="6"/>
  <c r="E205" i="6"/>
  <c r="F205" i="6" s="1"/>
  <c r="D205" i="6"/>
  <c r="C205" i="6"/>
  <c r="B205" i="6"/>
  <c r="G205" i="6" s="1"/>
  <c r="A205" i="6"/>
  <c r="E204" i="6"/>
  <c r="F204" i="6" s="1"/>
  <c r="D204" i="6"/>
  <c r="C204" i="6"/>
  <c r="B204" i="6"/>
  <c r="G204" i="6" s="1"/>
  <c r="A204" i="6"/>
  <c r="E203" i="6"/>
  <c r="F203" i="6" s="1"/>
  <c r="D203" i="6"/>
  <c r="C203" i="6"/>
  <c r="B203" i="6"/>
  <c r="G203" i="6" s="1"/>
  <c r="A203" i="6"/>
  <c r="E202" i="6"/>
  <c r="F202" i="6" s="1"/>
  <c r="D202" i="6"/>
  <c r="C202" i="6"/>
  <c r="B202" i="6"/>
  <c r="G202" i="6" s="1"/>
  <c r="A202" i="6"/>
  <c r="E201" i="6"/>
  <c r="F201" i="6" s="1"/>
  <c r="D201" i="6"/>
  <c r="C201" i="6"/>
  <c r="B201" i="6"/>
  <c r="G201" i="6" s="1"/>
  <c r="A201" i="6"/>
  <c r="E200" i="6"/>
  <c r="F200" i="6" s="1"/>
  <c r="D200" i="6"/>
  <c r="C200" i="6"/>
  <c r="B200" i="6"/>
  <c r="G200" i="6" s="1"/>
  <c r="A200" i="6"/>
  <c r="E199" i="6"/>
  <c r="F199" i="6" s="1"/>
  <c r="D199" i="6"/>
  <c r="C199" i="6"/>
  <c r="B199" i="6"/>
  <c r="G199" i="6" s="1"/>
  <c r="A199" i="6"/>
  <c r="E198" i="6"/>
  <c r="F198" i="6" s="1"/>
  <c r="D198" i="6"/>
  <c r="C198" i="6"/>
  <c r="B198" i="6"/>
  <c r="G198" i="6" s="1"/>
  <c r="A198" i="6"/>
  <c r="E197" i="6"/>
  <c r="F197" i="6" s="1"/>
  <c r="D197" i="6"/>
  <c r="C197" i="6"/>
  <c r="B197" i="6"/>
  <c r="G197" i="6" s="1"/>
  <c r="A197" i="6"/>
  <c r="E196" i="6"/>
  <c r="F196" i="6" s="1"/>
  <c r="D196" i="6"/>
  <c r="C196" i="6"/>
  <c r="B196" i="6"/>
  <c r="G196" i="6" s="1"/>
  <c r="A196" i="6"/>
  <c r="E195" i="6"/>
  <c r="F195" i="6" s="1"/>
  <c r="D195" i="6"/>
  <c r="C195" i="6"/>
  <c r="B195" i="6"/>
  <c r="G195" i="6" s="1"/>
  <c r="A195" i="6"/>
  <c r="E194" i="6"/>
  <c r="F194" i="6" s="1"/>
  <c r="D194" i="6"/>
  <c r="C194" i="6"/>
  <c r="B194" i="6"/>
  <c r="G194" i="6" s="1"/>
  <c r="A194" i="6"/>
  <c r="E193" i="6"/>
  <c r="F193" i="6" s="1"/>
  <c r="D193" i="6"/>
  <c r="C193" i="6"/>
  <c r="B193" i="6"/>
  <c r="G193" i="6" s="1"/>
  <c r="A193" i="6"/>
  <c r="E192" i="6"/>
  <c r="F192" i="6" s="1"/>
  <c r="D192" i="6"/>
  <c r="C192" i="6"/>
  <c r="B192" i="6"/>
  <c r="G192" i="6" s="1"/>
  <c r="A192" i="6"/>
  <c r="E191" i="6"/>
  <c r="F191" i="6" s="1"/>
  <c r="D191" i="6"/>
  <c r="C191" i="6"/>
  <c r="B191" i="6"/>
  <c r="G191" i="6" s="1"/>
  <c r="A191" i="6"/>
  <c r="E190" i="6"/>
  <c r="F190" i="6" s="1"/>
  <c r="D190" i="6"/>
  <c r="C190" i="6"/>
  <c r="B190" i="6"/>
  <c r="G190" i="6" s="1"/>
  <c r="A190" i="6"/>
  <c r="E189" i="6"/>
  <c r="F189" i="6" s="1"/>
  <c r="D189" i="6"/>
  <c r="C189" i="6"/>
  <c r="B189" i="6"/>
  <c r="G189" i="6" s="1"/>
  <c r="A189" i="6"/>
  <c r="E188" i="6"/>
  <c r="F188" i="6" s="1"/>
  <c r="D188" i="6"/>
  <c r="C188" i="6"/>
  <c r="B188" i="6"/>
  <c r="G188" i="6" s="1"/>
  <c r="A188" i="6"/>
  <c r="E187" i="6"/>
  <c r="F187" i="6" s="1"/>
  <c r="D187" i="6"/>
  <c r="C187" i="6"/>
  <c r="B187" i="6"/>
  <c r="G187" i="6" s="1"/>
  <c r="A187" i="6"/>
  <c r="E186" i="6"/>
  <c r="F186" i="6" s="1"/>
  <c r="D186" i="6"/>
  <c r="C186" i="6"/>
  <c r="B186" i="6"/>
  <c r="G186" i="6" s="1"/>
  <c r="A186" i="6"/>
  <c r="E185" i="6"/>
  <c r="F185" i="6" s="1"/>
  <c r="D185" i="6"/>
  <c r="C185" i="6"/>
  <c r="B185" i="6"/>
  <c r="G185" i="6" s="1"/>
  <c r="A185" i="6"/>
  <c r="E184" i="6"/>
  <c r="F184" i="6" s="1"/>
  <c r="D184" i="6"/>
  <c r="C184" i="6"/>
  <c r="B184" i="6"/>
  <c r="G184" i="6" s="1"/>
  <c r="A184" i="6"/>
  <c r="E183" i="6"/>
  <c r="F183" i="6" s="1"/>
  <c r="D183" i="6"/>
  <c r="C183" i="6"/>
  <c r="B183" i="6"/>
  <c r="G183" i="6" s="1"/>
  <c r="A183" i="6"/>
  <c r="E182" i="6"/>
  <c r="F182" i="6" s="1"/>
  <c r="D182" i="6"/>
  <c r="C182" i="6"/>
  <c r="B182" i="6"/>
  <c r="G182" i="6" s="1"/>
  <c r="A182" i="6"/>
  <c r="E181" i="6"/>
  <c r="F181" i="6" s="1"/>
  <c r="D181" i="6"/>
  <c r="C181" i="6"/>
  <c r="B181" i="6"/>
  <c r="G181" i="6" s="1"/>
  <c r="A181" i="6"/>
  <c r="E180" i="6"/>
  <c r="F180" i="6" s="1"/>
  <c r="D180" i="6"/>
  <c r="C180" i="6"/>
  <c r="B180" i="6"/>
  <c r="G180" i="6" s="1"/>
  <c r="A180" i="6"/>
  <c r="E179" i="6"/>
  <c r="F179" i="6" s="1"/>
  <c r="D179" i="6"/>
  <c r="C179" i="6"/>
  <c r="B179" i="6"/>
  <c r="G179" i="6" s="1"/>
  <c r="A179" i="6"/>
  <c r="E178" i="6"/>
  <c r="F178" i="6" s="1"/>
  <c r="D178" i="6"/>
  <c r="C178" i="6"/>
  <c r="B178" i="6"/>
  <c r="G178" i="6" s="1"/>
  <c r="A178" i="6"/>
  <c r="E177" i="6"/>
  <c r="F177" i="6" s="1"/>
  <c r="D177" i="6"/>
  <c r="C177" i="6"/>
  <c r="B177" i="6"/>
  <c r="G177" i="6" s="1"/>
  <c r="A177" i="6"/>
  <c r="E176" i="6"/>
  <c r="F176" i="6" s="1"/>
  <c r="D176" i="6"/>
  <c r="C176" i="6"/>
  <c r="B176" i="6"/>
  <c r="G176" i="6" s="1"/>
  <c r="A176" i="6"/>
  <c r="E175" i="6"/>
  <c r="F175" i="6" s="1"/>
  <c r="D175" i="6"/>
  <c r="C175" i="6"/>
  <c r="B175" i="6"/>
  <c r="G175" i="6" s="1"/>
  <c r="A175" i="6"/>
  <c r="E174" i="6"/>
  <c r="F174" i="6" s="1"/>
  <c r="D174" i="6"/>
  <c r="C174" i="6"/>
  <c r="B174" i="6"/>
  <c r="G174" i="6" s="1"/>
  <c r="A174" i="6"/>
  <c r="E173" i="6"/>
  <c r="F173" i="6" s="1"/>
  <c r="D173" i="6"/>
  <c r="C173" i="6"/>
  <c r="B173" i="6"/>
  <c r="G173" i="6" s="1"/>
  <c r="A173" i="6"/>
  <c r="E172" i="6"/>
  <c r="F172" i="6" s="1"/>
  <c r="D172" i="6"/>
  <c r="C172" i="6"/>
  <c r="B172" i="6"/>
  <c r="G172" i="6" s="1"/>
  <c r="A172" i="6"/>
  <c r="E171" i="6"/>
  <c r="F171" i="6" s="1"/>
  <c r="D171" i="6"/>
  <c r="C171" i="6"/>
  <c r="B171" i="6"/>
  <c r="G171" i="6" s="1"/>
  <c r="A171" i="6"/>
  <c r="E170" i="6"/>
  <c r="F170" i="6" s="1"/>
  <c r="D170" i="6"/>
  <c r="C170" i="6"/>
  <c r="B170" i="6"/>
  <c r="G170" i="6" s="1"/>
  <c r="A170" i="6"/>
  <c r="E169" i="6"/>
  <c r="F169" i="6" s="1"/>
  <c r="D169" i="6"/>
  <c r="C169" i="6"/>
  <c r="B169" i="6"/>
  <c r="G169" i="6" s="1"/>
  <c r="A169" i="6"/>
  <c r="E168" i="6"/>
  <c r="F168" i="6" s="1"/>
  <c r="D168" i="6"/>
  <c r="C168" i="6"/>
  <c r="B168" i="6"/>
  <c r="G168" i="6" s="1"/>
  <c r="A168" i="6"/>
  <c r="E167" i="6"/>
  <c r="F167" i="6" s="1"/>
  <c r="D167" i="6"/>
  <c r="C167" i="6"/>
  <c r="B167" i="6"/>
  <c r="G167" i="6" s="1"/>
  <c r="A167" i="6"/>
  <c r="E166" i="6"/>
  <c r="F166" i="6" s="1"/>
  <c r="D166" i="6"/>
  <c r="C166" i="6"/>
  <c r="B166" i="6"/>
  <c r="G166" i="6" s="1"/>
  <c r="A166" i="6"/>
  <c r="E165" i="6"/>
  <c r="F165" i="6" s="1"/>
  <c r="D165" i="6"/>
  <c r="C165" i="6"/>
  <c r="B165" i="6"/>
  <c r="G165" i="6" s="1"/>
  <c r="A165" i="6"/>
  <c r="E164" i="6"/>
  <c r="F164" i="6" s="1"/>
  <c r="D164" i="6"/>
  <c r="C164" i="6"/>
  <c r="B164" i="6"/>
  <c r="G164" i="6" s="1"/>
  <c r="A164" i="6"/>
  <c r="E163" i="6"/>
  <c r="F163" i="6" s="1"/>
  <c r="D163" i="6"/>
  <c r="C163" i="6"/>
  <c r="B163" i="6"/>
  <c r="G163" i="6" s="1"/>
  <c r="A163" i="6"/>
  <c r="E162" i="6"/>
  <c r="F162" i="6" s="1"/>
  <c r="D162" i="6"/>
  <c r="C162" i="6"/>
  <c r="B162" i="6"/>
  <c r="G162" i="6" s="1"/>
  <c r="A162" i="6"/>
  <c r="E161" i="6"/>
  <c r="F161" i="6" s="1"/>
  <c r="D161" i="6"/>
  <c r="C161" i="6"/>
  <c r="B161" i="6"/>
  <c r="G161" i="6" s="1"/>
  <c r="A161" i="6"/>
  <c r="E160" i="6"/>
  <c r="F160" i="6" s="1"/>
  <c r="D160" i="6"/>
  <c r="C160" i="6"/>
  <c r="B160" i="6"/>
  <c r="G160" i="6" s="1"/>
  <c r="A160" i="6"/>
  <c r="E159" i="6"/>
  <c r="F159" i="6" s="1"/>
  <c r="D159" i="6"/>
  <c r="C159" i="6"/>
  <c r="B159" i="6"/>
  <c r="G159" i="6" s="1"/>
  <c r="A159" i="6"/>
  <c r="E158" i="6"/>
  <c r="F158" i="6" s="1"/>
  <c r="D158" i="6"/>
  <c r="C158" i="6"/>
  <c r="B158" i="6"/>
  <c r="G158" i="6" s="1"/>
  <c r="A158" i="6"/>
  <c r="E157" i="6"/>
  <c r="F157" i="6" s="1"/>
  <c r="D157" i="6"/>
  <c r="C157" i="6"/>
  <c r="B157" i="6"/>
  <c r="G157" i="6" s="1"/>
  <c r="A157" i="6"/>
  <c r="E156" i="6"/>
  <c r="F156" i="6" s="1"/>
  <c r="D156" i="6"/>
  <c r="C156" i="6"/>
  <c r="B156" i="6"/>
  <c r="G156" i="6" s="1"/>
  <c r="A156" i="6"/>
  <c r="E155" i="6"/>
  <c r="F155" i="6" s="1"/>
  <c r="D155" i="6"/>
  <c r="C155" i="6"/>
  <c r="B155" i="6"/>
  <c r="G155" i="6" s="1"/>
  <c r="A155" i="6"/>
  <c r="E154" i="6"/>
  <c r="F154" i="6" s="1"/>
  <c r="D154" i="6"/>
  <c r="C154" i="6"/>
  <c r="B154" i="6"/>
  <c r="G154" i="6" s="1"/>
  <c r="A154" i="6"/>
  <c r="E153" i="6"/>
  <c r="F153" i="6" s="1"/>
  <c r="D153" i="6"/>
  <c r="C153" i="6"/>
  <c r="B153" i="6"/>
  <c r="G153" i="6" s="1"/>
  <c r="A153" i="6"/>
  <c r="E152" i="6"/>
  <c r="F152" i="6" s="1"/>
  <c r="D152" i="6"/>
  <c r="C152" i="6"/>
  <c r="B152" i="6"/>
  <c r="G152" i="6" s="1"/>
  <c r="A152" i="6"/>
  <c r="E151" i="6"/>
  <c r="F151" i="6" s="1"/>
  <c r="D151" i="6"/>
  <c r="C151" i="6"/>
  <c r="B151" i="6"/>
  <c r="G151" i="6" s="1"/>
  <c r="A151" i="6"/>
  <c r="E150" i="6"/>
  <c r="F150" i="6" s="1"/>
  <c r="D150" i="6"/>
  <c r="C150" i="6"/>
  <c r="B150" i="6"/>
  <c r="G150" i="6" s="1"/>
  <c r="A150" i="6"/>
  <c r="E149" i="6"/>
  <c r="F149" i="6" s="1"/>
  <c r="D149" i="6"/>
  <c r="C149" i="6"/>
  <c r="B149" i="6"/>
  <c r="G149" i="6" s="1"/>
  <c r="A149" i="6"/>
  <c r="E148" i="6"/>
  <c r="F148" i="6" s="1"/>
  <c r="D148" i="6"/>
  <c r="C148" i="6"/>
  <c r="B148" i="6"/>
  <c r="G148" i="6" s="1"/>
  <c r="A148" i="6"/>
  <c r="E147" i="6"/>
  <c r="F147" i="6" s="1"/>
  <c r="D147" i="6"/>
  <c r="C147" i="6"/>
  <c r="B147" i="6"/>
  <c r="G147" i="6" s="1"/>
  <c r="A147" i="6"/>
  <c r="E146" i="6"/>
  <c r="F146" i="6" s="1"/>
  <c r="D146" i="6"/>
  <c r="C146" i="6"/>
  <c r="B146" i="6"/>
  <c r="G146" i="6" s="1"/>
  <c r="A146" i="6"/>
  <c r="E145" i="6"/>
  <c r="F145" i="6" s="1"/>
  <c r="D145" i="6"/>
  <c r="C145" i="6"/>
  <c r="B145" i="6"/>
  <c r="G145" i="6" s="1"/>
  <c r="A145" i="6"/>
  <c r="E144" i="6"/>
  <c r="F144" i="6" s="1"/>
  <c r="D144" i="6"/>
  <c r="C144" i="6"/>
  <c r="B144" i="6"/>
  <c r="G144" i="6" s="1"/>
  <c r="A144" i="6"/>
  <c r="E143" i="6"/>
  <c r="F143" i="6" s="1"/>
  <c r="D143" i="6"/>
  <c r="C143" i="6"/>
  <c r="B143" i="6"/>
  <c r="G143" i="6" s="1"/>
  <c r="A143" i="6"/>
  <c r="E142" i="6"/>
  <c r="F142" i="6" s="1"/>
  <c r="D142" i="6"/>
  <c r="C142" i="6"/>
  <c r="B142" i="6"/>
  <c r="G142" i="6" s="1"/>
  <c r="A142" i="6"/>
  <c r="E141" i="6"/>
  <c r="F141" i="6" s="1"/>
  <c r="D141" i="6"/>
  <c r="C141" i="6"/>
  <c r="B141" i="6"/>
  <c r="G141" i="6" s="1"/>
  <c r="A141" i="6"/>
  <c r="E140" i="6"/>
  <c r="F140" i="6" s="1"/>
  <c r="D140" i="6"/>
  <c r="C140" i="6"/>
  <c r="B140" i="6"/>
  <c r="G140" i="6" s="1"/>
  <c r="A140" i="6"/>
  <c r="E139" i="6"/>
  <c r="F139" i="6" s="1"/>
  <c r="D139" i="6"/>
  <c r="C139" i="6"/>
  <c r="B139" i="6"/>
  <c r="G139" i="6" s="1"/>
  <c r="A139" i="6"/>
  <c r="E138" i="6"/>
  <c r="F138" i="6" s="1"/>
  <c r="D138" i="6"/>
  <c r="C138" i="6"/>
  <c r="B138" i="6"/>
  <c r="G138" i="6" s="1"/>
  <c r="A138" i="6"/>
  <c r="E137" i="6"/>
  <c r="F137" i="6" s="1"/>
  <c r="D137" i="6"/>
  <c r="C137" i="6"/>
  <c r="B137" i="6"/>
  <c r="G137" i="6" s="1"/>
  <c r="A137" i="6"/>
  <c r="E136" i="6"/>
  <c r="F136" i="6" s="1"/>
  <c r="D136" i="6"/>
  <c r="C136" i="6"/>
  <c r="B136" i="6"/>
  <c r="G136" i="6" s="1"/>
  <c r="A136" i="6"/>
  <c r="E135" i="6"/>
  <c r="F135" i="6" s="1"/>
  <c r="D135" i="6"/>
  <c r="C135" i="6"/>
  <c r="B135" i="6"/>
  <c r="G135" i="6" s="1"/>
  <c r="A135" i="6"/>
  <c r="E134" i="6"/>
  <c r="F134" i="6" s="1"/>
  <c r="D134" i="6"/>
  <c r="C134" i="6"/>
  <c r="B134" i="6"/>
  <c r="G134" i="6" s="1"/>
  <c r="A134" i="6"/>
  <c r="E133" i="6"/>
  <c r="F133" i="6" s="1"/>
  <c r="D133" i="6"/>
  <c r="C133" i="6"/>
  <c r="B133" i="6"/>
  <c r="G133" i="6" s="1"/>
  <c r="A133" i="6"/>
  <c r="E132" i="6"/>
  <c r="F132" i="6" s="1"/>
  <c r="D132" i="6"/>
  <c r="C132" i="6"/>
  <c r="B132" i="6"/>
  <c r="G132" i="6" s="1"/>
  <c r="A132" i="6"/>
  <c r="E131" i="6"/>
  <c r="F131" i="6" s="1"/>
  <c r="D131" i="6"/>
  <c r="C131" i="6"/>
  <c r="B131" i="6"/>
  <c r="G131" i="6" s="1"/>
  <c r="A131" i="6"/>
  <c r="E130" i="6"/>
  <c r="F130" i="6" s="1"/>
  <c r="D130" i="6"/>
  <c r="C130" i="6"/>
  <c r="B130" i="6"/>
  <c r="G130" i="6" s="1"/>
  <c r="A130" i="6"/>
  <c r="E129" i="6"/>
  <c r="F129" i="6" s="1"/>
  <c r="D129" i="6"/>
  <c r="C129" i="6"/>
  <c r="B129" i="6"/>
  <c r="G129" i="6" s="1"/>
  <c r="A129" i="6"/>
  <c r="E128" i="6"/>
  <c r="F128" i="6" s="1"/>
  <c r="D128" i="6"/>
  <c r="C128" i="6"/>
  <c r="B128" i="6"/>
  <c r="G128" i="6" s="1"/>
  <c r="A128" i="6"/>
  <c r="E127" i="6"/>
  <c r="F127" i="6" s="1"/>
  <c r="D127" i="6"/>
  <c r="C127" i="6"/>
  <c r="B127" i="6"/>
  <c r="G127" i="6" s="1"/>
  <c r="A127" i="6"/>
  <c r="E126" i="6"/>
  <c r="F126" i="6" s="1"/>
  <c r="D126" i="6"/>
  <c r="C126" i="6"/>
  <c r="B126" i="6"/>
  <c r="G126" i="6" s="1"/>
  <c r="A126" i="6"/>
  <c r="E125" i="6"/>
  <c r="F125" i="6" s="1"/>
  <c r="D125" i="6"/>
  <c r="C125" i="6"/>
  <c r="B125" i="6"/>
  <c r="G125" i="6" s="1"/>
  <c r="A125" i="6"/>
  <c r="E124" i="6"/>
  <c r="F124" i="6" s="1"/>
  <c r="D124" i="6"/>
  <c r="C124" i="6"/>
  <c r="B124" i="6"/>
  <c r="G124" i="6" s="1"/>
  <c r="A124" i="6"/>
  <c r="E123" i="6"/>
  <c r="F123" i="6" s="1"/>
  <c r="D123" i="6"/>
  <c r="C123" i="6"/>
  <c r="B123" i="6"/>
  <c r="G123" i="6" s="1"/>
  <c r="A123" i="6"/>
  <c r="E122" i="6"/>
  <c r="F122" i="6" s="1"/>
  <c r="D122" i="6"/>
  <c r="C122" i="6"/>
  <c r="B122" i="6"/>
  <c r="G122" i="6" s="1"/>
  <c r="A122" i="6"/>
  <c r="E121" i="6"/>
  <c r="F121" i="6" s="1"/>
  <c r="D121" i="6"/>
  <c r="C121" i="6"/>
  <c r="B121" i="6"/>
  <c r="G121" i="6" s="1"/>
  <c r="A121" i="6"/>
  <c r="E120" i="6"/>
  <c r="F120" i="6" s="1"/>
  <c r="D120" i="6"/>
  <c r="C120" i="6"/>
  <c r="B120" i="6"/>
  <c r="G120" i="6" s="1"/>
  <c r="A120" i="6"/>
  <c r="E119" i="6"/>
  <c r="F119" i="6" s="1"/>
  <c r="D119" i="6"/>
  <c r="C119" i="6"/>
  <c r="B119" i="6"/>
  <c r="G119" i="6" s="1"/>
  <c r="A119" i="6"/>
  <c r="E118" i="6"/>
  <c r="F118" i="6" s="1"/>
  <c r="D118" i="6"/>
  <c r="C118" i="6"/>
  <c r="B118" i="6"/>
  <c r="G118" i="6" s="1"/>
  <c r="A118" i="6"/>
  <c r="E117" i="6"/>
  <c r="F117" i="6" s="1"/>
  <c r="D117" i="6"/>
  <c r="C117" i="6"/>
  <c r="B117" i="6"/>
  <c r="G117" i="6" s="1"/>
  <c r="A117" i="6"/>
  <c r="E116" i="6"/>
  <c r="F116" i="6" s="1"/>
  <c r="D116" i="6"/>
  <c r="C116" i="6"/>
  <c r="B116" i="6"/>
  <c r="G116" i="6" s="1"/>
  <c r="A116" i="6"/>
  <c r="E115" i="6"/>
  <c r="F115" i="6" s="1"/>
  <c r="D115" i="6"/>
  <c r="C115" i="6"/>
  <c r="B115" i="6"/>
  <c r="G115" i="6" s="1"/>
  <c r="A115" i="6"/>
  <c r="E114" i="6"/>
  <c r="F114" i="6" s="1"/>
  <c r="D114" i="6"/>
  <c r="C114" i="6"/>
  <c r="B114" i="6"/>
  <c r="G114" i="6" s="1"/>
  <c r="A114" i="6"/>
  <c r="E113" i="6"/>
  <c r="F113" i="6" s="1"/>
  <c r="D113" i="6"/>
  <c r="C113" i="6"/>
  <c r="B113" i="6"/>
  <c r="G113" i="6" s="1"/>
  <c r="A113" i="6"/>
  <c r="E112" i="6"/>
  <c r="F112" i="6" s="1"/>
  <c r="D112" i="6"/>
  <c r="C112" i="6"/>
  <c r="B112" i="6"/>
  <c r="G112" i="6" s="1"/>
  <c r="A112" i="6"/>
  <c r="E111" i="6"/>
  <c r="F111" i="6" s="1"/>
  <c r="D111" i="6"/>
  <c r="C111" i="6"/>
  <c r="B111" i="6"/>
  <c r="G111" i="6" s="1"/>
  <c r="A111" i="6"/>
  <c r="E110" i="6"/>
  <c r="F110" i="6" s="1"/>
  <c r="D110" i="6"/>
  <c r="C110" i="6"/>
  <c r="B110" i="6"/>
  <c r="G110" i="6" s="1"/>
  <c r="A110" i="6"/>
  <c r="E109" i="6"/>
  <c r="F109" i="6" s="1"/>
  <c r="D109" i="6"/>
  <c r="C109" i="6"/>
  <c r="B109" i="6"/>
  <c r="G109" i="6" s="1"/>
  <c r="A109" i="6"/>
  <c r="E108" i="6"/>
  <c r="F108" i="6" s="1"/>
  <c r="D108" i="6"/>
  <c r="C108" i="6"/>
  <c r="B108" i="6"/>
  <c r="G108" i="6" s="1"/>
  <c r="A108" i="6"/>
  <c r="E107" i="6"/>
  <c r="F107" i="6" s="1"/>
  <c r="D107" i="6"/>
  <c r="C107" i="6"/>
  <c r="B107" i="6"/>
  <c r="G107" i="6" s="1"/>
  <c r="A107" i="6"/>
  <c r="E106" i="6"/>
  <c r="F106" i="6" s="1"/>
  <c r="D106" i="6"/>
  <c r="C106" i="6"/>
  <c r="B106" i="6"/>
  <c r="G106" i="6" s="1"/>
  <c r="A106" i="6"/>
  <c r="E105" i="6"/>
  <c r="F105" i="6" s="1"/>
  <c r="D105" i="6"/>
  <c r="C105" i="6"/>
  <c r="B105" i="6"/>
  <c r="G105" i="6" s="1"/>
  <c r="A105" i="6"/>
  <c r="E104" i="6"/>
  <c r="F104" i="6" s="1"/>
  <c r="D104" i="6"/>
  <c r="C104" i="6"/>
  <c r="B104" i="6"/>
  <c r="G104" i="6" s="1"/>
  <c r="A104" i="6"/>
  <c r="E103" i="6"/>
  <c r="F103" i="6" s="1"/>
  <c r="D103" i="6"/>
  <c r="C103" i="6"/>
  <c r="B103" i="6"/>
  <c r="G103" i="6" s="1"/>
  <c r="A103" i="6"/>
  <c r="E102" i="6"/>
  <c r="F102" i="6" s="1"/>
  <c r="D102" i="6"/>
  <c r="C102" i="6"/>
  <c r="B102" i="6"/>
  <c r="G102" i="6" s="1"/>
  <c r="A102" i="6"/>
  <c r="E101" i="6"/>
  <c r="F101" i="6" s="1"/>
  <c r="D101" i="6"/>
  <c r="C101" i="6"/>
  <c r="B101" i="6"/>
  <c r="G101" i="6" s="1"/>
  <c r="A101" i="6"/>
  <c r="E100" i="6"/>
  <c r="F100" i="6" s="1"/>
  <c r="D100" i="6"/>
  <c r="C100" i="6"/>
  <c r="B100" i="6"/>
  <c r="G100" i="6" s="1"/>
  <c r="A100" i="6"/>
  <c r="E99" i="6"/>
  <c r="F99" i="6" s="1"/>
  <c r="D99" i="6"/>
  <c r="C99" i="6"/>
  <c r="B99" i="6"/>
  <c r="G99" i="6" s="1"/>
  <c r="A99" i="6"/>
  <c r="E98" i="6"/>
  <c r="F98" i="6" s="1"/>
  <c r="D98" i="6"/>
  <c r="C98" i="6"/>
  <c r="B98" i="6"/>
  <c r="G98" i="6" s="1"/>
  <c r="A98" i="6"/>
  <c r="E97" i="6"/>
  <c r="F97" i="6" s="1"/>
  <c r="D97" i="6"/>
  <c r="C97" i="6"/>
  <c r="B97" i="6"/>
  <c r="G97" i="6" s="1"/>
  <c r="A97" i="6"/>
  <c r="E96" i="6"/>
  <c r="F96" i="6" s="1"/>
  <c r="D96" i="6"/>
  <c r="C96" i="6"/>
  <c r="B96" i="6"/>
  <c r="G96" i="6" s="1"/>
  <c r="A96" i="6"/>
  <c r="E95" i="6"/>
  <c r="F95" i="6" s="1"/>
  <c r="D95" i="6"/>
  <c r="C95" i="6"/>
  <c r="B95" i="6"/>
  <c r="G95" i="6" s="1"/>
  <c r="A95" i="6"/>
  <c r="E94" i="6"/>
  <c r="F94" i="6" s="1"/>
  <c r="D94" i="6"/>
  <c r="C94" i="6"/>
  <c r="B94" i="6"/>
  <c r="G94" i="6" s="1"/>
  <c r="A94" i="6"/>
  <c r="E93" i="6"/>
  <c r="F93" i="6" s="1"/>
  <c r="D93" i="6"/>
  <c r="C93" i="6"/>
  <c r="B93" i="6"/>
  <c r="G93" i="6" s="1"/>
  <c r="A93" i="6"/>
  <c r="E92" i="6"/>
  <c r="F92" i="6" s="1"/>
  <c r="D92" i="6"/>
  <c r="C92" i="6"/>
  <c r="B92" i="6"/>
  <c r="G92" i="6" s="1"/>
  <c r="A92" i="6"/>
  <c r="E91" i="6"/>
  <c r="F91" i="6" s="1"/>
  <c r="D91" i="6"/>
  <c r="C91" i="6"/>
  <c r="B91" i="6"/>
  <c r="G91" i="6" s="1"/>
  <c r="A91" i="6"/>
  <c r="E90" i="6"/>
  <c r="F90" i="6" s="1"/>
  <c r="D90" i="6"/>
  <c r="C90" i="6"/>
  <c r="B90" i="6"/>
  <c r="G90" i="6" s="1"/>
  <c r="A90" i="6"/>
  <c r="E89" i="6"/>
  <c r="F89" i="6" s="1"/>
  <c r="D89" i="6"/>
  <c r="C89" i="6"/>
  <c r="B89" i="6"/>
  <c r="G89" i="6" s="1"/>
  <c r="A89" i="6"/>
  <c r="E88" i="6"/>
  <c r="F88" i="6" s="1"/>
  <c r="D88" i="6"/>
  <c r="C88" i="6"/>
  <c r="B88" i="6"/>
  <c r="G88" i="6" s="1"/>
  <c r="A88" i="6"/>
  <c r="E87" i="6"/>
  <c r="F87" i="6" s="1"/>
  <c r="D87" i="6"/>
  <c r="C87" i="6"/>
  <c r="B87" i="6"/>
  <c r="G87" i="6" s="1"/>
  <c r="A87" i="6"/>
  <c r="E86" i="6"/>
  <c r="F86" i="6" s="1"/>
  <c r="D86" i="6"/>
  <c r="C86" i="6"/>
  <c r="B86" i="6"/>
  <c r="G86" i="6" s="1"/>
  <c r="A86" i="6"/>
  <c r="E85" i="6"/>
  <c r="F85" i="6" s="1"/>
  <c r="D85" i="6"/>
  <c r="C85" i="6"/>
  <c r="B85" i="6"/>
  <c r="G85" i="6" s="1"/>
  <c r="A85" i="6"/>
  <c r="E84" i="6"/>
  <c r="F84" i="6" s="1"/>
  <c r="D84" i="6"/>
  <c r="C84" i="6"/>
  <c r="B84" i="6"/>
  <c r="G84" i="6" s="1"/>
  <c r="A84" i="6"/>
  <c r="E83" i="6"/>
  <c r="F83" i="6" s="1"/>
  <c r="D83" i="6"/>
  <c r="C83" i="6"/>
  <c r="B83" i="6"/>
  <c r="G83" i="6" s="1"/>
  <c r="A83" i="6"/>
  <c r="E82" i="6"/>
  <c r="F82" i="6" s="1"/>
  <c r="D82" i="6"/>
  <c r="C82" i="6"/>
  <c r="B82" i="6"/>
  <c r="G82" i="6" s="1"/>
  <c r="A82" i="6"/>
  <c r="E81" i="6"/>
  <c r="F81" i="6" s="1"/>
  <c r="D81" i="6"/>
  <c r="C81" i="6"/>
  <c r="B81" i="6"/>
  <c r="G81" i="6" s="1"/>
  <c r="A81" i="6"/>
  <c r="E80" i="6"/>
  <c r="F80" i="6" s="1"/>
  <c r="D80" i="6"/>
  <c r="C80" i="6"/>
  <c r="B80" i="6"/>
  <c r="G80" i="6" s="1"/>
  <c r="A80" i="6"/>
  <c r="E79" i="6"/>
  <c r="F79" i="6" s="1"/>
  <c r="D79" i="6"/>
  <c r="C79" i="6"/>
  <c r="B79" i="6"/>
  <c r="G79" i="6" s="1"/>
  <c r="A79" i="6"/>
  <c r="E78" i="6"/>
  <c r="F78" i="6" s="1"/>
  <c r="D78" i="6"/>
  <c r="C78" i="6"/>
  <c r="B78" i="6"/>
  <c r="G78" i="6" s="1"/>
  <c r="A78" i="6"/>
  <c r="E77" i="6"/>
  <c r="F77" i="6" s="1"/>
  <c r="D77" i="6"/>
  <c r="C77" i="6"/>
  <c r="B77" i="6"/>
  <c r="G77" i="6" s="1"/>
  <c r="A77" i="6"/>
  <c r="E76" i="6"/>
  <c r="F76" i="6" s="1"/>
  <c r="D76" i="6"/>
  <c r="C76" i="6"/>
  <c r="B76" i="6"/>
  <c r="G76" i="6" s="1"/>
  <c r="A76" i="6"/>
  <c r="E75" i="6"/>
  <c r="F75" i="6" s="1"/>
  <c r="D75" i="6"/>
  <c r="C75" i="6"/>
  <c r="B75" i="6"/>
  <c r="G75" i="6" s="1"/>
  <c r="A75" i="6"/>
  <c r="E74" i="6"/>
  <c r="F74" i="6" s="1"/>
  <c r="D74" i="6"/>
  <c r="C74" i="6"/>
  <c r="B74" i="6"/>
  <c r="G74" i="6" s="1"/>
  <c r="A74" i="6"/>
  <c r="E73" i="6"/>
  <c r="F73" i="6" s="1"/>
  <c r="D73" i="6"/>
  <c r="C73" i="6"/>
  <c r="B73" i="6"/>
  <c r="G73" i="6" s="1"/>
  <c r="A73" i="6"/>
  <c r="E72" i="6"/>
  <c r="F72" i="6" s="1"/>
  <c r="D72" i="6"/>
  <c r="C72" i="6"/>
  <c r="B72" i="6"/>
  <c r="G72" i="6" s="1"/>
  <c r="A72" i="6"/>
  <c r="E71" i="6"/>
  <c r="F71" i="6" s="1"/>
  <c r="D71" i="6"/>
  <c r="C71" i="6"/>
  <c r="B71" i="6"/>
  <c r="G71" i="6" s="1"/>
  <c r="A71" i="6"/>
  <c r="E70" i="6"/>
  <c r="F70" i="6" s="1"/>
  <c r="D70" i="6"/>
  <c r="C70" i="6"/>
  <c r="B70" i="6"/>
  <c r="G70" i="6" s="1"/>
  <c r="A70" i="6"/>
  <c r="E69" i="6"/>
  <c r="F69" i="6" s="1"/>
  <c r="D69" i="6"/>
  <c r="C69" i="6"/>
  <c r="B69" i="6"/>
  <c r="G69" i="6" s="1"/>
  <c r="A69" i="6"/>
  <c r="E68" i="6"/>
  <c r="F68" i="6" s="1"/>
  <c r="D68" i="6"/>
  <c r="C68" i="6"/>
  <c r="B68" i="6"/>
  <c r="G68" i="6" s="1"/>
  <c r="A68" i="6"/>
  <c r="E67" i="6"/>
  <c r="F67" i="6" s="1"/>
  <c r="D67" i="6"/>
  <c r="C67" i="6"/>
  <c r="B67" i="6"/>
  <c r="G67" i="6" s="1"/>
  <c r="A67" i="6"/>
  <c r="E66" i="6"/>
  <c r="F66" i="6" s="1"/>
  <c r="D66" i="6"/>
  <c r="C66" i="6"/>
  <c r="B66" i="6"/>
  <c r="G66" i="6" s="1"/>
  <c r="A66" i="6"/>
  <c r="E65" i="6"/>
  <c r="F65" i="6" s="1"/>
  <c r="D65" i="6"/>
  <c r="C65" i="6"/>
  <c r="B65" i="6"/>
  <c r="G65" i="6" s="1"/>
  <c r="A65" i="6"/>
  <c r="E64" i="6"/>
  <c r="F64" i="6" s="1"/>
  <c r="D64" i="6"/>
  <c r="C64" i="6"/>
  <c r="B64" i="6"/>
  <c r="G64" i="6" s="1"/>
  <c r="A64" i="6"/>
  <c r="E63" i="6"/>
  <c r="F63" i="6" s="1"/>
  <c r="D63" i="6"/>
  <c r="C63" i="6"/>
  <c r="B63" i="6"/>
  <c r="G63" i="6" s="1"/>
  <c r="A63" i="6"/>
  <c r="E62" i="6"/>
  <c r="F62" i="6" s="1"/>
  <c r="D62" i="6"/>
  <c r="C62" i="6"/>
  <c r="B62" i="6"/>
  <c r="G62" i="6" s="1"/>
  <c r="A62" i="6"/>
  <c r="E61" i="6"/>
  <c r="F61" i="6" s="1"/>
  <c r="D61" i="6"/>
  <c r="C61" i="6"/>
  <c r="B61" i="6"/>
  <c r="G61" i="6" s="1"/>
  <c r="A61" i="6"/>
  <c r="E60" i="6"/>
  <c r="F60" i="6" s="1"/>
  <c r="D60" i="6"/>
  <c r="C60" i="6"/>
  <c r="B60" i="6"/>
  <c r="G60" i="6" s="1"/>
  <c r="A60" i="6"/>
  <c r="E59" i="6"/>
  <c r="F59" i="6" s="1"/>
  <c r="D59" i="6"/>
  <c r="C59" i="6"/>
  <c r="B59" i="6"/>
  <c r="G59" i="6" s="1"/>
  <c r="A59" i="6"/>
  <c r="E58" i="6"/>
  <c r="F58" i="6" s="1"/>
  <c r="D58" i="6"/>
  <c r="C58" i="6"/>
  <c r="B58" i="6"/>
  <c r="G58" i="6" s="1"/>
  <c r="A58" i="6"/>
  <c r="E57" i="6"/>
  <c r="F57" i="6" s="1"/>
  <c r="D57" i="6"/>
  <c r="C57" i="6"/>
  <c r="B57" i="6"/>
  <c r="G57" i="6" s="1"/>
  <c r="A57" i="6"/>
  <c r="E56" i="6"/>
  <c r="F56" i="6" s="1"/>
  <c r="D56" i="6"/>
  <c r="C56" i="6"/>
  <c r="B56" i="6"/>
  <c r="G56" i="6" s="1"/>
  <c r="A56" i="6"/>
  <c r="E55" i="6"/>
  <c r="F55" i="6" s="1"/>
  <c r="D55" i="6"/>
  <c r="C55" i="6"/>
  <c r="B55" i="6"/>
  <c r="G55" i="6" s="1"/>
  <c r="A55" i="6"/>
  <c r="E54" i="6"/>
  <c r="F54" i="6" s="1"/>
  <c r="D54" i="6"/>
  <c r="C54" i="6"/>
  <c r="B54" i="6"/>
  <c r="G54" i="6" s="1"/>
  <c r="A54" i="6"/>
  <c r="E53" i="6"/>
  <c r="F53" i="6" s="1"/>
  <c r="D53" i="6"/>
  <c r="C53" i="6"/>
  <c r="B53" i="6"/>
  <c r="G53" i="6" s="1"/>
  <c r="A53" i="6"/>
  <c r="E52" i="6"/>
  <c r="F52" i="6" s="1"/>
  <c r="D52" i="6"/>
  <c r="C52" i="6"/>
  <c r="B52" i="6"/>
  <c r="G52" i="6" s="1"/>
  <c r="A52" i="6"/>
  <c r="E51" i="6"/>
  <c r="F51" i="6" s="1"/>
  <c r="D51" i="6"/>
  <c r="C51" i="6"/>
  <c r="B51" i="6"/>
  <c r="G51" i="6" s="1"/>
  <c r="A51" i="6"/>
  <c r="E50" i="6"/>
  <c r="F50" i="6" s="1"/>
  <c r="D50" i="6"/>
  <c r="C50" i="6"/>
  <c r="B50" i="6"/>
  <c r="G50" i="6" s="1"/>
  <c r="A50" i="6"/>
  <c r="E49" i="6"/>
  <c r="F49" i="6" s="1"/>
  <c r="D49" i="6"/>
  <c r="C49" i="6"/>
  <c r="B49" i="6"/>
  <c r="G49" i="6" s="1"/>
  <c r="A49" i="6"/>
  <c r="E48" i="6"/>
  <c r="F48" i="6" s="1"/>
  <c r="D48" i="6"/>
  <c r="C48" i="6"/>
  <c r="B48" i="6"/>
  <c r="G48" i="6" s="1"/>
  <c r="A48" i="6"/>
  <c r="E47" i="6"/>
  <c r="F47" i="6" s="1"/>
  <c r="D47" i="6"/>
  <c r="C47" i="6"/>
  <c r="B47" i="6"/>
  <c r="G47" i="6" s="1"/>
  <c r="A47" i="6"/>
  <c r="E46" i="6"/>
  <c r="F46" i="6" s="1"/>
  <c r="D46" i="6"/>
  <c r="C46" i="6"/>
  <c r="B46" i="6"/>
  <c r="G46" i="6" s="1"/>
  <c r="A46" i="6"/>
  <c r="E45" i="6"/>
  <c r="F45" i="6" s="1"/>
  <c r="D45" i="6"/>
  <c r="C45" i="6"/>
  <c r="B45" i="6"/>
  <c r="G45" i="6" s="1"/>
  <c r="A45" i="6"/>
  <c r="E44" i="6"/>
  <c r="F44" i="6" s="1"/>
  <c r="D44" i="6"/>
  <c r="C44" i="6"/>
  <c r="B44" i="6"/>
  <c r="G44" i="6" s="1"/>
  <c r="A44" i="6"/>
  <c r="E43" i="6"/>
  <c r="F43" i="6" s="1"/>
  <c r="D43" i="6"/>
  <c r="C43" i="6"/>
  <c r="B43" i="6"/>
  <c r="G43" i="6" s="1"/>
  <c r="A43" i="6"/>
  <c r="E42" i="6"/>
  <c r="F42" i="6" s="1"/>
  <c r="D42" i="6"/>
  <c r="C42" i="6"/>
  <c r="B42" i="6"/>
  <c r="G42" i="6" s="1"/>
  <c r="A42" i="6"/>
  <c r="E41" i="6"/>
  <c r="F41" i="6" s="1"/>
  <c r="D41" i="6"/>
  <c r="C41" i="6"/>
  <c r="B41" i="6"/>
  <c r="G41" i="6" s="1"/>
  <c r="A41" i="6"/>
  <c r="E40" i="6"/>
  <c r="F40" i="6" s="1"/>
  <c r="D40" i="6"/>
  <c r="C40" i="6"/>
  <c r="B40" i="6"/>
  <c r="G40" i="6" s="1"/>
  <c r="A40" i="6"/>
  <c r="E39" i="6"/>
  <c r="F39" i="6" s="1"/>
  <c r="D39" i="6"/>
  <c r="C39" i="6"/>
  <c r="B39" i="6"/>
  <c r="G39" i="6" s="1"/>
  <c r="A39" i="6"/>
  <c r="E38" i="6"/>
  <c r="F38" i="6" s="1"/>
  <c r="D38" i="6"/>
  <c r="C38" i="6"/>
  <c r="B38" i="6"/>
  <c r="G38" i="6" s="1"/>
  <c r="A38" i="6"/>
  <c r="E37" i="6"/>
  <c r="F37" i="6" s="1"/>
  <c r="D37" i="6"/>
  <c r="C37" i="6"/>
  <c r="B37" i="6"/>
  <c r="G37" i="6" s="1"/>
  <c r="A37" i="6"/>
  <c r="E36" i="6"/>
  <c r="F36" i="6" s="1"/>
  <c r="D36" i="6"/>
  <c r="C36" i="6"/>
  <c r="B36" i="6"/>
  <c r="G36" i="6" s="1"/>
  <c r="A36" i="6"/>
  <c r="E35" i="6"/>
  <c r="F35" i="6" s="1"/>
  <c r="C35" i="6"/>
  <c r="B35" i="6"/>
  <c r="G35" i="6" s="1"/>
  <c r="A35" i="6"/>
  <c r="E34" i="6"/>
  <c r="F34" i="6" s="1"/>
  <c r="D34" i="6"/>
  <c r="C34" i="6"/>
  <c r="B34" i="6"/>
  <c r="G34" i="6" s="1"/>
  <c r="A34" i="6"/>
  <c r="E33" i="6"/>
  <c r="F33" i="6" s="1"/>
  <c r="D33" i="6"/>
  <c r="C33" i="6"/>
  <c r="B33" i="6"/>
  <c r="G33" i="6" s="1"/>
  <c r="A33" i="6"/>
  <c r="E32" i="6"/>
  <c r="F32" i="6" s="1"/>
  <c r="D32" i="6"/>
  <c r="C32" i="6"/>
  <c r="B32" i="6"/>
  <c r="G32" i="6" s="1"/>
  <c r="A32" i="6"/>
  <c r="E31" i="6"/>
  <c r="F31" i="6" s="1"/>
  <c r="D31" i="6"/>
  <c r="C31" i="6"/>
  <c r="B31" i="6"/>
  <c r="G31" i="6" s="1"/>
  <c r="A31" i="6"/>
  <c r="E30" i="6"/>
  <c r="F30" i="6" s="1"/>
  <c r="D30" i="6"/>
  <c r="C30" i="6"/>
  <c r="B30" i="6"/>
  <c r="G30" i="6" s="1"/>
  <c r="A30" i="6"/>
  <c r="E29" i="6"/>
  <c r="F29" i="6" s="1"/>
  <c r="D29" i="6"/>
  <c r="C29" i="6"/>
  <c r="B29" i="6"/>
  <c r="G29" i="6" s="1"/>
  <c r="A29" i="6"/>
  <c r="E28" i="6"/>
  <c r="F28" i="6" s="1"/>
  <c r="D28" i="6"/>
  <c r="C28" i="6"/>
  <c r="B28" i="6"/>
  <c r="G28" i="6" s="1"/>
  <c r="A28" i="6"/>
  <c r="E27" i="6"/>
  <c r="F27" i="6" s="1"/>
  <c r="D27" i="6"/>
  <c r="C27" i="6"/>
  <c r="B27" i="6"/>
  <c r="G27" i="6" s="1"/>
  <c r="A27" i="6"/>
  <c r="E26" i="6"/>
  <c r="F26" i="6" s="1"/>
  <c r="D26" i="6"/>
  <c r="C26" i="6"/>
  <c r="B26" i="6"/>
  <c r="G26" i="6" s="1"/>
  <c r="A26" i="6"/>
  <c r="E25" i="6"/>
  <c r="F25" i="6" s="1"/>
  <c r="D25" i="6"/>
  <c r="C25" i="6"/>
  <c r="B25" i="6"/>
  <c r="G25" i="6" s="1"/>
  <c r="A25" i="6"/>
  <c r="E24" i="6"/>
  <c r="F24" i="6" s="1"/>
  <c r="D24" i="6"/>
  <c r="C24" i="6"/>
  <c r="B24" i="6"/>
  <c r="G24" i="6" s="1"/>
  <c r="A24" i="6"/>
  <c r="E23" i="6"/>
  <c r="F23" i="6" s="1"/>
  <c r="D23" i="6"/>
  <c r="C23" i="6"/>
  <c r="B23" i="6"/>
  <c r="G23" i="6" s="1"/>
  <c r="A23" i="6"/>
  <c r="E22" i="6"/>
  <c r="F22" i="6" s="1"/>
  <c r="D22" i="6"/>
  <c r="C22" i="6"/>
  <c r="B22" i="6"/>
  <c r="G22" i="6" s="1"/>
  <c r="A22" i="6"/>
  <c r="E21" i="6"/>
  <c r="F21" i="6" s="1"/>
  <c r="D21" i="6"/>
  <c r="C21" i="6"/>
  <c r="B21" i="6"/>
  <c r="G21" i="6" s="1"/>
  <c r="A21" i="6"/>
  <c r="E20" i="6"/>
  <c r="F20" i="6" s="1"/>
  <c r="D20" i="6"/>
  <c r="C20" i="6"/>
  <c r="B20" i="6"/>
  <c r="G20" i="6" s="1"/>
  <c r="A20" i="6"/>
  <c r="E19" i="6"/>
  <c r="F19" i="6" s="1"/>
  <c r="D19" i="6"/>
  <c r="C19" i="6"/>
  <c r="B19" i="6"/>
  <c r="G19" i="6" s="1"/>
  <c r="A19" i="6"/>
  <c r="E18" i="6"/>
  <c r="F18" i="6" s="1"/>
  <c r="D18" i="6"/>
  <c r="C18" i="6"/>
  <c r="B18" i="6"/>
  <c r="G18" i="6" s="1"/>
  <c r="A18" i="6"/>
  <c r="E17" i="6"/>
  <c r="F17" i="6" s="1"/>
  <c r="D17" i="6"/>
  <c r="C17" i="6"/>
  <c r="B17" i="6"/>
  <c r="G17" i="6" s="1"/>
  <c r="A17" i="6"/>
  <c r="E16" i="6"/>
  <c r="F16" i="6" s="1"/>
  <c r="D16" i="6"/>
  <c r="C16" i="6"/>
  <c r="B16" i="6"/>
  <c r="G16" i="6" s="1"/>
  <c r="A16" i="6"/>
  <c r="E15" i="6"/>
  <c r="F15" i="6" s="1"/>
  <c r="D15" i="6"/>
  <c r="C15" i="6"/>
  <c r="B15" i="6"/>
  <c r="G15" i="6" s="1"/>
  <c r="A15" i="6"/>
  <c r="E14" i="6"/>
  <c r="F14" i="6" s="1"/>
  <c r="D14" i="6"/>
  <c r="C14" i="6"/>
  <c r="B14" i="6"/>
  <c r="G14" i="6" s="1"/>
  <c r="A14" i="6"/>
  <c r="E13" i="6"/>
  <c r="F13" i="6" s="1"/>
  <c r="D13" i="6"/>
  <c r="C13" i="6"/>
  <c r="B13" i="6"/>
  <c r="G13" i="6" s="1"/>
  <c r="A13" i="6"/>
  <c r="E12" i="6"/>
  <c r="F12" i="6" s="1"/>
  <c r="C12" i="6"/>
  <c r="B12" i="6"/>
  <c r="G12" i="6" s="1"/>
  <c r="A12" i="6"/>
  <c r="E11" i="6"/>
  <c r="F11" i="6" s="1"/>
  <c r="D11" i="6"/>
  <c r="C11" i="6"/>
  <c r="B11" i="6"/>
  <c r="G11" i="6" s="1"/>
  <c r="A11" i="6"/>
  <c r="E10" i="6"/>
  <c r="F10" i="6" s="1"/>
  <c r="D10" i="6"/>
  <c r="C10" i="6"/>
  <c r="B10" i="6"/>
  <c r="G10" i="6" s="1"/>
  <c r="A10" i="6"/>
  <c r="E9" i="6"/>
  <c r="F9" i="6" s="1"/>
  <c r="D9" i="6"/>
  <c r="C9" i="6"/>
  <c r="B9" i="6"/>
  <c r="G9" i="6" s="1"/>
  <c r="A9" i="6"/>
  <c r="E8" i="6"/>
  <c r="F8" i="6" s="1"/>
  <c r="D8" i="6"/>
  <c r="C8" i="6"/>
  <c r="B8" i="6"/>
  <c r="G8" i="6" s="1"/>
  <c r="A8" i="6"/>
  <c r="E7" i="6"/>
  <c r="F7" i="6" s="1"/>
  <c r="D7" i="6"/>
  <c r="C7" i="6"/>
  <c r="B7" i="6"/>
  <c r="G7" i="6" s="1"/>
  <c r="A7" i="6"/>
  <c r="E6" i="6"/>
  <c r="F6" i="6" s="1"/>
  <c r="D6" i="6"/>
  <c r="C6" i="6"/>
  <c r="B6" i="6"/>
  <c r="G6" i="6" s="1"/>
  <c r="A6" i="6"/>
  <c r="E5" i="6"/>
  <c r="F5" i="6" s="1"/>
  <c r="D5" i="6"/>
  <c r="C5" i="6"/>
  <c r="B5" i="6"/>
  <c r="G5" i="6" s="1"/>
  <c r="A5" i="6"/>
  <c r="E4" i="6"/>
  <c r="F4" i="6" s="1"/>
  <c r="D4" i="6"/>
  <c r="C4" i="6"/>
  <c r="B4" i="6"/>
  <c r="G4" i="6" s="1"/>
  <c r="A4" i="6"/>
  <c r="E104" i="4"/>
  <c r="F103" i="4"/>
  <c r="A103" i="4"/>
  <c r="F102" i="4"/>
  <c r="A102" i="4"/>
  <c r="F101" i="4"/>
  <c r="A101" i="4"/>
  <c r="F100" i="4"/>
  <c r="A100" i="4"/>
  <c r="F99" i="4"/>
  <c r="A99" i="4"/>
  <c r="F98" i="4"/>
  <c r="A98" i="4"/>
  <c r="F97" i="4"/>
  <c r="A97" i="4"/>
  <c r="F96" i="4"/>
  <c r="A96" i="4"/>
  <c r="F95" i="4"/>
  <c r="A95" i="4"/>
  <c r="F94" i="4"/>
  <c r="A94" i="4"/>
  <c r="F93" i="4"/>
  <c r="A93" i="4"/>
  <c r="F92" i="4"/>
  <c r="A92" i="4"/>
  <c r="F91" i="4"/>
  <c r="A91" i="4"/>
  <c r="F90" i="4"/>
  <c r="A90" i="4"/>
  <c r="F89" i="4"/>
  <c r="A89" i="4"/>
  <c r="F88" i="4"/>
  <c r="A88" i="4"/>
  <c r="F87" i="4"/>
  <c r="A87" i="4"/>
  <c r="F86" i="4"/>
  <c r="A86" i="4"/>
  <c r="F85" i="4"/>
  <c r="A85" i="4"/>
  <c r="F84" i="4"/>
  <c r="A84" i="4"/>
  <c r="F83" i="4"/>
  <c r="A83" i="4"/>
  <c r="F82" i="4"/>
  <c r="A82" i="4"/>
  <c r="F81" i="4"/>
  <c r="A81" i="4"/>
  <c r="F80" i="4"/>
  <c r="A80" i="4"/>
  <c r="F79" i="4"/>
  <c r="A79" i="4"/>
  <c r="F78" i="4"/>
  <c r="A78" i="4"/>
  <c r="F77" i="4"/>
  <c r="A77" i="4"/>
  <c r="F76" i="4"/>
  <c r="A76" i="4"/>
  <c r="F75" i="4"/>
  <c r="A75" i="4"/>
  <c r="F74" i="4"/>
  <c r="A74" i="4"/>
  <c r="F73" i="4"/>
  <c r="A73" i="4"/>
  <c r="F72" i="4"/>
  <c r="A72" i="4"/>
  <c r="F71" i="4"/>
  <c r="A71" i="4"/>
  <c r="F70" i="4"/>
  <c r="A70" i="4"/>
  <c r="F69" i="4"/>
  <c r="A69" i="4"/>
  <c r="F68" i="4"/>
  <c r="A68" i="4"/>
  <c r="F67" i="4"/>
  <c r="A67" i="4"/>
  <c r="F66" i="4"/>
  <c r="A66" i="4"/>
  <c r="F65" i="4"/>
  <c r="A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H3" i="4"/>
  <c r="C25" i="1"/>
  <c r="B25" i="1"/>
  <c r="E166" i="7" l="1"/>
  <c r="B186" i="7"/>
  <c r="L30" i="9"/>
  <c r="R30" i="9" s="1"/>
  <c r="C184" i="7"/>
  <c r="C199" i="7"/>
  <c r="F182" i="7"/>
  <c r="A196" i="7"/>
  <c r="E197" i="7"/>
  <c r="D170" i="7"/>
  <c r="F149" i="7"/>
  <c r="F135" i="7"/>
  <c r="D154" i="7"/>
  <c r="A149" i="7"/>
  <c r="D189" i="7"/>
  <c r="C149" i="7"/>
  <c r="F189" i="7"/>
  <c r="E179" i="7"/>
  <c r="F157" i="7"/>
  <c r="D159" i="7"/>
  <c r="B57" i="7"/>
  <c r="A135" i="7"/>
  <c r="F167" i="7"/>
  <c r="B197" i="7"/>
  <c r="D172" i="7"/>
  <c r="D104" i="7"/>
  <c r="F9" i="7"/>
  <c r="L145" i="9"/>
  <c r="R145" i="9" s="1"/>
  <c r="F153" i="7"/>
  <c r="B10" i="7"/>
  <c r="F15" i="7"/>
  <c r="B20" i="7"/>
  <c r="F30" i="7"/>
  <c r="F60" i="7"/>
  <c r="F90" i="7"/>
  <c r="D81" i="7"/>
  <c r="D96" i="7"/>
  <c r="D101" i="7"/>
  <c r="D106" i="7"/>
  <c r="D136" i="7"/>
  <c r="E141" i="7"/>
  <c r="L98" i="9"/>
  <c r="R98" i="9" s="1"/>
  <c r="L108" i="9"/>
  <c r="R108" i="9" s="1"/>
  <c r="D171" i="7"/>
  <c r="B151" i="7"/>
  <c r="D176" i="7"/>
  <c r="A190" i="7"/>
  <c r="J190" i="7" s="1"/>
  <c r="F176" i="7"/>
  <c r="F41" i="7"/>
  <c r="L62" i="9"/>
  <c r="R62" i="9" s="1"/>
  <c r="F66" i="7"/>
  <c r="F91" i="7"/>
  <c r="L92" i="9"/>
  <c r="R92" i="9" s="1"/>
  <c r="F111" i="7"/>
  <c r="F116" i="7"/>
  <c r="F131" i="7"/>
  <c r="F102" i="7"/>
  <c r="F112" i="7"/>
  <c r="B122" i="7"/>
  <c r="E181" i="7"/>
  <c r="A161" i="7"/>
  <c r="Q161" i="7" s="1"/>
  <c r="Q181" i="7"/>
  <c r="D88" i="7"/>
  <c r="P61" i="9"/>
  <c r="P71" i="9"/>
  <c r="F115" i="7"/>
  <c r="F120" i="7"/>
  <c r="F125" i="7"/>
  <c r="E145" i="7"/>
  <c r="M145" i="9"/>
  <c r="AD145" i="14" s="1"/>
  <c r="A132" i="7"/>
  <c r="Q132" i="7" s="1"/>
  <c r="B156" i="7"/>
  <c r="A192" i="7"/>
  <c r="N145" i="9"/>
  <c r="B123" i="7"/>
  <c r="F94" i="7"/>
  <c r="F99" i="7"/>
  <c r="P135" i="9"/>
  <c r="B75" i="7"/>
  <c r="B183" i="7"/>
  <c r="D190" i="7"/>
  <c r="D90" i="7"/>
  <c r="F145" i="7"/>
  <c r="D183" i="7"/>
  <c r="E200" i="7"/>
  <c r="Q100" i="7"/>
  <c r="D160" i="7"/>
  <c r="F172" i="7"/>
  <c r="A193" i="7"/>
  <c r="I193" i="7" s="1"/>
  <c r="E55" i="7"/>
  <c r="F104" i="7"/>
  <c r="E193" i="7"/>
  <c r="B202" i="7"/>
  <c r="D115" i="7"/>
  <c r="D163" i="7"/>
  <c r="D187" i="7"/>
  <c r="F193" i="7"/>
  <c r="D203" i="7"/>
  <c r="D125" i="7"/>
  <c r="D150" i="7"/>
  <c r="F163" i="7"/>
  <c r="F177" i="7"/>
  <c r="E187" i="7"/>
  <c r="A195" i="7"/>
  <c r="I195" i="7" s="1"/>
  <c r="F203" i="7"/>
  <c r="E16" i="7"/>
  <c r="A131" i="7"/>
  <c r="Q131" i="7" s="1"/>
  <c r="E165" i="7"/>
  <c r="A188" i="7"/>
  <c r="D195" i="7"/>
  <c r="B42" i="7"/>
  <c r="F117" i="7"/>
  <c r="E147" i="7"/>
  <c r="E156" i="7"/>
  <c r="A167" i="7"/>
  <c r="Q167" i="7" s="1"/>
  <c r="F178" i="7"/>
  <c r="B187" i="7"/>
  <c r="D200" i="7"/>
  <c r="A66" i="7"/>
  <c r="J66" i="7" s="1"/>
  <c r="E129" i="7"/>
  <c r="F88" i="7"/>
  <c r="A114" i="7"/>
  <c r="E143" i="7"/>
  <c r="E154" i="7"/>
  <c r="B166" i="7"/>
  <c r="B177" i="7"/>
  <c r="A185" i="7"/>
  <c r="Q185" i="7" s="1"/>
  <c r="F190" i="7"/>
  <c r="F197" i="7"/>
  <c r="B89" i="7"/>
  <c r="A126" i="7"/>
  <c r="J126" i="7" s="1"/>
  <c r="G126" i="14" s="1"/>
  <c r="H126" i="14" s="1"/>
  <c r="B145" i="7"/>
  <c r="A97" i="7"/>
  <c r="D130" i="7"/>
  <c r="A147" i="7"/>
  <c r="N154" i="7"/>
  <c r="A165" i="7"/>
  <c r="E172" i="7"/>
  <c r="B182" i="7"/>
  <c r="C194" i="7"/>
  <c r="F82" i="7"/>
  <c r="F121" i="7"/>
  <c r="F160" i="7"/>
  <c r="E169" i="7"/>
  <c r="A68" i="7"/>
  <c r="Q68" i="7" s="1"/>
  <c r="D95" i="7"/>
  <c r="F119" i="7"/>
  <c r="B134" i="7"/>
  <c r="F146" i="7"/>
  <c r="F151" i="7"/>
  <c r="A159" i="7"/>
  <c r="N159" i="7" s="1"/>
  <c r="D165" i="7"/>
  <c r="A171" i="7"/>
  <c r="E177" i="7"/>
  <c r="F187" i="7"/>
  <c r="D192" i="7"/>
  <c r="A197" i="7"/>
  <c r="N197" i="7" s="1"/>
  <c r="A202" i="7"/>
  <c r="Q202" i="7" s="1"/>
  <c r="E50" i="7"/>
  <c r="F73" i="7"/>
  <c r="E135" i="7"/>
  <c r="E74" i="7"/>
  <c r="I98" i="7"/>
  <c r="D135" i="7"/>
  <c r="B147" i="7"/>
  <c r="C154" i="7"/>
  <c r="F159" i="7"/>
  <c r="F165" i="7"/>
  <c r="A172" i="7"/>
  <c r="B178" i="7"/>
  <c r="E183" i="7"/>
  <c r="E188" i="7"/>
  <c r="B193" i="7"/>
  <c r="A76" i="7"/>
  <c r="J76" i="7" s="1"/>
  <c r="A103" i="7"/>
  <c r="N103" i="7" s="1"/>
  <c r="K103" i="14" s="1"/>
  <c r="L103" i="14" s="1"/>
  <c r="E72" i="7"/>
  <c r="F48" i="7"/>
  <c r="A83" i="7"/>
  <c r="N83" i="7" s="1"/>
  <c r="D105" i="7"/>
  <c r="A130" i="7"/>
  <c r="I130" i="7" s="1"/>
  <c r="E149" i="7"/>
  <c r="E155" i="7"/>
  <c r="F161" i="7"/>
  <c r="B167" i="7"/>
  <c r="A176" i="7"/>
  <c r="J181" i="7"/>
  <c r="B190" i="7"/>
  <c r="D194" i="7"/>
  <c r="B200" i="7"/>
  <c r="B67" i="7"/>
  <c r="B24" i="7"/>
  <c r="E123" i="7"/>
  <c r="E131" i="7"/>
  <c r="K59" i="12"/>
  <c r="K69" i="12"/>
  <c r="M6" i="13"/>
  <c r="D61" i="7"/>
  <c r="B112" i="7"/>
  <c r="D80" i="7"/>
  <c r="D110" i="7"/>
  <c r="O50" i="12"/>
  <c r="A32" i="7"/>
  <c r="A49" i="7"/>
  <c r="F58" i="7"/>
  <c r="F67" i="7"/>
  <c r="D83" i="7"/>
  <c r="A99" i="7"/>
  <c r="E108" i="7"/>
  <c r="D114" i="7"/>
  <c r="A122" i="7"/>
  <c r="Q122" i="7" s="1"/>
  <c r="I122" i="14" s="1"/>
  <c r="J122" i="14" s="1"/>
  <c r="A144" i="7"/>
  <c r="J144" i="7" s="1"/>
  <c r="F156" i="7"/>
  <c r="A173" i="7"/>
  <c r="N173" i="7" s="1"/>
  <c r="I181" i="7"/>
  <c r="B201" i="7"/>
  <c r="E35" i="7"/>
  <c r="E45" i="7"/>
  <c r="A33" i="7"/>
  <c r="N33" i="7" s="1"/>
  <c r="K33" i="14" s="1"/>
  <c r="L33" i="14" s="1"/>
  <c r="D49" i="7"/>
  <c r="F59" i="7"/>
  <c r="A84" i="7"/>
  <c r="J84" i="7" s="1"/>
  <c r="G84" i="14" s="1"/>
  <c r="H84" i="14" s="1"/>
  <c r="A94" i="7"/>
  <c r="A109" i="7"/>
  <c r="F114" i="7"/>
  <c r="D144" i="7"/>
  <c r="A148" i="7"/>
  <c r="Q148" i="7" s="1"/>
  <c r="B173" i="7"/>
  <c r="D35" i="7"/>
  <c r="F49" i="7"/>
  <c r="A69" i="7"/>
  <c r="N69" i="7" s="1"/>
  <c r="K69" i="14" s="1"/>
  <c r="L69" i="14" s="1"/>
  <c r="F77" i="7"/>
  <c r="F84" i="7"/>
  <c r="B94" i="7"/>
  <c r="J100" i="7"/>
  <c r="B109" i="7"/>
  <c r="A115" i="7"/>
  <c r="Q115" i="7" s="1"/>
  <c r="A124" i="7"/>
  <c r="F130" i="7"/>
  <c r="A145" i="7"/>
  <c r="J145" i="7" s="1"/>
  <c r="B148" i="7"/>
  <c r="A151" i="7"/>
  <c r="I151" i="7" s="1"/>
  <c r="F154" i="7"/>
  <c r="D158" i="7"/>
  <c r="E161" i="7"/>
  <c r="A168" i="7"/>
  <c r="Q168" i="7" s="1"/>
  <c r="B171" i="7"/>
  <c r="E173" i="7"/>
  <c r="F183" i="7"/>
  <c r="D59" i="7"/>
  <c r="D99" i="7"/>
  <c r="D124" i="7"/>
  <c r="D129" i="7"/>
  <c r="D134" i="7"/>
  <c r="D139" i="7"/>
  <c r="E64" i="7"/>
  <c r="E119" i="7"/>
  <c r="D37" i="7"/>
  <c r="A62" i="7"/>
  <c r="Q62" i="7" s="1"/>
  <c r="F69" i="7"/>
  <c r="A78" i="7"/>
  <c r="J78" i="7" s="1"/>
  <c r="A87" i="7"/>
  <c r="Q87" i="7" s="1"/>
  <c r="D94" i="7"/>
  <c r="D109" i="7"/>
  <c r="E124" i="7"/>
  <c r="D148" i="7"/>
  <c r="B168" i="7"/>
  <c r="F173" i="7"/>
  <c r="A42" i="7"/>
  <c r="N42" i="7" s="1"/>
  <c r="A53" i="7"/>
  <c r="N53" i="7" s="1"/>
  <c r="A63" i="7"/>
  <c r="N63" i="7" s="1"/>
  <c r="D71" i="7"/>
  <c r="F78" i="7"/>
  <c r="A88" i="7"/>
  <c r="A102" i="7"/>
  <c r="Q102" i="7" s="1"/>
  <c r="E109" i="7"/>
  <c r="B116" i="7"/>
  <c r="A125" i="7"/>
  <c r="Q125" i="7" s="1"/>
  <c r="B131" i="7"/>
  <c r="A137" i="7"/>
  <c r="D145" i="7"/>
  <c r="F148" i="7"/>
  <c r="E151" i="7"/>
  <c r="A155" i="7"/>
  <c r="C159" i="7"/>
  <c r="A162" i="7"/>
  <c r="A166" i="7"/>
  <c r="J166" i="7" s="1"/>
  <c r="D168" i="7"/>
  <c r="E171" i="7"/>
  <c r="F174" i="7"/>
  <c r="D178" i="7"/>
  <c r="A182" i="7"/>
  <c r="J182" i="7" s="1"/>
  <c r="E184" i="7"/>
  <c r="B188" i="7"/>
  <c r="B192" i="7"/>
  <c r="B195" i="7"/>
  <c r="E198" i="7"/>
  <c r="A203" i="7"/>
  <c r="N203" i="7" s="1"/>
  <c r="F8" i="7"/>
  <c r="D54" i="7"/>
  <c r="A64" i="7"/>
  <c r="J64" i="7" s="1"/>
  <c r="A79" i="7"/>
  <c r="I79" i="7" s="1"/>
  <c r="F109" i="7"/>
  <c r="A139" i="7"/>
  <c r="A163" i="7"/>
  <c r="J163" i="7" s="1"/>
  <c r="E168" i="7"/>
  <c r="A14" i="7"/>
  <c r="J14" i="7" s="1"/>
  <c r="F43" i="7"/>
  <c r="F54" i="7"/>
  <c r="F64" i="7"/>
  <c r="A73" i="7"/>
  <c r="Q73" i="7" s="1"/>
  <c r="F79" i="7"/>
  <c r="A89" i="7"/>
  <c r="I89" i="7" s="1"/>
  <c r="E96" i="7"/>
  <c r="D119" i="7"/>
  <c r="F132" i="7"/>
  <c r="F140" i="7"/>
  <c r="A146" i="7"/>
  <c r="J146" i="7" s="1"/>
  <c r="B149" i="7"/>
  <c r="B152" i="7"/>
  <c r="A156" i="7"/>
  <c r="Q156" i="7" s="1"/>
  <c r="E159" i="7"/>
  <c r="B163" i="7"/>
  <c r="D166" i="7"/>
  <c r="B176" i="7"/>
  <c r="I178" i="7"/>
  <c r="D182" i="7"/>
  <c r="E185" i="7"/>
  <c r="F188" i="7"/>
  <c r="F192" i="7"/>
  <c r="F195" i="7"/>
  <c r="A200" i="7"/>
  <c r="I200" i="7" s="1"/>
  <c r="E203" i="7"/>
  <c r="L51" i="12"/>
  <c r="K52" i="12"/>
  <c r="D21" i="7"/>
  <c r="A47" i="7"/>
  <c r="N47" i="7" s="1"/>
  <c r="K47" i="14" s="1"/>
  <c r="L47" i="14" s="1"/>
  <c r="A57" i="7"/>
  <c r="Q57" i="7" s="1"/>
  <c r="A67" i="7"/>
  <c r="Q67" i="7" s="1"/>
  <c r="A74" i="7"/>
  <c r="J74" i="7" s="1"/>
  <c r="N82" i="7"/>
  <c r="E89" i="7"/>
  <c r="E97" i="7"/>
  <c r="B105" i="7"/>
  <c r="A113" i="7"/>
  <c r="N113" i="7" s="1"/>
  <c r="K113" i="14" s="1"/>
  <c r="L113" i="14" s="1"/>
  <c r="A120" i="7"/>
  <c r="J120" i="7" s="1"/>
  <c r="G120" i="14" s="1"/>
  <c r="H120" i="14" s="1"/>
  <c r="A128" i="7"/>
  <c r="Q128" i="7" s="1"/>
  <c r="F134" i="7"/>
  <c r="D142" i="7"/>
  <c r="B154" i="7"/>
  <c r="B160" i="7"/>
  <c r="C169" i="7"/>
  <c r="F180" i="7"/>
  <c r="F196" i="7"/>
  <c r="U24" i="13"/>
  <c r="D18" i="7"/>
  <c r="A38" i="7"/>
  <c r="Q38" i="7" s="1"/>
  <c r="F46" i="7"/>
  <c r="F53" i="7"/>
  <c r="A61" i="7"/>
  <c r="Q61" i="7" s="1"/>
  <c r="E81" i="7"/>
  <c r="B130" i="7"/>
  <c r="B135" i="7"/>
  <c r="B140" i="7"/>
  <c r="E38" i="7"/>
  <c r="F136" i="7"/>
  <c r="D141" i="7"/>
  <c r="A23" i="7"/>
  <c r="N23" i="7" s="1"/>
  <c r="A39" i="7"/>
  <c r="N39" i="7" s="1"/>
  <c r="K39" i="14" s="1"/>
  <c r="L39" i="14" s="1"/>
  <c r="B48" i="7"/>
  <c r="E125" i="7"/>
  <c r="E130" i="7"/>
  <c r="E140" i="7"/>
  <c r="B8" i="7"/>
  <c r="B63" i="7"/>
  <c r="G78" i="8"/>
  <c r="G116" i="13" s="1"/>
  <c r="K24" i="12"/>
  <c r="K34" i="12"/>
  <c r="J42" i="7"/>
  <c r="G42" i="14" s="1"/>
  <c r="H42" i="14" s="1"/>
  <c r="B9" i="7"/>
  <c r="B34" i="7"/>
  <c r="B43" i="7"/>
  <c r="A58" i="7"/>
  <c r="D78" i="7"/>
  <c r="D91" i="7"/>
  <c r="K21" i="12"/>
  <c r="A15" i="7"/>
  <c r="J15" i="7" s="1"/>
  <c r="A37" i="7"/>
  <c r="Q37" i="7" s="1"/>
  <c r="B44" i="7"/>
  <c r="E52" i="7"/>
  <c r="E66" i="7"/>
  <c r="D73" i="7"/>
  <c r="F87" i="7"/>
  <c r="D107" i="7"/>
  <c r="A121" i="7"/>
  <c r="N121" i="7" s="1"/>
  <c r="K121" i="14" s="1"/>
  <c r="L121" i="14" s="1"/>
  <c r="D126" i="7"/>
  <c r="F133" i="7"/>
  <c r="I154" i="7"/>
  <c r="D161" i="7"/>
  <c r="E167" i="7"/>
  <c r="A177" i="7"/>
  <c r="B181" i="7"/>
  <c r="D186" i="7"/>
  <c r="B189" i="7"/>
  <c r="A199" i="7"/>
  <c r="Q199" i="7" s="1"/>
  <c r="F202" i="7"/>
  <c r="N39" i="12"/>
  <c r="Q39" i="12" s="1"/>
  <c r="O23" i="12"/>
  <c r="O25" i="12"/>
  <c r="F14" i="7"/>
  <c r="A9" i="7"/>
  <c r="N9" i="7" s="1"/>
  <c r="K9" i="14" s="1"/>
  <c r="L9" i="14" s="1"/>
  <c r="A24" i="7"/>
  <c r="J24" i="7" s="1"/>
  <c r="F33" i="7"/>
  <c r="F38" i="7"/>
  <c r="N102" i="7"/>
  <c r="G89" i="8"/>
  <c r="G127" i="13" s="1"/>
  <c r="B33" i="7"/>
  <c r="B38" i="7"/>
  <c r="D47" i="7"/>
  <c r="B53" i="7"/>
  <c r="D57" i="7"/>
  <c r="B58" i="7"/>
  <c r="D67" i="7"/>
  <c r="B68" i="7"/>
  <c r="B73" i="7"/>
  <c r="D77" i="7"/>
  <c r="B78" i="7"/>
  <c r="B83" i="7"/>
  <c r="D87" i="7"/>
  <c r="D122" i="7"/>
  <c r="D9" i="7"/>
  <c r="D24" i="7"/>
  <c r="D34" i="7"/>
  <c r="B39" i="7"/>
  <c r="F44" i="7"/>
  <c r="B49" i="7"/>
  <c r="B54" i="7"/>
  <c r="L55" i="9"/>
  <c r="R55" i="9" s="1"/>
  <c r="B59" i="7"/>
  <c r="B64" i="7"/>
  <c r="B99" i="7"/>
  <c r="L100" i="9"/>
  <c r="R100" i="9" s="1"/>
  <c r="B114" i="7"/>
  <c r="L120" i="9"/>
  <c r="R120" i="9" s="1"/>
  <c r="B129" i="7"/>
  <c r="B139" i="7"/>
  <c r="B144" i="7"/>
  <c r="O30" i="12"/>
  <c r="P25" i="9"/>
  <c r="E28" i="7"/>
  <c r="E33" i="7"/>
  <c r="P40" i="9"/>
  <c r="E43" i="7"/>
  <c r="E48" i="7"/>
  <c r="P50" i="9"/>
  <c r="E53" i="7"/>
  <c r="E68" i="7"/>
  <c r="E70" i="7"/>
  <c r="E78" i="7"/>
  <c r="E83" i="7"/>
  <c r="E88" i="7"/>
  <c r="L91" i="9"/>
  <c r="R91" i="9" s="1"/>
  <c r="E103" i="7"/>
  <c r="E110" i="7"/>
  <c r="K71" i="12"/>
  <c r="B4" i="7"/>
  <c r="E12" i="7"/>
  <c r="E18" i="7"/>
  <c r="A28" i="7"/>
  <c r="Q28" i="7" s="1"/>
  <c r="H29" i="8"/>
  <c r="H67" i="13" s="1"/>
  <c r="A4" i="7"/>
  <c r="I4" i="7" s="1"/>
  <c r="B27" i="7"/>
  <c r="F39" i="7"/>
  <c r="D4" i="7"/>
  <c r="B13" i="7"/>
  <c r="A19" i="7"/>
  <c r="D28" i="7"/>
  <c r="E4" i="7"/>
  <c r="E14" i="7"/>
  <c r="E19" i="7"/>
  <c r="E29" i="7"/>
  <c r="E31" i="7"/>
  <c r="E39" i="7"/>
  <c r="E44" i="7"/>
  <c r="E49" i="7"/>
  <c r="E69" i="7"/>
  <c r="E79" i="7"/>
  <c r="E54" i="7"/>
  <c r="E59" i="7"/>
  <c r="D13" i="7"/>
  <c r="D19" i="7"/>
  <c r="B29" i="7"/>
  <c r="F37" i="7"/>
  <c r="E42" i="7"/>
  <c r="A48" i="7"/>
  <c r="Q48" i="7" s="1"/>
  <c r="D53" i="7"/>
  <c r="E58" i="7"/>
  <c r="F63" i="7"/>
  <c r="F68" i="7"/>
  <c r="B74" i="7"/>
  <c r="B79" i="7"/>
  <c r="B84" i="7"/>
  <c r="D89" i="7"/>
  <c r="E100" i="7"/>
  <c r="B106" i="7"/>
  <c r="F110" i="7"/>
  <c r="A117" i="7"/>
  <c r="Q117" i="7" s="1"/>
  <c r="F123" i="7"/>
  <c r="A129" i="7"/>
  <c r="Q129" i="7" s="1"/>
  <c r="I129" i="14" s="1"/>
  <c r="J129" i="14" s="1"/>
  <c r="A134" i="7"/>
  <c r="Q134" i="7" s="1"/>
  <c r="D138" i="7"/>
  <c r="E144" i="7"/>
  <c r="D147" i="7"/>
  <c r="B153" i="7"/>
  <c r="B155" i="7"/>
  <c r="F158" i="7"/>
  <c r="A164" i="7"/>
  <c r="J164" i="7" s="1"/>
  <c r="A174" i="7"/>
  <c r="N174" i="7" s="1"/>
  <c r="D181" i="7"/>
  <c r="D185" i="7"/>
  <c r="D196" i="7"/>
  <c r="D199" i="7"/>
  <c r="B126" i="7"/>
  <c r="F129" i="7"/>
  <c r="B141" i="7"/>
  <c r="F144" i="7"/>
  <c r="K17" i="12"/>
  <c r="O38" i="12"/>
  <c r="K48" i="12"/>
  <c r="E92" i="7"/>
  <c r="E8" i="7"/>
  <c r="B14" i="7"/>
  <c r="F22" i="7"/>
  <c r="F32" i="7"/>
  <c r="D38" i="7"/>
  <c r="A43" i="7"/>
  <c r="Q43" i="7" s="1"/>
  <c r="I43" i="14" s="1"/>
  <c r="J43" i="14" s="1"/>
  <c r="D48" i="7"/>
  <c r="A54" i="7"/>
  <c r="N54" i="7" s="1"/>
  <c r="K54" i="14" s="1"/>
  <c r="L54" i="14" s="1"/>
  <c r="A59" i="7"/>
  <c r="N59" i="7" s="1"/>
  <c r="K59" i="14" s="1"/>
  <c r="L59" i="14" s="1"/>
  <c r="D64" i="7"/>
  <c r="D69" i="7"/>
  <c r="F74" i="7"/>
  <c r="A81" i="7"/>
  <c r="D85" i="7"/>
  <c r="F89" i="7"/>
  <c r="E95" i="7"/>
  <c r="F107" i="7"/>
  <c r="E112" i="7"/>
  <c r="B124" i="7"/>
  <c r="E134" i="7"/>
  <c r="F139" i="7"/>
  <c r="F155" i="7"/>
  <c r="D175" i="7"/>
  <c r="F181" i="7"/>
  <c r="F185" i="7"/>
  <c r="B191" i="7"/>
  <c r="A194" i="7"/>
  <c r="I194" i="7" s="1"/>
  <c r="G61" i="8"/>
  <c r="G99" i="13" s="1"/>
  <c r="O55" i="12"/>
  <c r="Q138" i="7"/>
  <c r="I138" i="7"/>
  <c r="E21" i="7"/>
  <c r="B56" i="7"/>
  <c r="B76" i="7"/>
  <c r="A111" i="7"/>
  <c r="N111" i="7" s="1"/>
  <c r="B128" i="7"/>
  <c r="B174" i="7"/>
  <c r="A179" i="7"/>
  <c r="N179" i="7" s="1"/>
  <c r="A18" i="7"/>
  <c r="N18" i="7" s="1"/>
  <c r="K18" i="14" s="1"/>
  <c r="L18" i="14" s="1"/>
  <c r="F21" i="7"/>
  <c r="A26" i="7"/>
  <c r="Q26" i="7" s="1"/>
  <c r="I26" i="14" s="1"/>
  <c r="J26" i="14" s="1"/>
  <c r="D41" i="7"/>
  <c r="D56" i="7"/>
  <c r="D65" i="7"/>
  <c r="D70" i="7"/>
  <c r="E76" i="7"/>
  <c r="A86" i="7"/>
  <c r="J86" i="7" s="1"/>
  <c r="G86" i="14" s="1"/>
  <c r="H86" i="14" s="1"/>
  <c r="F95" i="7"/>
  <c r="E105" i="7"/>
  <c r="E115" i="7"/>
  <c r="D128" i="7"/>
  <c r="A133" i="7"/>
  <c r="Q133" i="7" s="1"/>
  <c r="A143" i="7"/>
  <c r="D164" i="7"/>
  <c r="C174" i="7"/>
  <c r="B179" i="7"/>
  <c r="E194" i="7"/>
  <c r="F199" i="7"/>
  <c r="F201" i="7"/>
  <c r="P87" i="9"/>
  <c r="E120" i="7"/>
  <c r="L122" i="9"/>
  <c r="R122" i="9" s="1"/>
  <c r="D40" i="7"/>
  <c r="F61" i="7"/>
  <c r="F169" i="7"/>
  <c r="F184" i="7"/>
  <c r="B18" i="7"/>
  <c r="A22" i="7"/>
  <c r="Q22" i="7" s="1"/>
  <c r="I22" i="14" s="1"/>
  <c r="J22" i="14" s="1"/>
  <c r="B26" i="7"/>
  <c r="B30" i="7"/>
  <c r="F47" i="7"/>
  <c r="B50" i="7"/>
  <c r="F56" i="7"/>
  <c r="E62" i="7"/>
  <c r="E65" i="7"/>
  <c r="E67" i="7"/>
  <c r="F70" i="7"/>
  <c r="B77" i="7"/>
  <c r="B80" i="7"/>
  <c r="I82" i="7"/>
  <c r="B86" i="7"/>
  <c r="B92" i="7"/>
  <c r="B96" i="7"/>
  <c r="B100" i="7"/>
  <c r="B102" i="7"/>
  <c r="F105" i="7"/>
  <c r="A112" i="7"/>
  <c r="Q112" i="7" s="1"/>
  <c r="F122" i="7"/>
  <c r="E128" i="7"/>
  <c r="B133" i="7"/>
  <c r="B143" i="7"/>
  <c r="F152" i="7"/>
  <c r="E164" i="7"/>
  <c r="D174" i="7"/>
  <c r="C179" i="7"/>
  <c r="J187" i="7"/>
  <c r="F194" i="7"/>
  <c r="G29" i="8"/>
  <c r="G67" i="13" s="1"/>
  <c r="H63" i="8"/>
  <c r="H101" i="13" s="1"/>
  <c r="L8" i="9"/>
  <c r="R8" i="9" s="1"/>
  <c r="L23" i="9"/>
  <c r="R23" i="9" s="1"/>
  <c r="B32" i="7"/>
  <c r="L33" i="9"/>
  <c r="R33" i="9" s="1"/>
  <c r="L43" i="9"/>
  <c r="R43" i="9" s="1"/>
  <c r="L48" i="9"/>
  <c r="R48" i="9" s="1"/>
  <c r="L63" i="9"/>
  <c r="R63" i="9" s="1"/>
  <c r="D76" i="7"/>
  <c r="K24" i="13"/>
  <c r="B25" i="7"/>
  <c r="A65" i="7"/>
  <c r="J65" i="7" s="1"/>
  <c r="B70" i="7"/>
  <c r="B164" i="7"/>
  <c r="A6" i="7"/>
  <c r="D26" i="7"/>
  <c r="A31" i="7"/>
  <c r="N31" i="7" s="1"/>
  <c r="D50" i="7"/>
  <c r="F65" i="7"/>
  <c r="A71" i="7"/>
  <c r="Q71" i="7" s="1"/>
  <c r="I71" i="14" s="1"/>
  <c r="J71" i="14" s="1"/>
  <c r="E80" i="7"/>
  <c r="D86" i="7"/>
  <c r="D100" i="7"/>
  <c r="A106" i="7"/>
  <c r="A116" i="7"/>
  <c r="A123" i="7"/>
  <c r="J123" i="7" s="1"/>
  <c r="G123" i="14" s="1"/>
  <c r="H123" i="14" s="1"/>
  <c r="F128" i="7"/>
  <c r="E133" i="7"/>
  <c r="D143" i="7"/>
  <c r="B150" i="7"/>
  <c r="A153" i="7"/>
  <c r="Q153" i="7" s="1"/>
  <c r="D179" i="7"/>
  <c r="E101" i="7"/>
  <c r="E106" i="7"/>
  <c r="E111" i="7"/>
  <c r="E116" i="7"/>
  <c r="E121" i="7"/>
  <c r="L143" i="9"/>
  <c r="R143" i="9" s="1"/>
  <c r="L56" i="12"/>
  <c r="K57" i="12"/>
  <c r="L66" i="12"/>
  <c r="K67" i="12"/>
  <c r="K17" i="13"/>
  <c r="S24" i="13"/>
  <c r="D6" i="7"/>
  <c r="E26" i="7"/>
  <c r="F101" i="7"/>
  <c r="E6" i="7"/>
  <c r="E10" i="7"/>
  <c r="D15" i="7"/>
  <c r="F26" i="7"/>
  <c r="E36" i="7"/>
  <c r="A46" i="7"/>
  <c r="A51" i="7"/>
  <c r="B60" i="7"/>
  <c r="B66" i="7"/>
  <c r="E71" i="7"/>
  <c r="B81" i="7"/>
  <c r="F100" i="7"/>
  <c r="D116" i="7"/>
  <c r="D120" i="7"/>
  <c r="D123" i="7"/>
  <c r="Q130" i="7"/>
  <c r="I130" i="14" s="1"/>
  <c r="J130" i="14" s="1"/>
  <c r="D146" i="7"/>
  <c r="E150" i="7"/>
  <c r="D153" i="7"/>
  <c r="A158" i="7"/>
  <c r="J158" i="7" s="1"/>
  <c r="A169" i="7"/>
  <c r="Q169" i="7" s="1"/>
  <c r="A184" i="7"/>
  <c r="N184" i="7" s="1"/>
  <c r="E27" i="7"/>
  <c r="E37" i="7"/>
  <c r="E47" i="7"/>
  <c r="E77" i="7"/>
  <c r="O78" i="9"/>
  <c r="E82" i="7"/>
  <c r="E104" i="7"/>
  <c r="B138" i="7"/>
  <c r="F31" i="7"/>
  <c r="F71" i="7"/>
  <c r="F76" i="7"/>
  <c r="F81" i="7"/>
  <c r="F86" i="7"/>
  <c r="D7" i="7"/>
  <c r="F11" i="7"/>
  <c r="E15" i="7"/>
  <c r="B23" i="7"/>
  <c r="E32" i="7"/>
  <c r="F36" i="7"/>
  <c r="F42" i="7"/>
  <c r="B46" i="7"/>
  <c r="E51" i="7"/>
  <c r="E57" i="7"/>
  <c r="E60" i="7"/>
  <c r="D66" i="7"/>
  <c r="A72" i="7"/>
  <c r="Q72" i="7" s="1"/>
  <c r="I72" i="14" s="1"/>
  <c r="J72" i="14" s="1"/>
  <c r="A75" i="7"/>
  <c r="E87" i="7"/>
  <c r="A90" i="7"/>
  <c r="Q90" i="7" s="1"/>
  <c r="D97" i="7"/>
  <c r="I100" i="7"/>
  <c r="A107" i="7"/>
  <c r="Q107" i="7" s="1"/>
  <c r="B110" i="7"/>
  <c r="E146" i="7"/>
  <c r="B158" i="7"/>
  <c r="B169" i="7"/>
  <c r="B184" i="7"/>
  <c r="N193" i="7"/>
  <c r="L10" i="9"/>
  <c r="R10" i="9" s="1"/>
  <c r="D33" i="7"/>
  <c r="F57" i="7"/>
  <c r="D58" i="7"/>
  <c r="F62" i="7"/>
  <c r="K32" i="12"/>
  <c r="K53" i="12"/>
  <c r="O73" i="12"/>
  <c r="K74" i="12"/>
  <c r="B16" i="7"/>
  <c r="D46" i="7"/>
  <c r="F51" i="7"/>
  <c r="D8" i="7"/>
  <c r="D16" i="7"/>
  <c r="B37" i="7"/>
  <c r="E46" i="7"/>
  <c r="D55" i="7"/>
  <c r="B61" i="7"/>
  <c r="F72" i="7"/>
  <c r="F75" i="7"/>
  <c r="E107" i="7"/>
  <c r="E117" i="7"/>
  <c r="B121" i="7"/>
  <c r="A127" i="7"/>
  <c r="C189" i="7"/>
  <c r="B199" i="7"/>
  <c r="A201" i="7"/>
  <c r="J201" i="7" s="1"/>
  <c r="L6" i="9"/>
  <c r="R6" i="9" s="1"/>
  <c r="F13" i="7"/>
  <c r="D14" i="7"/>
  <c r="F18" i="7"/>
  <c r="F23" i="7"/>
  <c r="B65" i="7"/>
  <c r="L66" i="9"/>
  <c r="R66" i="9" s="1"/>
  <c r="F83" i="7"/>
  <c r="B125" i="7"/>
  <c r="P130" i="9"/>
  <c r="N19" i="12"/>
  <c r="Q19" i="12" s="1"/>
  <c r="M22" i="13"/>
  <c r="G53" i="8"/>
  <c r="G91" i="13" s="1"/>
  <c r="B6" i="7"/>
  <c r="L7" i="9"/>
  <c r="R7" i="9" s="1"/>
  <c r="L27" i="9"/>
  <c r="R27" i="9" s="1"/>
  <c r="B31" i="7"/>
  <c r="B36" i="7"/>
  <c r="L77" i="9"/>
  <c r="R77" i="9" s="1"/>
  <c r="E139" i="7"/>
  <c r="L142" i="9"/>
  <c r="R142" i="9" s="1"/>
  <c r="K28" i="12"/>
  <c r="O48" i="12"/>
  <c r="J85" i="7"/>
  <c r="Q85" i="7"/>
  <c r="I85" i="14" s="1"/>
  <c r="J85" i="14" s="1"/>
  <c r="A11" i="7"/>
  <c r="J11" i="7" s="1"/>
  <c r="G11" i="14" s="1"/>
  <c r="H11" i="14" s="1"/>
  <c r="E20" i="7"/>
  <c r="Q45" i="7"/>
  <c r="I45" i="14" s="1"/>
  <c r="J45" i="14" s="1"/>
  <c r="E93" i="7"/>
  <c r="D98" i="7"/>
  <c r="E118" i="7"/>
  <c r="F127" i="7"/>
  <c r="B157" i="7"/>
  <c r="B180" i="7"/>
  <c r="H53" i="8"/>
  <c r="H91" i="13" s="1"/>
  <c r="H82" i="8"/>
  <c r="H120" i="13" s="1"/>
  <c r="F6" i="7"/>
  <c r="L13" i="9"/>
  <c r="R13" i="9" s="1"/>
  <c r="L52" i="9"/>
  <c r="R52" i="9" s="1"/>
  <c r="L81" i="9"/>
  <c r="R81" i="9" s="1"/>
  <c r="L86" i="9"/>
  <c r="R86" i="9" s="1"/>
  <c r="L31" i="12"/>
  <c r="K73" i="12"/>
  <c r="C25" i="13"/>
  <c r="D11" i="7"/>
  <c r="Q13" i="7"/>
  <c r="A16" i="7"/>
  <c r="I16" i="7" s="1"/>
  <c r="F20" i="7"/>
  <c r="D29" i="7"/>
  <c r="A35" i="7"/>
  <c r="Q35" i="7" s="1"/>
  <c r="I35" i="14" s="1"/>
  <c r="J35" i="14" s="1"/>
  <c r="D39" i="7"/>
  <c r="A44" i="7"/>
  <c r="I44" i="7" s="1"/>
  <c r="A50" i="7"/>
  <c r="Q50" i="7" s="1"/>
  <c r="E56" i="7"/>
  <c r="B69" i="7"/>
  <c r="D75" i="7"/>
  <c r="D79" i="7"/>
  <c r="F93" i="7"/>
  <c r="E98" i="7"/>
  <c r="B107" i="7"/>
  <c r="D131" i="7"/>
  <c r="A142" i="7"/>
  <c r="N142" i="7" s="1"/>
  <c r="K142" i="14" s="1"/>
  <c r="L142" i="14" s="1"/>
  <c r="A150" i="7"/>
  <c r="Q150" i="7" s="1"/>
  <c r="D157" i="7"/>
  <c r="F164" i="7"/>
  <c r="A175" i="7"/>
  <c r="N178" i="7"/>
  <c r="D180" i="7"/>
  <c r="A189" i="7"/>
  <c r="Q189" i="7" s="1"/>
  <c r="E196" i="7"/>
  <c r="L5" i="9"/>
  <c r="R5" i="9" s="1"/>
  <c r="D31" i="7"/>
  <c r="L67" i="9"/>
  <c r="R67" i="9" s="1"/>
  <c r="L72" i="9"/>
  <c r="R72" i="9" s="1"/>
  <c r="B90" i="7"/>
  <c r="B95" i="7"/>
  <c r="D133" i="7"/>
  <c r="O20" i="12"/>
  <c r="O28" i="12"/>
  <c r="K29" i="12"/>
  <c r="L39" i="12"/>
  <c r="O40" i="12"/>
  <c r="L61" i="12"/>
  <c r="H25" i="13"/>
  <c r="E11" i="7"/>
  <c r="B35" i="7"/>
  <c r="F98" i="7"/>
  <c r="B142" i="7"/>
  <c r="A152" i="7"/>
  <c r="J152" i="7" s="1"/>
  <c r="E157" i="7"/>
  <c r="B175" i="7"/>
  <c r="E180" i="7"/>
  <c r="A191" i="7"/>
  <c r="J191" i="7" s="1"/>
  <c r="L53" i="9"/>
  <c r="R53" i="9" s="1"/>
  <c r="L19" i="12"/>
  <c r="P44" i="12"/>
  <c r="O60" i="12"/>
  <c r="K25" i="13"/>
  <c r="L19" i="9"/>
  <c r="R19" i="9" s="1"/>
  <c r="L131" i="9"/>
  <c r="R131" i="9" s="1"/>
  <c r="F138" i="7"/>
  <c r="F143" i="7"/>
  <c r="L26" i="12"/>
  <c r="K27" i="12"/>
  <c r="K49" i="12"/>
  <c r="N25" i="13"/>
  <c r="E30" i="7"/>
  <c r="A40" i="7"/>
  <c r="Q40" i="7" s="1"/>
  <c r="J98" i="7"/>
  <c r="B103" i="7"/>
  <c r="B132" i="7"/>
  <c r="J138" i="7"/>
  <c r="G138" i="14" s="1"/>
  <c r="H138" i="14" s="1"/>
  <c r="N140" i="7"/>
  <c r="E142" i="7"/>
  <c r="D152" i="7"/>
  <c r="E175" i="7"/>
  <c r="E191" i="7"/>
  <c r="O58" i="12"/>
  <c r="O68" i="12"/>
  <c r="F16" i="7"/>
  <c r="B19" i="7"/>
  <c r="A25" i="7"/>
  <c r="Q25" i="7" s="1"/>
  <c r="I25" i="14" s="1"/>
  <c r="J25" i="14" s="1"/>
  <c r="B40" i="7"/>
  <c r="F50" i="7"/>
  <c r="B55" i="7"/>
  <c r="E61" i="7"/>
  <c r="A70" i="7"/>
  <c r="N70" i="7" s="1"/>
  <c r="K70" i="14" s="1"/>
  <c r="L70" i="14" s="1"/>
  <c r="D74" i="7"/>
  <c r="D84" i="7"/>
  <c r="B97" i="7"/>
  <c r="D103" i="7"/>
  <c r="J105" i="7"/>
  <c r="G105" i="14" s="1"/>
  <c r="H105" i="14" s="1"/>
  <c r="B108" i="7"/>
  <c r="D117" i="7"/>
  <c r="F126" i="7"/>
  <c r="E132" i="7"/>
  <c r="A141" i="7"/>
  <c r="Q141" i="7" s="1"/>
  <c r="I141" i="14" s="1"/>
  <c r="J141" i="14" s="1"/>
  <c r="F142" i="7"/>
  <c r="N146" i="7"/>
  <c r="A160" i="7"/>
  <c r="Q160" i="7" s="1"/>
  <c r="A170" i="7"/>
  <c r="I170" i="7" s="1"/>
  <c r="A186" i="7"/>
  <c r="Q187" i="7"/>
  <c r="F191" i="7"/>
  <c r="H78" i="8"/>
  <c r="H116" i="13" s="1"/>
  <c r="L20" i="9"/>
  <c r="R20" i="9" s="1"/>
  <c r="L45" i="9"/>
  <c r="R45" i="9" s="1"/>
  <c r="E86" i="7"/>
  <c r="B88" i="7"/>
  <c r="L93" i="9"/>
  <c r="R93" i="9" s="1"/>
  <c r="D111" i="7"/>
  <c r="B117" i="7"/>
  <c r="F124" i="7"/>
  <c r="L137" i="9"/>
  <c r="R137" i="9" s="1"/>
  <c r="L36" i="12"/>
  <c r="N92" i="7"/>
  <c r="Q14" i="7"/>
  <c r="F25" i="7"/>
  <c r="J33" i="7"/>
  <c r="E40" i="7"/>
  <c r="B45" i="7"/>
  <c r="A93" i="7"/>
  <c r="J93" i="7" s="1"/>
  <c r="G93" i="14" s="1"/>
  <c r="H93" i="14" s="1"/>
  <c r="F103" i="7"/>
  <c r="F108" i="7"/>
  <c r="D113" i="7"/>
  <c r="B127" i="7"/>
  <c r="D137" i="7"/>
  <c r="B162" i="7"/>
  <c r="E170" i="7"/>
  <c r="G66" i="8"/>
  <c r="G104" i="13" s="1"/>
  <c r="G73" i="8"/>
  <c r="G111" i="13" s="1"/>
  <c r="L12" i="9"/>
  <c r="R12" i="9" s="1"/>
  <c r="L21" i="9"/>
  <c r="R21" i="9" s="1"/>
  <c r="B113" i="7"/>
  <c r="L123" i="9"/>
  <c r="R123" i="9" s="1"/>
  <c r="L133" i="9"/>
  <c r="R133" i="9" s="1"/>
  <c r="L138" i="9"/>
  <c r="R138" i="9" s="1"/>
  <c r="F19" i="7"/>
  <c r="Q33" i="7"/>
  <c r="I33" i="14" s="1"/>
  <c r="J33" i="14" s="1"/>
  <c r="F40" i="7"/>
  <c r="D45" i="7"/>
  <c r="D51" i="7"/>
  <c r="A56" i="7"/>
  <c r="Q74" i="7"/>
  <c r="I74" i="14" s="1"/>
  <c r="J74" i="14" s="1"/>
  <c r="B93" i="7"/>
  <c r="F97" i="7"/>
  <c r="I108" i="7"/>
  <c r="E113" i="7"/>
  <c r="A118" i="7"/>
  <c r="I118" i="7" s="1"/>
  <c r="D127" i="7"/>
  <c r="E137" i="7"/>
  <c r="F141" i="7"/>
  <c r="D162" i="7"/>
  <c r="E178" i="7"/>
  <c r="E186" i="7"/>
  <c r="D202" i="7"/>
  <c r="G27" i="8"/>
  <c r="G65" i="13" s="1"/>
  <c r="H66" i="8"/>
  <c r="H104" i="13" s="1"/>
  <c r="L37" i="9"/>
  <c r="R37" i="9" s="1"/>
  <c r="L80" i="9"/>
  <c r="R80" i="9" s="1"/>
  <c r="E102" i="7"/>
  <c r="E126" i="7"/>
  <c r="K22" i="12"/>
  <c r="O34" i="12"/>
  <c r="O43" i="12"/>
  <c r="N44" i="12"/>
  <c r="Q44" i="12" s="1"/>
  <c r="O53" i="12"/>
  <c r="P69" i="12"/>
  <c r="L74" i="12"/>
  <c r="D93" i="7"/>
  <c r="B98" i="7"/>
  <c r="F113" i="7"/>
  <c r="B118" i="7"/>
  <c r="E127" i="7"/>
  <c r="F137" i="7"/>
  <c r="E162" i="7"/>
  <c r="F29" i="7"/>
  <c r="D118" i="7"/>
  <c r="O33" i="12"/>
  <c r="B28" i="7"/>
  <c r="G4" i="8"/>
  <c r="G42" i="13" s="1"/>
  <c r="F102" i="13"/>
  <c r="G64" i="8"/>
  <c r="G102" i="13" s="1"/>
  <c r="D17" i="7"/>
  <c r="D25" i="7"/>
  <c r="L31" i="9"/>
  <c r="R31" i="9" s="1"/>
  <c r="N61" i="9"/>
  <c r="O61" i="9" s="1"/>
  <c r="E63" i="7"/>
  <c r="L68" i="9"/>
  <c r="R68" i="9" s="1"/>
  <c r="L73" i="9"/>
  <c r="R73" i="9" s="1"/>
  <c r="E75" i="7"/>
  <c r="E84" i="7"/>
  <c r="N102" i="9"/>
  <c r="O102" i="9" s="1"/>
  <c r="D102" i="7"/>
  <c r="N94" i="9"/>
  <c r="E94" i="7"/>
  <c r="J18" i="7"/>
  <c r="G18" i="14" s="1"/>
  <c r="H18" i="14" s="1"/>
  <c r="J61" i="7"/>
  <c r="J95" i="7"/>
  <c r="G95" i="14" s="1"/>
  <c r="H95" i="14" s="1"/>
  <c r="N180" i="7"/>
  <c r="O107" i="9"/>
  <c r="E122" i="7"/>
  <c r="N122" i="9"/>
  <c r="M140" i="9"/>
  <c r="P140" i="9" s="1"/>
  <c r="D140" i="7"/>
  <c r="F28" i="7"/>
  <c r="N61" i="7"/>
  <c r="F59" i="13"/>
  <c r="H21" i="8"/>
  <c r="H59" i="13" s="1"/>
  <c r="H89" i="8"/>
  <c r="H127" i="13" s="1"/>
  <c r="D44" i="7"/>
  <c r="P62" i="9"/>
  <c r="P65" i="9"/>
  <c r="N99" i="9"/>
  <c r="E99" i="7"/>
  <c r="L127" i="9"/>
  <c r="R127" i="9" s="1"/>
  <c r="N136" i="9"/>
  <c r="B136" i="7"/>
  <c r="L141" i="9"/>
  <c r="R141" i="9" s="1"/>
  <c r="N59" i="12"/>
  <c r="Q59" i="12" s="1"/>
  <c r="O59" i="12"/>
  <c r="I24" i="7"/>
  <c r="Q120" i="7"/>
  <c r="F45" i="13"/>
  <c r="H7" i="8"/>
  <c r="H45" i="13" s="1"/>
  <c r="F52" i="13"/>
  <c r="H14" i="8"/>
  <c r="H52" i="13" s="1"/>
  <c r="N104" i="9"/>
  <c r="B104" i="7"/>
  <c r="N24" i="7"/>
  <c r="K24" i="14" s="1"/>
  <c r="L24" i="14" s="1"/>
  <c r="I31" i="7"/>
  <c r="N131" i="7"/>
  <c r="K131" i="14" s="1"/>
  <c r="L131" i="14" s="1"/>
  <c r="N187" i="7"/>
  <c r="G7" i="8"/>
  <c r="G45" i="13" s="1"/>
  <c r="N88" i="9"/>
  <c r="F96" i="7"/>
  <c r="A96" i="7"/>
  <c r="Q96" i="7" s="1"/>
  <c r="I96" i="14" s="1"/>
  <c r="J96" i="14" s="1"/>
  <c r="N119" i="9"/>
  <c r="B119" i="7"/>
  <c r="L34" i="9"/>
  <c r="R34" i="9" s="1"/>
  <c r="N47" i="9"/>
  <c r="O47" i="9" s="1"/>
  <c r="L51" i="9"/>
  <c r="R51" i="9" s="1"/>
  <c r="L71" i="9"/>
  <c r="R71" i="9" s="1"/>
  <c r="N92" i="9"/>
  <c r="F92" i="7"/>
  <c r="L97" i="9"/>
  <c r="R97" i="9" s="1"/>
  <c r="L115" i="9"/>
  <c r="R115" i="9" s="1"/>
  <c r="L128" i="9"/>
  <c r="R128" i="9" s="1"/>
  <c r="J134" i="7"/>
  <c r="N134" i="7"/>
  <c r="J188" i="7"/>
  <c r="I188" i="7"/>
  <c r="G48" i="8"/>
  <c r="G86" i="13" s="1"/>
  <c r="G67" i="8"/>
  <c r="G105" i="13" s="1"/>
  <c r="H73" i="8"/>
  <c r="H111" i="13" s="1"/>
  <c r="F118" i="13"/>
  <c r="G80" i="8"/>
  <c r="G118" i="13" s="1"/>
  <c r="F27" i="7"/>
  <c r="B47" i="7"/>
  <c r="N51" i="9"/>
  <c r="O51" i="9" s="1"/>
  <c r="L76" i="9"/>
  <c r="R76" i="9" s="1"/>
  <c r="L85" i="9"/>
  <c r="R85" i="9" s="1"/>
  <c r="M97" i="9"/>
  <c r="P97" i="9" s="1"/>
  <c r="M101" i="9"/>
  <c r="A101" i="7"/>
  <c r="N101" i="9"/>
  <c r="O101" i="9" s="1"/>
  <c r="L106" i="9"/>
  <c r="R106" i="9" s="1"/>
  <c r="M110" i="9"/>
  <c r="AD110" i="14" s="1"/>
  <c r="A110" i="7"/>
  <c r="M115" i="9"/>
  <c r="P115" i="9" s="1"/>
  <c r="B115" i="7"/>
  <c r="J148" i="7"/>
  <c r="N182" i="7"/>
  <c r="J38" i="7"/>
  <c r="G38" i="14" s="1"/>
  <c r="H38" i="14" s="1"/>
  <c r="A104" i="7"/>
  <c r="J104" i="7" s="1"/>
  <c r="G104" i="14" s="1"/>
  <c r="H104" i="14" s="1"/>
  <c r="I174" i="7"/>
  <c r="G9" i="8"/>
  <c r="G47" i="13" s="1"/>
  <c r="H48" i="8"/>
  <c r="H86" i="13" s="1"/>
  <c r="H67" i="8"/>
  <c r="H105" i="13" s="1"/>
  <c r="F112" i="13"/>
  <c r="G74" i="8"/>
  <c r="G112" i="13" s="1"/>
  <c r="H80" i="8"/>
  <c r="H118" i="13" s="1"/>
  <c r="E9" i="7"/>
  <c r="L22" i="9"/>
  <c r="R22" i="9" s="1"/>
  <c r="L26" i="9"/>
  <c r="R26" i="9" s="1"/>
  <c r="B51" i="7"/>
  <c r="L56" i="9"/>
  <c r="R56" i="9" s="1"/>
  <c r="B101" i="7"/>
  <c r="L116" i="9"/>
  <c r="R116" i="9" s="1"/>
  <c r="B120" i="7"/>
  <c r="Q145" i="7"/>
  <c r="I145" i="14" s="1"/>
  <c r="J145" i="14" s="1"/>
  <c r="J197" i="7"/>
  <c r="N6" i="9"/>
  <c r="O6" i="9" s="1"/>
  <c r="N26" i="9"/>
  <c r="O26" i="9" s="1"/>
  <c r="D92" i="7"/>
  <c r="A198" i="7"/>
  <c r="N198" i="7" s="1"/>
  <c r="B198" i="7"/>
  <c r="B15" i="7"/>
  <c r="L16" i="9"/>
  <c r="R16" i="9" s="1"/>
  <c r="L28" i="9"/>
  <c r="R28" i="9" s="1"/>
  <c r="L42" i="9"/>
  <c r="R42" i="9" s="1"/>
  <c r="F45" i="7"/>
  <c r="L78" i="9"/>
  <c r="R78" i="9" s="1"/>
  <c r="F80" i="7"/>
  <c r="L87" i="9"/>
  <c r="R87" i="9" s="1"/>
  <c r="E90" i="7"/>
  <c r="L94" i="9"/>
  <c r="R94" i="9" s="1"/>
  <c r="E114" i="7"/>
  <c r="O63" i="12"/>
  <c r="L8" i="13"/>
  <c r="D132" i="7"/>
  <c r="E136" i="7"/>
  <c r="C106" i="12"/>
  <c r="K62" i="12"/>
  <c r="O75" i="12"/>
  <c r="M8" i="13"/>
  <c r="L17" i="9"/>
  <c r="R17" i="9" s="1"/>
  <c r="D27" i="7"/>
  <c r="L38" i="9"/>
  <c r="R38" i="9" s="1"/>
  <c r="D68" i="7"/>
  <c r="L70" i="9"/>
  <c r="R70" i="9" s="1"/>
  <c r="B87" i="7"/>
  <c r="L103" i="9"/>
  <c r="R103" i="9" s="1"/>
  <c r="D112" i="7"/>
  <c r="L125" i="9"/>
  <c r="R125" i="9" s="1"/>
  <c r="L134" i="9"/>
  <c r="R134" i="9" s="1"/>
  <c r="O19" i="12"/>
  <c r="N34" i="12"/>
  <c r="Q34" i="12" s="1"/>
  <c r="O35" i="12"/>
  <c r="K51" i="12"/>
  <c r="P64" i="12"/>
  <c r="O69" i="12"/>
  <c r="L71" i="12"/>
  <c r="K72" i="12"/>
  <c r="U25" i="13"/>
  <c r="F106" i="7"/>
  <c r="D121" i="7"/>
  <c r="K37" i="12"/>
  <c r="M10" i="13"/>
  <c r="N126" i="9"/>
  <c r="O126" i="9" s="1"/>
  <c r="P19" i="12"/>
  <c r="P39" i="12"/>
  <c r="L69" i="12"/>
  <c r="O70" i="12"/>
  <c r="K26" i="12"/>
  <c r="O44" i="12"/>
  <c r="L46" i="12"/>
  <c r="K47" i="12"/>
  <c r="O65" i="12"/>
  <c r="N69" i="12"/>
  <c r="Q69" i="12" s="1"/>
  <c r="K44" i="12"/>
  <c r="K46" i="12"/>
  <c r="N64" i="12"/>
  <c r="Q64" i="12" s="1"/>
  <c r="K23" i="12"/>
  <c r="L41" i="12"/>
  <c r="K42" i="12"/>
  <c r="L44" i="12"/>
  <c r="O45" i="12"/>
  <c r="K54" i="12"/>
  <c r="Q14" i="13"/>
  <c r="J25" i="13"/>
  <c r="Q52" i="7"/>
  <c r="N52" i="7"/>
  <c r="K52" i="14" s="1"/>
  <c r="L52" i="14" s="1"/>
  <c r="J52" i="7"/>
  <c r="G52" i="14" s="1"/>
  <c r="H52" i="14" s="1"/>
  <c r="I52" i="7"/>
  <c r="Q8" i="7"/>
  <c r="I8" i="14" s="1"/>
  <c r="J8" i="14" s="1"/>
  <c r="J8" i="7"/>
  <c r="G8" i="14" s="1"/>
  <c r="H8" i="14" s="1"/>
  <c r="I8" i="7"/>
  <c r="Q196" i="7"/>
  <c r="N196" i="7"/>
  <c r="I196" i="7"/>
  <c r="N43" i="7"/>
  <c r="Q142" i="7"/>
  <c r="I142" i="14" s="1"/>
  <c r="J142" i="14" s="1"/>
  <c r="J26" i="7"/>
  <c r="G26" i="14" s="1"/>
  <c r="H26" i="14" s="1"/>
  <c r="N26" i="7"/>
  <c r="K26" i="14" s="1"/>
  <c r="L26" i="14" s="1"/>
  <c r="N165" i="7"/>
  <c r="Q165" i="7"/>
  <c r="I165" i="7"/>
  <c r="J34" i="7"/>
  <c r="G34" i="14" s="1"/>
  <c r="H34" i="14" s="1"/>
  <c r="Q34" i="7"/>
  <c r="N34" i="7"/>
  <c r="I34" i="7"/>
  <c r="J124" i="7"/>
  <c r="G124" i="14" s="1"/>
  <c r="H124" i="14" s="1"/>
  <c r="Q124" i="7"/>
  <c r="I124" i="14" s="1"/>
  <c r="J124" i="14" s="1"/>
  <c r="N124" i="7"/>
  <c r="K124" i="14" s="1"/>
  <c r="L124" i="14" s="1"/>
  <c r="I124" i="7"/>
  <c r="F104" i="4"/>
  <c r="B10" i="16" s="1"/>
  <c r="N172" i="7"/>
  <c r="Q172" i="7"/>
  <c r="J172" i="7"/>
  <c r="F54" i="13"/>
  <c r="H16" i="8"/>
  <c r="H54" i="13" s="1"/>
  <c r="N29" i="9"/>
  <c r="O29" i="9" s="1"/>
  <c r="M36" i="9"/>
  <c r="AD36" i="14" s="1"/>
  <c r="J22" i="7"/>
  <c r="G22" i="14" s="1"/>
  <c r="H22" i="14" s="1"/>
  <c r="J31" i="7"/>
  <c r="G31" i="14" s="1"/>
  <c r="H31" i="14" s="1"/>
  <c r="J68" i="7"/>
  <c r="G68" i="14" s="1"/>
  <c r="H68" i="14" s="1"/>
  <c r="J108" i="7"/>
  <c r="G108" i="14" s="1"/>
  <c r="H108" i="14" s="1"/>
  <c r="J111" i="7"/>
  <c r="G111" i="14" s="1"/>
  <c r="H111" i="14" s="1"/>
  <c r="Q140" i="7"/>
  <c r="G16" i="8"/>
  <c r="G54" i="13" s="1"/>
  <c r="F117" i="13"/>
  <c r="G79" i="8"/>
  <c r="G117" i="13" s="1"/>
  <c r="L58" i="9"/>
  <c r="R58" i="9" s="1"/>
  <c r="M72" i="9"/>
  <c r="O72" i="9" s="1"/>
  <c r="L119" i="9"/>
  <c r="R119" i="9" s="1"/>
  <c r="F24" i="7"/>
  <c r="N44" i="7"/>
  <c r="I131" i="7"/>
  <c r="N133" i="7"/>
  <c r="J133" i="7"/>
  <c r="G133" i="14" s="1"/>
  <c r="H133" i="14" s="1"/>
  <c r="N151" i="7"/>
  <c r="J178" i="7"/>
  <c r="Q188" i="7"/>
  <c r="Q193" i="7"/>
  <c r="Q197" i="7"/>
  <c r="F97" i="13"/>
  <c r="G59" i="8"/>
  <c r="G97" i="13" s="1"/>
  <c r="H79" i="8"/>
  <c r="H117" i="13" s="1"/>
  <c r="G84" i="8"/>
  <c r="G122" i="13" s="1"/>
  <c r="B72" i="7"/>
  <c r="L107" i="9"/>
  <c r="R107" i="9" s="1"/>
  <c r="J131" i="7"/>
  <c r="G131" i="14" s="1"/>
  <c r="H131" i="14" s="1"/>
  <c r="J185" i="7"/>
  <c r="F56" i="13"/>
  <c r="G18" i="8"/>
  <c r="G56" i="13" s="1"/>
  <c r="F107" i="13"/>
  <c r="H69" i="8"/>
  <c r="H107" i="13" s="1"/>
  <c r="M11" i="9"/>
  <c r="O11" i="9" s="1"/>
  <c r="D30" i="7"/>
  <c r="D36" i="7"/>
  <c r="P37" i="9"/>
  <c r="B111" i="7"/>
  <c r="N111" i="9"/>
  <c r="M111" i="9"/>
  <c r="AD111" i="14" s="1"/>
  <c r="N123" i="7"/>
  <c r="K123" i="14" s="1"/>
  <c r="L123" i="14" s="1"/>
  <c r="Q123" i="7"/>
  <c r="I123" i="14" s="1"/>
  <c r="J123" i="14" s="1"/>
  <c r="F51" i="13"/>
  <c r="G13" i="8"/>
  <c r="G51" i="13" s="1"/>
  <c r="M96" i="9"/>
  <c r="AD96" i="14" s="1"/>
  <c r="J13" i="7"/>
  <c r="G13" i="14" s="1"/>
  <c r="H13" i="14" s="1"/>
  <c r="I54" i="7"/>
  <c r="I92" i="7"/>
  <c r="H13" i="8"/>
  <c r="H51" i="13" s="1"/>
  <c r="F57" i="13"/>
  <c r="G19" i="8"/>
  <c r="G57" i="13" s="1"/>
  <c r="F68" i="13"/>
  <c r="G30" i="8"/>
  <c r="G68" i="13" s="1"/>
  <c r="G43" i="8"/>
  <c r="G81" i="13" s="1"/>
  <c r="F87" i="13"/>
  <c r="G49" i="8"/>
  <c r="G87" i="13" s="1"/>
  <c r="N34" i="9"/>
  <c r="L59" i="9"/>
  <c r="R59" i="9" s="1"/>
  <c r="D108" i="7"/>
  <c r="N108" i="9"/>
  <c r="I40" i="7"/>
  <c r="I72" i="7"/>
  <c r="I180" i="7"/>
  <c r="H19" i="8"/>
  <c r="H57" i="13" s="1"/>
  <c r="H30" i="8"/>
  <c r="H68" i="13" s="1"/>
  <c r="H43" i="8"/>
  <c r="H81" i="13" s="1"/>
  <c r="H49" i="8"/>
  <c r="H87" i="13" s="1"/>
  <c r="H70" i="8"/>
  <c r="H108" i="13" s="1"/>
  <c r="M15" i="9"/>
  <c r="P15" i="9" s="1"/>
  <c r="M31" i="9"/>
  <c r="AD31" i="14" s="1"/>
  <c r="M100" i="9"/>
  <c r="M112" i="9"/>
  <c r="P112" i="9" s="1"/>
  <c r="J83" i="7"/>
  <c r="N136" i="7"/>
  <c r="K136" i="14" s="1"/>
  <c r="L136" i="14" s="1"/>
  <c r="F58" i="13"/>
  <c r="H20" i="8"/>
  <c r="H58" i="13" s="1"/>
  <c r="F77" i="13"/>
  <c r="H39" i="8"/>
  <c r="H77" i="13" s="1"/>
  <c r="F94" i="13"/>
  <c r="H56" i="8"/>
  <c r="H94" i="13" s="1"/>
  <c r="F109" i="13"/>
  <c r="H71" i="8"/>
  <c r="H109" i="13" s="1"/>
  <c r="G71" i="8"/>
  <c r="G109" i="13" s="1"/>
  <c r="N9" i="9"/>
  <c r="M22" i="9"/>
  <c r="M90" i="9"/>
  <c r="P90" i="9" s="1"/>
  <c r="L113" i="9"/>
  <c r="R113" i="9" s="1"/>
  <c r="M141" i="9"/>
  <c r="P141" i="9" s="1"/>
  <c r="E22" i="7"/>
  <c r="A36" i="7"/>
  <c r="Q36" i="7" s="1"/>
  <c r="I36" i="14" s="1"/>
  <c r="J36" i="14" s="1"/>
  <c r="N40" i="7"/>
  <c r="K40" i="14" s="1"/>
  <c r="L40" i="14" s="1"/>
  <c r="I50" i="7"/>
  <c r="B62" i="7"/>
  <c r="I74" i="7"/>
  <c r="B82" i="7"/>
  <c r="Q83" i="7"/>
  <c r="I83" i="14" s="1"/>
  <c r="J83" i="14" s="1"/>
  <c r="I140" i="7"/>
  <c r="I164" i="7"/>
  <c r="J167" i="7"/>
  <c r="Q180" i="7"/>
  <c r="H4" i="8"/>
  <c r="H42" i="13" s="1"/>
  <c r="H9" i="8"/>
  <c r="H47" i="13" s="1"/>
  <c r="G20" i="8"/>
  <c r="G58" i="13" s="1"/>
  <c r="G31" i="8"/>
  <c r="G39" i="8"/>
  <c r="G77" i="13" s="1"/>
  <c r="G56" i="8"/>
  <c r="G94" i="13" s="1"/>
  <c r="P75" i="9"/>
  <c r="L83" i="9"/>
  <c r="R83" i="9" s="1"/>
  <c r="L105" i="9"/>
  <c r="R105" i="9" s="1"/>
  <c r="L118" i="9"/>
  <c r="R118" i="9" s="1"/>
  <c r="J53" i="7"/>
  <c r="G53" i="14" s="1"/>
  <c r="H53" i="14" s="1"/>
  <c r="N66" i="7"/>
  <c r="K66" i="14" s="1"/>
  <c r="L66" i="14" s="1"/>
  <c r="N74" i="7"/>
  <c r="K74" i="14" s="1"/>
  <c r="L74" i="14" s="1"/>
  <c r="J103" i="7"/>
  <c r="G103" i="14" s="1"/>
  <c r="H103" i="14" s="1"/>
  <c r="N126" i="7"/>
  <c r="K126" i="14" s="1"/>
  <c r="L126" i="14" s="1"/>
  <c r="N144" i="7"/>
  <c r="Q164" i="7"/>
  <c r="H31" i="8"/>
  <c r="H69" i="13" s="1"/>
  <c r="F121" i="13"/>
  <c r="G83" i="8"/>
  <c r="G121" i="13" s="1"/>
  <c r="E34" i="7"/>
  <c r="L47" i="9"/>
  <c r="R47" i="9" s="1"/>
  <c r="D60" i="7"/>
  <c r="M125" i="9"/>
  <c r="P125" i="9" s="1"/>
  <c r="E138" i="7"/>
  <c r="N138" i="9"/>
  <c r="B100" i="12"/>
  <c r="O18" i="12"/>
  <c r="K19" i="12"/>
  <c r="N54" i="12"/>
  <c r="Q54" i="12" s="1"/>
  <c r="L54" i="12"/>
  <c r="M11" i="13"/>
  <c r="L11" i="13"/>
  <c r="V28" i="13"/>
  <c r="T28" i="13"/>
  <c r="L121" i="9"/>
  <c r="R121" i="9" s="1"/>
  <c r="L130" i="9"/>
  <c r="R130" i="9" s="1"/>
  <c r="M136" i="9"/>
  <c r="N29" i="12"/>
  <c r="Q29" i="12" s="1"/>
  <c r="L29" i="12"/>
  <c r="I28" i="13"/>
  <c r="D63" i="7"/>
  <c r="L88" i="9"/>
  <c r="R88" i="9" s="1"/>
  <c r="O64" i="12"/>
  <c r="K64" i="12"/>
  <c r="O74" i="12"/>
  <c r="N74" i="12"/>
  <c r="Q74" i="12" s="1"/>
  <c r="M7" i="13"/>
  <c r="K7" i="13"/>
  <c r="D72" i="7"/>
  <c r="O39" i="12"/>
  <c r="K39" i="12"/>
  <c r="O54" i="12"/>
  <c r="O29" i="12"/>
  <c r="O49" i="12"/>
  <c r="N49" i="12"/>
  <c r="Q49" i="12" s="1"/>
  <c r="O24" i="12"/>
  <c r="N24" i="12"/>
  <c r="Q24" i="12" s="1"/>
  <c r="M15" i="13"/>
  <c r="L15" i="13"/>
  <c r="M76" i="9"/>
  <c r="AD76" i="14" s="1"/>
  <c r="M86" i="9"/>
  <c r="L135" i="9"/>
  <c r="R135" i="9" s="1"/>
  <c r="B137" i="7"/>
  <c r="B102" i="12"/>
  <c r="M23" i="13"/>
  <c r="K23" i="13"/>
  <c r="F85" i="13"/>
  <c r="G47" i="8"/>
  <c r="G85" i="13" s="1"/>
  <c r="F119" i="13"/>
  <c r="H81" i="8"/>
  <c r="H119" i="13" s="1"/>
  <c r="D22" i="7"/>
  <c r="E24" i="7"/>
  <c r="L41" i="9"/>
  <c r="R41" i="9" s="1"/>
  <c r="L95" i="9"/>
  <c r="R95" i="9" s="1"/>
  <c r="F118" i="7"/>
  <c r="L140" i="9"/>
  <c r="R140" i="9" s="1"/>
  <c r="L49" i="12"/>
  <c r="Q203" i="7"/>
  <c r="I203" i="7"/>
  <c r="F61" i="13"/>
  <c r="G23" i="8"/>
  <c r="G61" i="13" s="1"/>
  <c r="H47" i="8"/>
  <c r="H85" i="13" s="1"/>
  <c r="E13" i="7"/>
  <c r="D20" i="7"/>
  <c r="N44" i="9"/>
  <c r="O53" i="9"/>
  <c r="O86" i="9"/>
  <c r="L117" i="9"/>
  <c r="R117" i="9" s="1"/>
  <c r="L21" i="12"/>
  <c r="L24" i="12"/>
  <c r="V26" i="13"/>
  <c r="S26" i="13"/>
  <c r="N26" i="13"/>
  <c r="L26" i="13"/>
  <c r="K26" i="13"/>
  <c r="H26" i="13"/>
  <c r="L34" i="12"/>
  <c r="L59" i="12"/>
  <c r="B108" i="12"/>
  <c r="V24" i="13"/>
  <c r="L9" i="9"/>
  <c r="R9" i="9" s="1"/>
  <c r="B22" i="7"/>
  <c r="F34" i="7"/>
  <c r="L36" i="9"/>
  <c r="R36" i="9" s="1"/>
  <c r="E41" i="7"/>
  <c r="D43" i="7"/>
  <c r="F52" i="7"/>
  <c r="L61" i="9"/>
  <c r="R61" i="9" s="1"/>
  <c r="O76" i="9"/>
  <c r="P34" i="12"/>
  <c r="K36" i="12"/>
  <c r="K38" i="12"/>
  <c r="P59" i="12"/>
  <c r="K61" i="12"/>
  <c r="K63" i="12"/>
  <c r="D110" i="12"/>
  <c r="P24" i="12"/>
  <c r="P49" i="12"/>
  <c r="P74" i="12"/>
  <c r="K12" i="13"/>
  <c r="L16" i="13"/>
  <c r="B24" i="13"/>
  <c r="L64" i="12"/>
  <c r="L5" i="13"/>
  <c r="L12" i="13"/>
  <c r="K21" i="13"/>
  <c r="H24" i="13"/>
  <c r="K18" i="12"/>
  <c r="K41" i="12"/>
  <c r="K43" i="12"/>
  <c r="K66" i="12"/>
  <c r="K68" i="12"/>
  <c r="J24" i="13"/>
  <c r="D109" i="12"/>
  <c r="L11" i="9"/>
  <c r="R11" i="9" s="1"/>
  <c r="E25" i="7"/>
  <c r="D42" i="7"/>
  <c r="L46" i="9"/>
  <c r="R46" i="9" s="1"/>
  <c r="L101" i="9"/>
  <c r="R101" i="9" s="1"/>
  <c r="L126" i="9"/>
  <c r="R126" i="9" s="1"/>
  <c r="P29" i="12"/>
  <c r="K31" i="12"/>
  <c r="K33" i="12"/>
  <c r="P54" i="12"/>
  <c r="K56" i="12"/>
  <c r="K58" i="12"/>
  <c r="M24" i="13"/>
  <c r="S25" i="13"/>
  <c r="L27" i="13"/>
  <c r="I5" i="7"/>
  <c r="N5" i="7"/>
  <c r="K5" i="14" s="1"/>
  <c r="L5" i="14" s="1"/>
  <c r="Q5" i="7"/>
  <c r="J5" i="7"/>
  <c r="G5" i="14" s="1"/>
  <c r="H5" i="14" s="1"/>
  <c r="Q29" i="7"/>
  <c r="I29" i="14" s="1"/>
  <c r="J29" i="14" s="1"/>
  <c r="N29" i="7"/>
  <c r="J29" i="7"/>
  <c r="G29" i="14" s="1"/>
  <c r="H29" i="14" s="1"/>
  <c r="I29" i="7"/>
  <c r="I45" i="7"/>
  <c r="N45" i="7"/>
  <c r="K45" i="14" s="1"/>
  <c r="L45" i="14" s="1"/>
  <c r="Q59" i="7"/>
  <c r="I59" i="14" s="1"/>
  <c r="J59" i="14" s="1"/>
  <c r="I145" i="7"/>
  <c r="J157" i="7"/>
  <c r="N190" i="7"/>
  <c r="I190" i="7"/>
  <c r="F84" i="13"/>
  <c r="G46" i="8"/>
  <c r="G84" i="13" s="1"/>
  <c r="U17" i="14"/>
  <c r="V17" i="14" s="1"/>
  <c r="A17" i="14"/>
  <c r="M17" i="14"/>
  <c r="B17" i="14"/>
  <c r="C17" i="14"/>
  <c r="S17" i="14"/>
  <c r="T17" i="14" s="1"/>
  <c r="E17" i="14"/>
  <c r="N17" i="14"/>
  <c r="O17" i="14" s="1"/>
  <c r="F17" i="14"/>
  <c r="P17" i="14" s="1"/>
  <c r="D17" i="14"/>
  <c r="Q17" i="14" s="1"/>
  <c r="Y17" i="14"/>
  <c r="Z17" i="14" s="1"/>
  <c r="W17" i="14"/>
  <c r="X17" i="14" s="1"/>
  <c r="C17" i="7"/>
  <c r="M17" i="9"/>
  <c r="AD17" i="14" s="1"/>
  <c r="F17" i="7"/>
  <c r="E17" i="7"/>
  <c r="B17" i="7"/>
  <c r="N17" i="9"/>
  <c r="B20" i="18"/>
  <c r="F88" i="17"/>
  <c r="G82" i="17"/>
  <c r="F81" i="17"/>
  <c r="E80" i="17"/>
  <c r="H80" i="17" s="1"/>
  <c r="G72" i="17"/>
  <c r="F71" i="17"/>
  <c r="E70" i="17"/>
  <c r="G62" i="17"/>
  <c r="F61" i="17"/>
  <c r="E60" i="17"/>
  <c r="E88" i="17"/>
  <c r="G83" i="17"/>
  <c r="F82" i="17"/>
  <c r="E81" i="17"/>
  <c r="L81" i="17" s="1"/>
  <c r="G73" i="17"/>
  <c r="F72" i="17"/>
  <c r="E71" i="17"/>
  <c r="H71" i="17" s="1"/>
  <c r="G63" i="17"/>
  <c r="F62" i="17"/>
  <c r="E61" i="17"/>
  <c r="G53" i="17"/>
  <c r="F52" i="17"/>
  <c r="E51" i="17"/>
  <c r="G43" i="17"/>
  <c r="F42" i="17"/>
  <c r="E41" i="17"/>
  <c r="H41" i="17" s="1"/>
  <c r="I41" i="17" s="1"/>
  <c r="G33" i="17"/>
  <c r="F32" i="17"/>
  <c r="E31" i="17"/>
  <c r="G23" i="17"/>
  <c r="F22" i="17"/>
  <c r="E21" i="17"/>
  <c r="G13" i="17"/>
  <c r="F12" i="17"/>
  <c r="E11" i="17"/>
  <c r="H11" i="17" s="1"/>
  <c r="I11" i="17" s="1"/>
  <c r="L11" i="17" s="1"/>
  <c r="G84" i="17"/>
  <c r="F83" i="17"/>
  <c r="E82" i="17"/>
  <c r="L82" i="17" s="1"/>
  <c r="G74" i="17"/>
  <c r="F73" i="17"/>
  <c r="E72" i="17"/>
  <c r="H72" i="17" s="1"/>
  <c r="G64" i="17"/>
  <c r="F63" i="17"/>
  <c r="E62" i="17"/>
  <c r="H62" i="17" s="1"/>
  <c r="I62" i="17" s="1"/>
  <c r="L62" i="17" s="1"/>
  <c r="F84" i="17"/>
  <c r="E83" i="17"/>
  <c r="H83" i="17" s="1"/>
  <c r="G75" i="17"/>
  <c r="F74" i="17"/>
  <c r="E73" i="17"/>
  <c r="I73" i="17" s="1"/>
  <c r="G65" i="17"/>
  <c r="F64" i="17"/>
  <c r="E63" i="17"/>
  <c r="H63" i="17" s="1"/>
  <c r="I63" i="17" s="1"/>
  <c r="L63" i="17" s="1"/>
  <c r="G55" i="17"/>
  <c r="F54" i="17"/>
  <c r="E53" i="17"/>
  <c r="G45" i="17"/>
  <c r="E84" i="17"/>
  <c r="H84" i="17" s="1"/>
  <c r="G76" i="17"/>
  <c r="F75" i="17"/>
  <c r="E74" i="17"/>
  <c r="I74" i="17" s="1"/>
  <c r="G66" i="17"/>
  <c r="F65" i="17"/>
  <c r="E64" i="17"/>
  <c r="I64" i="17" s="1"/>
  <c r="G77" i="17"/>
  <c r="F76" i="17"/>
  <c r="E75" i="17"/>
  <c r="I75" i="17" s="1"/>
  <c r="G67" i="17"/>
  <c r="F66" i="17"/>
  <c r="E65" i="17"/>
  <c r="I65" i="17" s="1"/>
  <c r="G57" i="17"/>
  <c r="F56" i="17"/>
  <c r="E55" i="17"/>
  <c r="G78" i="17"/>
  <c r="F77" i="17"/>
  <c r="E76" i="17"/>
  <c r="L76" i="17" s="1"/>
  <c r="G68" i="17"/>
  <c r="F67" i="17"/>
  <c r="E66" i="17"/>
  <c r="I66" i="17" s="1"/>
  <c r="G58" i="17"/>
  <c r="F57" i="17"/>
  <c r="E56" i="17"/>
  <c r="G48" i="17"/>
  <c r="F47" i="17"/>
  <c r="E46" i="17"/>
  <c r="H46" i="17" s="1"/>
  <c r="I46" i="17" s="1"/>
  <c r="G38" i="17"/>
  <c r="F37" i="17"/>
  <c r="E36" i="17"/>
  <c r="H36" i="17" s="1"/>
  <c r="I36" i="17" s="1"/>
  <c r="L36" i="17" s="1"/>
  <c r="G28" i="17"/>
  <c r="F27" i="17"/>
  <c r="E26" i="17"/>
  <c r="G79" i="17"/>
  <c r="F78" i="17"/>
  <c r="E77" i="17"/>
  <c r="L77" i="17" s="1"/>
  <c r="G69" i="17"/>
  <c r="F68" i="17"/>
  <c r="E67" i="17"/>
  <c r="I67" i="17" s="1"/>
  <c r="G59" i="17"/>
  <c r="F58" i="17"/>
  <c r="E57" i="17"/>
  <c r="H57" i="17" s="1"/>
  <c r="G80" i="17"/>
  <c r="F79" i="17"/>
  <c r="E78" i="17"/>
  <c r="L78" i="17" s="1"/>
  <c r="G70" i="17"/>
  <c r="F69" i="17"/>
  <c r="E68" i="17"/>
  <c r="H68" i="17" s="1"/>
  <c r="G60" i="17"/>
  <c r="F59" i="17"/>
  <c r="E58" i="17"/>
  <c r="H58" i="17" s="1"/>
  <c r="I58" i="17" s="1"/>
  <c r="L58" i="17" s="1"/>
  <c r="G50" i="17"/>
  <c r="F49" i="17"/>
  <c r="E48" i="17"/>
  <c r="G40" i="17"/>
  <c r="F39" i="17"/>
  <c r="E38" i="17"/>
  <c r="H38" i="17" s="1"/>
  <c r="I38" i="17" s="1"/>
  <c r="L38" i="17" s="1"/>
  <c r="G30" i="17"/>
  <c r="F29" i="17"/>
  <c r="E28" i="17"/>
  <c r="H28" i="17" s="1"/>
  <c r="I28" i="17" s="1"/>
  <c r="L28" i="17" s="1"/>
  <c r="G20" i="17"/>
  <c r="F19" i="17"/>
  <c r="E18" i="17"/>
  <c r="G10" i="17"/>
  <c r="F9" i="17"/>
  <c r="E8" i="17"/>
  <c r="G88" i="17"/>
  <c r="G81" i="17"/>
  <c r="F80" i="17"/>
  <c r="E79" i="17"/>
  <c r="H79" i="17" s="1"/>
  <c r="G71" i="17"/>
  <c r="F70" i="17"/>
  <c r="E69" i="17"/>
  <c r="H69" i="17" s="1"/>
  <c r="F53" i="17"/>
  <c r="G51" i="17"/>
  <c r="F46" i="17"/>
  <c r="E43" i="17"/>
  <c r="H43" i="17" s="1"/>
  <c r="I43" i="17" s="1"/>
  <c r="L43" i="17" s="1"/>
  <c r="G29" i="17"/>
  <c r="G26" i="17"/>
  <c r="E22" i="17"/>
  <c r="H22" i="17" s="1"/>
  <c r="I22" i="17" s="1"/>
  <c r="F18" i="17"/>
  <c r="E14" i="17"/>
  <c r="H14" i="17" s="1"/>
  <c r="I14" i="17" s="1"/>
  <c r="L14" i="17" s="1"/>
  <c r="G11" i="17"/>
  <c r="G6" i="17"/>
  <c r="F5" i="17"/>
  <c r="E4" i="17"/>
  <c r="E59" i="17"/>
  <c r="H59" i="17" s="1"/>
  <c r="I59" i="17" s="1"/>
  <c r="L59" i="17" s="1"/>
  <c r="F51" i="17"/>
  <c r="G44" i="17"/>
  <c r="G41" i="17"/>
  <c r="G35" i="17"/>
  <c r="G32" i="17"/>
  <c r="E29" i="17"/>
  <c r="H29" i="17" s="1"/>
  <c r="I29" i="17" s="1"/>
  <c r="F26" i="17"/>
  <c r="G19" i="17"/>
  <c r="G15" i="17"/>
  <c r="F11" i="17"/>
  <c r="G7" i="17"/>
  <c r="F6" i="17"/>
  <c r="E5" i="17"/>
  <c r="H5" i="17" s="1"/>
  <c r="I5" i="17" s="1"/>
  <c r="L5" i="17" s="1"/>
  <c r="G49" i="17"/>
  <c r="F44" i="17"/>
  <c r="F41" i="17"/>
  <c r="F38" i="17"/>
  <c r="F35" i="17"/>
  <c r="E32" i="17"/>
  <c r="F23" i="17"/>
  <c r="E19" i="17"/>
  <c r="H19" i="17" s="1"/>
  <c r="I19" i="17" s="1"/>
  <c r="L19" i="17" s="1"/>
  <c r="F15" i="17"/>
  <c r="G56" i="17"/>
  <c r="G54" i="17"/>
  <c r="E49" i="17"/>
  <c r="H49" i="17" s="1"/>
  <c r="I49" i="17" s="1"/>
  <c r="L49" i="17" s="1"/>
  <c r="E44" i="17"/>
  <c r="H44" i="17" s="1"/>
  <c r="I44" i="17" s="1"/>
  <c r="L44" i="17" s="1"/>
  <c r="E35" i="17"/>
  <c r="H35" i="17" s="1"/>
  <c r="I35" i="17" s="1"/>
  <c r="L35" i="17" s="1"/>
  <c r="E23" i="17"/>
  <c r="H23" i="17" s="1"/>
  <c r="I23" i="17" s="1"/>
  <c r="L23" i="17" s="1"/>
  <c r="G61" i="17"/>
  <c r="E54" i="17"/>
  <c r="H54" i="17" s="1"/>
  <c r="I54" i="17" s="1"/>
  <c r="L54" i="17" s="1"/>
  <c r="G47" i="17"/>
  <c r="G39" i="17"/>
  <c r="G36" i="17"/>
  <c r="F30" i="17"/>
  <c r="G27" i="17"/>
  <c r="G24" i="17"/>
  <c r="F20" i="17"/>
  <c r="F16" i="17"/>
  <c r="E12" i="17"/>
  <c r="H12" i="17" s="1"/>
  <c r="I12" i="17" s="1"/>
  <c r="L12" i="17" s="1"/>
  <c r="G52" i="17"/>
  <c r="E47" i="17"/>
  <c r="H47" i="17" s="1"/>
  <c r="I47" i="17" s="1"/>
  <c r="L47" i="17" s="1"/>
  <c r="G42" i="17"/>
  <c r="E39" i="17"/>
  <c r="H39" i="17" s="1"/>
  <c r="I39" i="17" s="1"/>
  <c r="L39" i="17" s="1"/>
  <c r="F36" i="17"/>
  <c r="F33" i="17"/>
  <c r="E30" i="17"/>
  <c r="H30" i="17" s="1"/>
  <c r="I30" i="17" s="1"/>
  <c r="L30" i="17" s="1"/>
  <c r="E52" i="17"/>
  <c r="H52" i="17" s="1"/>
  <c r="I52" i="17" s="1"/>
  <c r="L52" i="17" s="1"/>
  <c r="F45" i="17"/>
  <c r="E42" i="17"/>
  <c r="H42" i="17" s="1"/>
  <c r="I42" i="17" s="1"/>
  <c r="L42" i="17" s="1"/>
  <c r="E33" i="17"/>
  <c r="H33" i="17" s="1"/>
  <c r="I33" i="17" s="1"/>
  <c r="L33" i="17" s="1"/>
  <c r="F50" i="17"/>
  <c r="E45" i="17"/>
  <c r="G34" i="17"/>
  <c r="G31" i="17"/>
  <c r="G25" i="17"/>
  <c r="F21" i="17"/>
  <c r="F17" i="17"/>
  <c r="E13" i="17"/>
  <c r="H13" i="17" s="1"/>
  <c r="I13" i="17" s="1"/>
  <c r="L13" i="17" s="1"/>
  <c r="F60" i="17"/>
  <c r="E50" i="17"/>
  <c r="H50" i="17" s="1"/>
  <c r="I50" i="17" s="1"/>
  <c r="L50" i="17" s="1"/>
  <c r="F40" i="17"/>
  <c r="G37" i="17"/>
  <c r="F34" i="17"/>
  <c r="F31" i="17"/>
  <c r="F28" i="17"/>
  <c r="F25" i="17"/>
  <c r="E17" i="17"/>
  <c r="H17" i="17" s="1"/>
  <c r="I17" i="17" s="1"/>
  <c r="L17" i="17" s="1"/>
  <c r="G14" i="17"/>
  <c r="F10" i="17"/>
  <c r="G4" i="17"/>
  <c r="F55" i="17"/>
  <c r="F48" i="17"/>
  <c r="G46" i="17"/>
  <c r="F43" i="17"/>
  <c r="E40" i="17"/>
  <c r="E37" i="17"/>
  <c r="H37" i="17" s="1"/>
  <c r="I37" i="17" s="1"/>
  <c r="L37" i="17" s="1"/>
  <c r="G22" i="17"/>
  <c r="G16" i="17"/>
  <c r="E6" i="17"/>
  <c r="H6" i="17" s="1"/>
  <c r="I6" i="17" s="1"/>
  <c r="L6" i="17" s="1"/>
  <c r="E25" i="17"/>
  <c r="H25" i="17" s="1"/>
  <c r="I25" i="17" s="1"/>
  <c r="L25" i="17" s="1"/>
  <c r="E16" i="17"/>
  <c r="H16" i="17" s="1"/>
  <c r="I16" i="17" s="1"/>
  <c r="L16" i="17" s="1"/>
  <c r="G9" i="17"/>
  <c r="F13" i="17"/>
  <c r="E9" i="17"/>
  <c r="H9" i="17" s="1"/>
  <c r="I9" i="17" s="1"/>
  <c r="L9" i="17" s="1"/>
  <c r="F24" i="17"/>
  <c r="F7" i="17"/>
  <c r="F4" i="17"/>
  <c r="E27" i="17"/>
  <c r="H27" i="17" s="1"/>
  <c r="I27" i="17" s="1"/>
  <c r="L27" i="17" s="1"/>
  <c r="E24" i="17"/>
  <c r="H24" i="17" s="1"/>
  <c r="I24" i="17" s="1"/>
  <c r="L24" i="17" s="1"/>
  <c r="E34" i="17"/>
  <c r="H34" i="17" s="1"/>
  <c r="I34" i="17" s="1"/>
  <c r="L34" i="17" s="1"/>
  <c r="E10" i="17"/>
  <c r="E20" i="17"/>
  <c r="H20" i="17" s="1"/>
  <c r="I20" i="17" s="1"/>
  <c r="L20" i="17" s="1"/>
  <c r="G17" i="17"/>
  <c r="F14" i="17"/>
  <c r="F8" i="17"/>
  <c r="G18" i="17"/>
  <c r="G12" i="17"/>
  <c r="G8" i="17"/>
  <c r="G5" i="17"/>
  <c r="E7" i="17"/>
  <c r="H7" i="17" s="1"/>
  <c r="I7" i="17" s="1"/>
  <c r="L7" i="17" s="1"/>
  <c r="G21" i="17"/>
  <c r="E15" i="17"/>
  <c r="H15" i="17" s="1"/>
  <c r="I15" i="17" s="1"/>
  <c r="L15" i="17" s="1"/>
  <c r="I39" i="7"/>
  <c r="I67" i="7"/>
  <c r="J67" i="7"/>
  <c r="G67" i="14" s="1"/>
  <c r="H67" i="14" s="1"/>
  <c r="Q89" i="7"/>
  <c r="I89" i="14" s="1"/>
  <c r="J89" i="14" s="1"/>
  <c r="N183" i="7"/>
  <c r="J183" i="7"/>
  <c r="I183" i="7"/>
  <c r="F79" i="13"/>
  <c r="G41" i="8"/>
  <c r="G79" i="13" s="1"/>
  <c r="F88" i="13"/>
  <c r="H50" i="8"/>
  <c r="H88" i="13" s="1"/>
  <c r="G50" i="8"/>
  <c r="G88" i="13" s="1"/>
  <c r="F98" i="13"/>
  <c r="G60" i="8"/>
  <c r="G98" i="13" s="1"/>
  <c r="S7" i="14"/>
  <c r="T7" i="14" s="1"/>
  <c r="I7" i="14"/>
  <c r="J7" i="14" s="1"/>
  <c r="F7" i="14"/>
  <c r="P7" i="14" s="1"/>
  <c r="E7" i="14"/>
  <c r="Y7" i="14"/>
  <c r="Z7" i="14" s="1"/>
  <c r="D7" i="14"/>
  <c r="Q7" i="14" s="1"/>
  <c r="W7" i="14"/>
  <c r="X7" i="14" s="1"/>
  <c r="C7" i="14"/>
  <c r="U7" i="14"/>
  <c r="V7" i="14" s="1"/>
  <c r="B7" i="14"/>
  <c r="A7" i="14"/>
  <c r="N7" i="14"/>
  <c r="O7" i="14" s="1"/>
  <c r="M7" i="14"/>
  <c r="C7" i="7"/>
  <c r="M7" i="9"/>
  <c r="P7" i="9" s="1"/>
  <c r="F7" i="7"/>
  <c r="E7" i="7"/>
  <c r="N7" i="9"/>
  <c r="B7" i="7"/>
  <c r="S12" i="14"/>
  <c r="T12" i="14" s="1"/>
  <c r="U12" i="14"/>
  <c r="V12" i="14" s="1"/>
  <c r="A12" i="14"/>
  <c r="N12" i="14"/>
  <c r="O12" i="14" s="1"/>
  <c r="M12" i="14"/>
  <c r="C12" i="14"/>
  <c r="Y12" i="14"/>
  <c r="Z12" i="14" s="1"/>
  <c r="F12" i="14"/>
  <c r="P12" i="14" s="1"/>
  <c r="E12" i="14"/>
  <c r="W12" i="14"/>
  <c r="X12" i="14" s="1"/>
  <c r="D12" i="14"/>
  <c r="Q12" i="14" s="1"/>
  <c r="C12" i="7"/>
  <c r="B12" i="14"/>
  <c r="D12" i="7"/>
  <c r="B12" i="7"/>
  <c r="A12" i="7"/>
  <c r="M12" i="9"/>
  <c r="P12" i="9" s="1"/>
  <c r="F12" i="7"/>
  <c r="I15" i="7"/>
  <c r="N15" i="7"/>
  <c r="K15" i="14" s="1"/>
  <c r="L15" i="14" s="1"/>
  <c r="N107" i="7"/>
  <c r="K107" i="14" s="1"/>
  <c r="L107" i="14" s="1"/>
  <c r="J107" i="7"/>
  <c r="G107" i="14" s="1"/>
  <c r="H107" i="14" s="1"/>
  <c r="I107" i="7"/>
  <c r="N117" i="7"/>
  <c r="K117" i="14" s="1"/>
  <c r="L117" i="14" s="1"/>
  <c r="I117" i="7"/>
  <c r="N150" i="7"/>
  <c r="I150" i="7"/>
  <c r="J176" i="7"/>
  <c r="Q176" i="7"/>
  <c r="N176" i="7"/>
  <c r="I176" i="7"/>
  <c r="F103" i="13"/>
  <c r="H65" i="8"/>
  <c r="H103" i="13" s="1"/>
  <c r="G65" i="8"/>
  <c r="G103" i="13" s="1"/>
  <c r="D5" i="14"/>
  <c r="Q5" i="14" s="1"/>
  <c r="Y5" i="14"/>
  <c r="Z5" i="14" s="1"/>
  <c r="N5" i="14"/>
  <c r="O5" i="14" s="1"/>
  <c r="C5" i="14"/>
  <c r="F5" i="14"/>
  <c r="P5" i="14" s="1"/>
  <c r="W5" i="14"/>
  <c r="X5" i="14" s="1"/>
  <c r="I5" i="14"/>
  <c r="J5" i="14" s="1"/>
  <c r="U5" i="14"/>
  <c r="V5" i="14" s="1"/>
  <c r="E5" i="14"/>
  <c r="B5" i="14"/>
  <c r="S5" i="14"/>
  <c r="T5" i="14" s="1"/>
  <c r="A5" i="14"/>
  <c r="M5" i="14"/>
  <c r="C5" i="7"/>
  <c r="N5" i="9"/>
  <c r="F5" i="7"/>
  <c r="E5" i="7"/>
  <c r="D5" i="7"/>
  <c r="B5" i="7"/>
  <c r="M5" i="9"/>
  <c r="P5" i="9" s="1"/>
  <c r="J47" i="7"/>
  <c r="G47" i="14" s="1"/>
  <c r="H47" i="14" s="1"/>
  <c r="N137" i="7"/>
  <c r="K137" i="14" s="1"/>
  <c r="L137" i="14" s="1"/>
  <c r="J137" i="7"/>
  <c r="G137" i="14" s="1"/>
  <c r="H137" i="14" s="1"/>
  <c r="I137" i="7"/>
  <c r="N147" i="7"/>
  <c r="J147" i="7"/>
  <c r="I147" i="7"/>
  <c r="F10" i="14"/>
  <c r="P10" i="14" s="1"/>
  <c r="D10" i="14"/>
  <c r="Q10" i="14" s="1"/>
  <c r="C10" i="14"/>
  <c r="Y10" i="14"/>
  <c r="Z10" i="14" s="1"/>
  <c r="W10" i="14"/>
  <c r="X10" i="14" s="1"/>
  <c r="E10" i="14"/>
  <c r="B10" i="14"/>
  <c r="U10" i="14"/>
  <c r="V10" i="14" s="1"/>
  <c r="A10" i="14"/>
  <c r="S10" i="14"/>
  <c r="T10" i="14" s="1"/>
  <c r="N10" i="14"/>
  <c r="O10" i="14" s="1"/>
  <c r="C10" i="7"/>
  <c r="N10" i="9"/>
  <c r="M10" i="14"/>
  <c r="A10" i="7"/>
  <c r="F10" i="7"/>
  <c r="M10" i="9"/>
  <c r="AD10" i="14" s="1"/>
  <c r="D10" i="7"/>
  <c r="C29" i="7"/>
  <c r="N17" i="7"/>
  <c r="K17" i="14" s="1"/>
  <c r="L17" i="14" s="1"/>
  <c r="I17" i="7"/>
  <c r="J17" i="7"/>
  <c r="G17" i="14" s="1"/>
  <c r="H17" i="14" s="1"/>
  <c r="N19" i="7"/>
  <c r="K19" i="14" s="1"/>
  <c r="L19" i="14" s="1"/>
  <c r="Q19" i="7"/>
  <c r="I19" i="14" s="1"/>
  <c r="J19" i="14" s="1"/>
  <c r="J19" i="7"/>
  <c r="G19" i="14" s="1"/>
  <c r="H19" i="14" s="1"/>
  <c r="I19" i="7"/>
  <c r="I75" i="7"/>
  <c r="N75" i="7"/>
  <c r="K75" i="14" s="1"/>
  <c r="L75" i="14" s="1"/>
  <c r="N119" i="7"/>
  <c r="K119" i="14" s="1"/>
  <c r="L119" i="14" s="1"/>
  <c r="Q119" i="7"/>
  <c r="I119" i="14" s="1"/>
  <c r="J119" i="14" s="1"/>
  <c r="J119" i="7"/>
  <c r="G119" i="14" s="1"/>
  <c r="H119" i="14" s="1"/>
  <c r="I119" i="7"/>
  <c r="F46" i="13"/>
  <c r="H8" i="8"/>
  <c r="H46" i="13" s="1"/>
  <c r="G8" i="8"/>
  <c r="G46" i="13" s="1"/>
  <c r="F75" i="13"/>
  <c r="G37" i="8"/>
  <c r="G75" i="13" s="1"/>
  <c r="H37" i="8"/>
  <c r="H75" i="13" s="1"/>
  <c r="F95" i="13"/>
  <c r="G57" i="8"/>
  <c r="G95" i="13" s="1"/>
  <c r="C17" i="11"/>
  <c r="C7" i="11"/>
  <c r="C16" i="11"/>
  <c r="C6" i="11"/>
  <c r="G16" i="13"/>
  <c r="I15" i="13"/>
  <c r="P16" i="13"/>
  <c r="S16" i="13" s="1"/>
  <c r="F16" i="13"/>
  <c r="H15" i="13"/>
  <c r="F11" i="13"/>
  <c r="H10" i="13"/>
  <c r="N16" i="13"/>
  <c r="U16" i="13" s="1"/>
  <c r="D16" i="13"/>
  <c r="F15" i="13"/>
  <c r="H14" i="13"/>
  <c r="C15" i="13"/>
  <c r="C10" i="13"/>
  <c r="C5" i="13"/>
  <c r="C19" i="11"/>
  <c r="E11" i="13"/>
  <c r="N10" i="13"/>
  <c r="C6" i="13"/>
  <c r="D11" i="13"/>
  <c r="B6" i="13"/>
  <c r="G16" i="11"/>
  <c r="C31" i="16" s="1"/>
  <c r="C10" i="11"/>
  <c r="C9" i="11"/>
  <c r="C8" i="11"/>
  <c r="I21" i="13"/>
  <c r="N15" i="13"/>
  <c r="C11" i="13"/>
  <c r="F9" i="13"/>
  <c r="E7" i="13"/>
  <c r="N6" i="13"/>
  <c r="I5" i="13"/>
  <c r="F4" i="13"/>
  <c r="D12" i="11"/>
  <c r="C11" i="11"/>
  <c r="G21" i="13"/>
  <c r="N14" i="13"/>
  <c r="B11" i="13"/>
  <c r="I10" i="13"/>
  <c r="D9" i="13"/>
  <c r="D7" i="13"/>
  <c r="H5" i="13"/>
  <c r="D4" i="13"/>
  <c r="G22" i="13"/>
  <c r="B21" i="13"/>
  <c r="I14" i="13"/>
  <c r="G10" i="13"/>
  <c r="C7" i="13"/>
  <c r="G5" i="13"/>
  <c r="C14" i="11"/>
  <c r="C13" i="11"/>
  <c r="H23" i="13"/>
  <c r="B22" i="13"/>
  <c r="E16" i="13"/>
  <c r="G15" i="13"/>
  <c r="G14" i="13"/>
  <c r="N11" i="13"/>
  <c r="F10" i="13"/>
  <c r="I8" i="13"/>
  <c r="F5" i="13"/>
  <c r="B23" i="13"/>
  <c r="H17" i="13"/>
  <c r="C16" i="13"/>
  <c r="E15" i="13"/>
  <c r="F14" i="13"/>
  <c r="E10" i="13"/>
  <c r="H8" i="13"/>
  <c r="G6" i="13"/>
  <c r="E5" i="13"/>
  <c r="C17" i="13"/>
  <c r="B16" i="13"/>
  <c r="D15" i="13"/>
  <c r="D14" i="13"/>
  <c r="D10" i="13"/>
  <c r="F8" i="13"/>
  <c r="F6" i="13"/>
  <c r="D5" i="13"/>
  <c r="C18" i="11"/>
  <c r="B15" i="13"/>
  <c r="H12" i="13"/>
  <c r="B10" i="13"/>
  <c r="C8" i="13"/>
  <c r="E6" i="13"/>
  <c r="B5" i="13"/>
  <c r="C4" i="11"/>
  <c r="I19" i="13"/>
  <c r="C12" i="13"/>
  <c r="G11" i="13"/>
  <c r="I9" i="13"/>
  <c r="B8" i="13"/>
  <c r="D6" i="13"/>
  <c r="D7" i="11"/>
  <c r="C5" i="11"/>
  <c r="N5" i="13"/>
  <c r="D14" i="11"/>
  <c r="C12" i="11"/>
  <c r="I4" i="13"/>
  <c r="C15" i="11"/>
  <c r="F4" i="7"/>
  <c r="D4" i="11"/>
  <c r="D13" i="11"/>
  <c r="I55" i="7"/>
  <c r="N55" i="7"/>
  <c r="K55" i="14" s="1"/>
  <c r="L55" i="14" s="1"/>
  <c r="N99" i="7"/>
  <c r="K99" i="14" s="1"/>
  <c r="L99" i="14" s="1"/>
  <c r="Q99" i="7"/>
  <c r="I99" i="14" s="1"/>
  <c r="J99" i="14" s="1"/>
  <c r="J99" i="7"/>
  <c r="G99" i="14" s="1"/>
  <c r="H99" i="14" s="1"/>
  <c r="I99" i="7"/>
  <c r="I109" i="7"/>
  <c r="N129" i="7"/>
  <c r="K129" i="14" s="1"/>
  <c r="L129" i="14" s="1"/>
  <c r="I157" i="7"/>
  <c r="N157" i="7"/>
  <c r="N160" i="7"/>
  <c r="F76" i="13"/>
  <c r="G38" i="8"/>
  <c r="G76" i="13" s="1"/>
  <c r="Q17" i="7"/>
  <c r="I17" i="14" s="1"/>
  <c r="J17" i="14" s="1"/>
  <c r="I25" i="7"/>
  <c r="N25" i="7"/>
  <c r="K25" i="14" s="1"/>
  <c r="L25" i="14" s="1"/>
  <c r="N77" i="7"/>
  <c r="K77" i="14" s="1"/>
  <c r="L77" i="14" s="1"/>
  <c r="J77" i="7"/>
  <c r="G77" i="14" s="1"/>
  <c r="H77" i="14" s="1"/>
  <c r="I77" i="7"/>
  <c r="Q149" i="7"/>
  <c r="N149" i="7"/>
  <c r="J149" i="7"/>
  <c r="I149" i="7"/>
  <c r="Q191" i="7"/>
  <c r="N191" i="7"/>
  <c r="I191" i="7"/>
  <c r="H38" i="8"/>
  <c r="H76" i="13" s="1"/>
  <c r="F113" i="13"/>
  <c r="H75" i="8"/>
  <c r="H113" i="13" s="1"/>
  <c r="G75" i="8"/>
  <c r="G113" i="13" s="1"/>
  <c r="F128" i="13"/>
  <c r="G90" i="8"/>
  <c r="G128" i="13" s="1"/>
  <c r="I35" i="7"/>
  <c r="Q47" i="7"/>
  <c r="I47" i="14" s="1"/>
  <c r="J47" i="14" s="1"/>
  <c r="N57" i="7"/>
  <c r="K57" i="14" s="1"/>
  <c r="L57" i="14" s="1"/>
  <c r="J57" i="7"/>
  <c r="G57" i="14" s="1"/>
  <c r="H57" i="14" s="1"/>
  <c r="I57" i="7"/>
  <c r="Q137" i="7"/>
  <c r="I137" i="14" s="1"/>
  <c r="J137" i="14" s="1"/>
  <c r="N177" i="7"/>
  <c r="Q177" i="7"/>
  <c r="J177" i="7"/>
  <c r="I177" i="7"/>
  <c r="F114" i="13"/>
  <c r="H76" i="8"/>
  <c r="H114" i="13" s="1"/>
  <c r="G76" i="8"/>
  <c r="G114" i="13" s="1"/>
  <c r="H90" i="8"/>
  <c r="H128" i="13" s="1"/>
  <c r="F154" i="8"/>
  <c r="N27" i="7"/>
  <c r="K27" i="14" s="1"/>
  <c r="L27" i="14" s="1"/>
  <c r="J27" i="7"/>
  <c r="G27" i="14" s="1"/>
  <c r="H27" i="14" s="1"/>
  <c r="I27" i="7"/>
  <c r="N37" i="7"/>
  <c r="K37" i="14" s="1"/>
  <c r="L37" i="14" s="1"/>
  <c r="I37" i="7"/>
  <c r="J37" i="7"/>
  <c r="G37" i="14" s="1"/>
  <c r="H37" i="14" s="1"/>
  <c r="I65" i="7"/>
  <c r="N65" i="7"/>
  <c r="K65" i="14" s="1"/>
  <c r="L65" i="14" s="1"/>
  <c r="J75" i="7"/>
  <c r="G75" i="14" s="1"/>
  <c r="H75" i="14" s="1"/>
  <c r="I85" i="7"/>
  <c r="N85" i="7"/>
  <c r="K85" i="14" s="1"/>
  <c r="L85" i="14" s="1"/>
  <c r="J87" i="7"/>
  <c r="G87" i="14" s="1"/>
  <c r="H87" i="14" s="1"/>
  <c r="I87" i="7"/>
  <c r="Q147" i="7"/>
  <c r="J159" i="7"/>
  <c r="I162" i="7"/>
  <c r="Q162" i="7"/>
  <c r="N162" i="7"/>
  <c r="J162" i="7"/>
  <c r="Q174" i="7"/>
  <c r="J174" i="7"/>
  <c r="F71" i="13"/>
  <c r="H33" i="8"/>
  <c r="H71" i="13" s="1"/>
  <c r="G33" i="8"/>
  <c r="G71" i="13" s="1"/>
  <c r="F92" i="13"/>
  <c r="H54" i="8"/>
  <c r="H92" i="13" s="1"/>
  <c r="G54" i="8"/>
  <c r="G92" i="13" s="1"/>
  <c r="F124" i="13"/>
  <c r="G86" i="8"/>
  <c r="G124" i="13" s="1"/>
  <c r="H86" i="8"/>
  <c r="H124" i="13" s="1"/>
  <c r="N7" i="7"/>
  <c r="K7" i="14" s="1"/>
  <c r="L7" i="14" s="1"/>
  <c r="I7" i="7"/>
  <c r="J7" i="7"/>
  <c r="G7" i="14" s="1"/>
  <c r="H7" i="14" s="1"/>
  <c r="J55" i="7"/>
  <c r="G55" i="14" s="1"/>
  <c r="H55" i="14" s="1"/>
  <c r="Q75" i="7"/>
  <c r="I75" i="14" s="1"/>
  <c r="J75" i="14" s="1"/>
  <c r="N79" i="7"/>
  <c r="K79" i="14" s="1"/>
  <c r="L79" i="14" s="1"/>
  <c r="Q79" i="7"/>
  <c r="I79" i="14" s="1"/>
  <c r="J79" i="14" s="1"/>
  <c r="J79" i="7"/>
  <c r="G79" i="14" s="1"/>
  <c r="H79" i="14" s="1"/>
  <c r="I95" i="7"/>
  <c r="N95" i="7"/>
  <c r="K95" i="14" s="1"/>
  <c r="L95" i="14" s="1"/>
  <c r="I105" i="7"/>
  <c r="N105" i="7"/>
  <c r="K105" i="14" s="1"/>
  <c r="L105" i="14" s="1"/>
  <c r="I115" i="7"/>
  <c r="N115" i="7"/>
  <c r="K115" i="14" s="1"/>
  <c r="L115" i="14" s="1"/>
  <c r="I125" i="7"/>
  <c r="N125" i="7"/>
  <c r="K125" i="14" s="1"/>
  <c r="L125" i="14" s="1"/>
  <c r="F49" i="13"/>
  <c r="G11" i="8"/>
  <c r="G49" i="13" s="1"/>
  <c r="F72" i="13"/>
  <c r="G34" i="8"/>
  <c r="G72" i="13" s="1"/>
  <c r="F83" i="13"/>
  <c r="H45" i="8"/>
  <c r="H83" i="13" s="1"/>
  <c r="G45" i="8"/>
  <c r="G83" i="13" s="1"/>
  <c r="F106" i="13"/>
  <c r="G68" i="8"/>
  <c r="G106" i="13" s="1"/>
  <c r="F110" i="13"/>
  <c r="G72" i="8"/>
  <c r="G110" i="13" s="1"/>
  <c r="H72" i="8"/>
  <c r="H110" i="13" s="1"/>
  <c r="F125" i="13"/>
  <c r="G87" i="8"/>
  <c r="G125" i="13" s="1"/>
  <c r="G129" i="13"/>
  <c r="Q15" i="13"/>
  <c r="C34" i="7"/>
  <c r="C59" i="7"/>
  <c r="O59" i="9"/>
  <c r="Y85" i="14"/>
  <c r="Z85" i="14" s="1"/>
  <c r="E85" i="14"/>
  <c r="N85" i="14"/>
  <c r="O85" i="14" s="1"/>
  <c r="D85" i="14"/>
  <c r="Q85" i="14" s="1"/>
  <c r="S85" i="14"/>
  <c r="T85" i="14" s="1"/>
  <c r="G85" i="14"/>
  <c r="H85" i="14" s="1"/>
  <c r="F85" i="14"/>
  <c r="P85" i="14" s="1"/>
  <c r="U85" i="14"/>
  <c r="V85" i="14" s="1"/>
  <c r="C85" i="14"/>
  <c r="B85" i="14"/>
  <c r="A85" i="14"/>
  <c r="M85" i="14"/>
  <c r="W85" i="14"/>
  <c r="X85" i="14" s="1"/>
  <c r="C85" i="7"/>
  <c r="N85" i="9"/>
  <c r="U91" i="14"/>
  <c r="V91" i="14" s="1"/>
  <c r="A91" i="14"/>
  <c r="W91" i="14"/>
  <c r="X91" i="14" s="1"/>
  <c r="M91" i="14"/>
  <c r="C91" i="14"/>
  <c r="N91" i="14"/>
  <c r="O91" i="14" s="1"/>
  <c r="F91" i="14"/>
  <c r="P91" i="14" s="1"/>
  <c r="E91" i="14"/>
  <c r="Y91" i="14"/>
  <c r="Z91" i="14" s="1"/>
  <c r="D91" i="14"/>
  <c r="Q91" i="14" s="1"/>
  <c r="S91" i="14"/>
  <c r="T91" i="14" s="1"/>
  <c r="B91" i="14"/>
  <c r="C91" i="7"/>
  <c r="C94" i="7"/>
  <c r="L37" i="12"/>
  <c r="P37" i="12"/>
  <c r="O37" i="12"/>
  <c r="N37" i="12"/>
  <c r="Q37" i="12" s="1"/>
  <c r="L62" i="12"/>
  <c r="F93" i="12" s="1"/>
  <c r="P62" i="12"/>
  <c r="O62" i="12"/>
  <c r="N62" i="12"/>
  <c r="Q62" i="12" s="1"/>
  <c r="J4" i="7"/>
  <c r="G4" i="14" s="1"/>
  <c r="H4" i="14" s="1"/>
  <c r="I13" i="7"/>
  <c r="Q16" i="7"/>
  <c r="I16" i="14" s="1"/>
  <c r="J16" i="14" s="1"/>
  <c r="I43" i="7"/>
  <c r="I53" i="7"/>
  <c r="Q56" i="7"/>
  <c r="I56" i="14" s="1"/>
  <c r="J56" i="14" s="1"/>
  <c r="I63" i="7"/>
  <c r="Q66" i="7"/>
  <c r="I66" i="14" s="1"/>
  <c r="J66" i="14" s="1"/>
  <c r="I73" i="7"/>
  <c r="Q76" i="7"/>
  <c r="I76" i="14" s="1"/>
  <c r="J76" i="14" s="1"/>
  <c r="Q86" i="7"/>
  <c r="I86" i="14" s="1"/>
  <c r="J86" i="14" s="1"/>
  <c r="E91" i="7"/>
  <c r="I93" i="7"/>
  <c r="I103" i="7"/>
  <c r="I113" i="7"/>
  <c r="I123" i="7"/>
  <c r="Q136" i="7"/>
  <c r="I136" i="14" s="1"/>
  <c r="J136" i="14" s="1"/>
  <c r="Q146" i="7"/>
  <c r="Q158" i="7"/>
  <c r="J165" i="7"/>
  <c r="I172" i="7"/>
  <c r="Q182" i="7"/>
  <c r="I189" i="7"/>
  <c r="F53" i="13"/>
  <c r="H15" i="8"/>
  <c r="H53" i="13" s="1"/>
  <c r="F60" i="13"/>
  <c r="G22" i="8"/>
  <c r="G60" i="13" s="1"/>
  <c r="F64" i="13"/>
  <c r="H26" i="8"/>
  <c r="H64" i="13" s="1"/>
  <c r="P21" i="9"/>
  <c r="L24" i="9"/>
  <c r="R24" i="9" s="1"/>
  <c r="G33" i="14"/>
  <c r="H33" i="14" s="1"/>
  <c r="U33" i="14"/>
  <c r="V33" i="14" s="1"/>
  <c r="M33" i="14"/>
  <c r="B33" i="14"/>
  <c r="N33" i="14"/>
  <c r="O33" i="14" s="1"/>
  <c r="Y33" i="14"/>
  <c r="Z33" i="14" s="1"/>
  <c r="E33" i="14"/>
  <c r="S33" i="14"/>
  <c r="T33" i="14" s="1"/>
  <c r="A33" i="14"/>
  <c r="W33" i="14"/>
  <c r="X33" i="14" s="1"/>
  <c r="F33" i="14"/>
  <c r="P33" i="14" s="1"/>
  <c r="D33" i="14"/>
  <c r="Q33" i="14" s="1"/>
  <c r="C33" i="14"/>
  <c r="C33" i="7"/>
  <c r="M33" i="9"/>
  <c r="P33" i="9" s="1"/>
  <c r="U42" i="14"/>
  <c r="V42" i="14" s="1"/>
  <c r="K42" i="14"/>
  <c r="L42" i="14" s="1"/>
  <c r="A42" i="14"/>
  <c r="E42" i="14"/>
  <c r="D42" i="14"/>
  <c r="Q42" i="14" s="1"/>
  <c r="W42" i="14"/>
  <c r="X42" i="14" s="1"/>
  <c r="F42" i="14"/>
  <c r="P42" i="14" s="1"/>
  <c r="C42" i="14"/>
  <c r="N42" i="14"/>
  <c r="O42" i="14" s="1"/>
  <c r="M42" i="14"/>
  <c r="B42" i="14"/>
  <c r="Y42" i="14"/>
  <c r="Z42" i="14" s="1"/>
  <c r="S42" i="14"/>
  <c r="T42" i="14" s="1"/>
  <c r="C42" i="7"/>
  <c r="M42" i="9"/>
  <c r="P42" i="9" s="1"/>
  <c r="P46" i="9"/>
  <c r="L49" i="9"/>
  <c r="R49" i="9" s="1"/>
  <c r="W58" i="14"/>
  <c r="X58" i="14" s="1"/>
  <c r="M58" i="14"/>
  <c r="C58" i="14"/>
  <c r="U58" i="14"/>
  <c r="V58" i="14" s="1"/>
  <c r="N58" i="14"/>
  <c r="O58" i="14" s="1"/>
  <c r="B58" i="14"/>
  <c r="S58" i="14"/>
  <c r="T58" i="14" s="1"/>
  <c r="A58" i="14"/>
  <c r="Y58" i="14"/>
  <c r="Z58" i="14" s="1"/>
  <c r="F58" i="14"/>
  <c r="P58" i="14" s="1"/>
  <c r="E58" i="14"/>
  <c r="C58" i="7"/>
  <c r="D58" i="14"/>
  <c r="Q58" i="14" s="1"/>
  <c r="M58" i="9"/>
  <c r="P58" i="9" s="1"/>
  <c r="E67" i="14"/>
  <c r="D67" i="14"/>
  <c r="Q67" i="14" s="1"/>
  <c r="Y67" i="14"/>
  <c r="Z67" i="14" s="1"/>
  <c r="N67" i="14"/>
  <c r="O67" i="14" s="1"/>
  <c r="A67" i="14"/>
  <c r="I67" i="14"/>
  <c r="J67" i="14" s="1"/>
  <c r="W67" i="14"/>
  <c r="X67" i="14" s="1"/>
  <c r="F67" i="14"/>
  <c r="P67" i="14" s="1"/>
  <c r="C67" i="14"/>
  <c r="U67" i="14"/>
  <c r="V67" i="14" s="1"/>
  <c r="B67" i="14"/>
  <c r="S67" i="14"/>
  <c r="T67" i="14" s="1"/>
  <c r="M67" i="14"/>
  <c r="C67" i="7"/>
  <c r="M67" i="9"/>
  <c r="O67" i="9" s="1"/>
  <c r="L74" i="9"/>
  <c r="R74" i="9" s="1"/>
  <c r="M85" i="9"/>
  <c r="AD85" i="14" s="1"/>
  <c r="F87" i="14"/>
  <c r="P87" i="14" s="1"/>
  <c r="S87" i="14"/>
  <c r="T87" i="14" s="1"/>
  <c r="I87" i="14"/>
  <c r="J87" i="14" s="1"/>
  <c r="B87" i="14"/>
  <c r="AD87" i="14"/>
  <c r="N87" i="14"/>
  <c r="O87" i="14" s="1"/>
  <c r="A87" i="14"/>
  <c r="M87" i="14"/>
  <c r="Y87" i="14"/>
  <c r="Z87" i="14" s="1"/>
  <c r="W87" i="14"/>
  <c r="X87" i="14" s="1"/>
  <c r="E87" i="14"/>
  <c r="D87" i="14"/>
  <c r="Q87" i="14" s="1"/>
  <c r="U87" i="14"/>
  <c r="V87" i="14" s="1"/>
  <c r="C87" i="14"/>
  <c r="C87" i="7"/>
  <c r="N87" i="9"/>
  <c r="O87" i="9" s="1"/>
  <c r="M91" i="9"/>
  <c r="AD91" i="14" s="1"/>
  <c r="F97" i="14"/>
  <c r="P97" i="14" s="1"/>
  <c r="S97" i="14"/>
  <c r="T97" i="14" s="1"/>
  <c r="D97" i="14"/>
  <c r="Q97" i="14" s="1"/>
  <c r="C97" i="14"/>
  <c r="N97" i="14"/>
  <c r="O97" i="14" s="1"/>
  <c r="M97" i="14"/>
  <c r="Y97" i="14"/>
  <c r="Z97" i="14" s="1"/>
  <c r="E97" i="14"/>
  <c r="B97" i="14"/>
  <c r="W97" i="14"/>
  <c r="X97" i="14" s="1"/>
  <c r="A97" i="14"/>
  <c r="U97" i="14"/>
  <c r="V97" i="14" s="1"/>
  <c r="C97" i="7"/>
  <c r="S107" i="14"/>
  <c r="T107" i="14" s="1"/>
  <c r="U107" i="14"/>
  <c r="V107" i="14" s="1"/>
  <c r="D107" i="14"/>
  <c r="Q107" i="14" s="1"/>
  <c r="C107" i="14"/>
  <c r="F107" i="14"/>
  <c r="P107" i="14" s="1"/>
  <c r="N107" i="14"/>
  <c r="O107" i="14" s="1"/>
  <c r="M107" i="14"/>
  <c r="I107" i="14"/>
  <c r="J107" i="14" s="1"/>
  <c r="E107" i="14"/>
  <c r="B107" i="14"/>
  <c r="Y107" i="14"/>
  <c r="Z107" i="14" s="1"/>
  <c r="A107" i="14"/>
  <c r="W107" i="14"/>
  <c r="X107" i="14" s="1"/>
  <c r="C107" i="7"/>
  <c r="M107" i="9"/>
  <c r="AD107" i="14" s="1"/>
  <c r="L109" i="9"/>
  <c r="R109" i="9" s="1"/>
  <c r="S122" i="14"/>
  <c r="T122" i="14" s="1"/>
  <c r="U122" i="14"/>
  <c r="V122" i="14" s="1"/>
  <c r="N122" i="14"/>
  <c r="O122" i="14" s="1"/>
  <c r="M122" i="14"/>
  <c r="F122" i="14"/>
  <c r="P122" i="14" s="1"/>
  <c r="Y122" i="14"/>
  <c r="Z122" i="14" s="1"/>
  <c r="E122" i="14"/>
  <c r="W122" i="14"/>
  <c r="X122" i="14" s="1"/>
  <c r="D122" i="14"/>
  <c r="Q122" i="14" s="1"/>
  <c r="C122" i="14"/>
  <c r="B122" i="14"/>
  <c r="A122" i="14"/>
  <c r="C122" i="7"/>
  <c r="M122" i="9"/>
  <c r="N131" i="14"/>
  <c r="O131" i="14" s="1"/>
  <c r="D131" i="14"/>
  <c r="Q131" i="14" s="1"/>
  <c r="W131" i="14"/>
  <c r="X131" i="14" s="1"/>
  <c r="M131" i="14"/>
  <c r="C131" i="14"/>
  <c r="B131" i="14"/>
  <c r="A131" i="14"/>
  <c r="F131" i="14"/>
  <c r="P131" i="14" s="1"/>
  <c r="I131" i="14"/>
  <c r="J131" i="14" s="1"/>
  <c r="Y131" i="14"/>
  <c r="Z131" i="14" s="1"/>
  <c r="U131" i="14"/>
  <c r="V131" i="14" s="1"/>
  <c r="E131" i="14"/>
  <c r="S131" i="14"/>
  <c r="T131" i="14" s="1"/>
  <c r="C131" i="7"/>
  <c r="N131" i="9"/>
  <c r="M131" i="9"/>
  <c r="AD131" i="14" s="1"/>
  <c r="AB170" i="14"/>
  <c r="AA170" i="14"/>
  <c r="Q170" i="14"/>
  <c r="G170" i="14"/>
  <c r="Z170" i="14"/>
  <c r="P170" i="14"/>
  <c r="F170" i="14"/>
  <c r="Y170" i="14"/>
  <c r="M170" i="14"/>
  <c r="A170" i="14"/>
  <c r="X170" i="14"/>
  <c r="L170" i="14"/>
  <c r="W170" i="14"/>
  <c r="K170" i="14"/>
  <c r="V170" i="14"/>
  <c r="J170" i="14"/>
  <c r="AD170" i="14"/>
  <c r="O170" i="14"/>
  <c r="C170" i="14"/>
  <c r="AC170" i="14"/>
  <c r="B170" i="14"/>
  <c r="U170" i="14"/>
  <c r="T170" i="14"/>
  <c r="S170" i="14"/>
  <c r="R170" i="14"/>
  <c r="N170" i="14"/>
  <c r="AH170" i="14"/>
  <c r="I170" i="14"/>
  <c r="AG170" i="14"/>
  <c r="H170" i="14"/>
  <c r="AF170" i="14"/>
  <c r="E170" i="14"/>
  <c r="AE170" i="14"/>
  <c r="D170" i="14"/>
  <c r="C170" i="7"/>
  <c r="B170" i="7"/>
  <c r="S35" i="14"/>
  <c r="T35" i="14" s="1"/>
  <c r="U35" i="14"/>
  <c r="V35" i="14" s="1"/>
  <c r="W35" i="14"/>
  <c r="X35" i="14" s="1"/>
  <c r="A35" i="14"/>
  <c r="Y35" i="14"/>
  <c r="Z35" i="14" s="1"/>
  <c r="F35" i="14"/>
  <c r="P35" i="14" s="1"/>
  <c r="E35" i="14"/>
  <c r="D35" i="14"/>
  <c r="Q35" i="14" s="1"/>
  <c r="B35" i="14"/>
  <c r="M35" i="14"/>
  <c r="C35" i="14"/>
  <c r="C35" i="7"/>
  <c r="N35" i="14"/>
  <c r="O35" i="14" s="1"/>
  <c r="N35" i="9"/>
  <c r="L35" i="9"/>
  <c r="R35" i="9" s="1"/>
  <c r="C54" i="7"/>
  <c r="O54" i="9"/>
  <c r="Y60" i="14"/>
  <c r="Z60" i="14" s="1"/>
  <c r="E60" i="14"/>
  <c r="U60" i="14"/>
  <c r="V60" i="14" s="1"/>
  <c r="N60" i="14"/>
  <c r="O60" i="14" s="1"/>
  <c r="A60" i="14"/>
  <c r="M60" i="14"/>
  <c r="C60" i="14"/>
  <c r="F60" i="14"/>
  <c r="P60" i="14" s="1"/>
  <c r="W60" i="14"/>
  <c r="X60" i="14" s="1"/>
  <c r="D60" i="14"/>
  <c r="Q60" i="14" s="1"/>
  <c r="B60" i="14"/>
  <c r="S60" i="14"/>
  <c r="T60" i="14" s="1"/>
  <c r="C60" i="7"/>
  <c r="N60" i="9"/>
  <c r="O60" i="9" s="1"/>
  <c r="L60" i="9"/>
  <c r="R60" i="9" s="1"/>
  <c r="N91" i="9"/>
  <c r="Y95" i="14"/>
  <c r="Z95" i="14" s="1"/>
  <c r="E95" i="14"/>
  <c r="N95" i="14"/>
  <c r="O95" i="14" s="1"/>
  <c r="D95" i="14"/>
  <c r="Q95" i="14" s="1"/>
  <c r="A95" i="14"/>
  <c r="M95" i="14"/>
  <c r="S95" i="14"/>
  <c r="T95" i="14" s="1"/>
  <c r="C95" i="14"/>
  <c r="W95" i="14"/>
  <c r="X95" i="14" s="1"/>
  <c r="F95" i="14"/>
  <c r="P95" i="14" s="1"/>
  <c r="B95" i="14"/>
  <c r="U95" i="14"/>
  <c r="V95" i="14" s="1"/>
  <c r="I95" i="14"/>
  <c r="J95" i="14" s="1"/>
  <c r="C95" i="7"/>
  <c r="N95" i="9"/>
  <c r="M95" i="9"/>
  <c r="U105" i="14"/>
  <c r="V105" i="14" s="1"/>
  <c r="I105" i="14"/>
  <c r="J105" i="14" s="1"/>
  <c r="W105" i="14"/>
  <c r="X105" i="14" s="1"/>
  <c r="A105" i="14"/>
  <c r="Y105" i="14"/>
  <c r="Z105" i="14" s="1"/>
  <c r="F105" i="14"/>
  <c r="P105" i="14" s="1"/>
  <c r="M105" i="14"/>
  <c r="N105" i="14"/>
  <c r="O105" i="14" s="1"/>
  <c r="E105" i="14"/>
  <c r="D105" i="14"/>
  <c r="Q105" i="14" s="1"/>
  <c r="C105" i="14"/>
  <c r="B105" i="14"/>
  <c r="S105" i="14"/>
  <c r="T105" i="14" s="1"/>
  <c r="C105" i="7"/>
  <c r="N105" i="9"/>
  <c r="O105" i="9" s="1"/>
  <c r="C139" i="7"/>
  <c r="AC152" i="14"/>
  <c r="S152" i="14"/>
  <c r="I152" i="14"/>
  <c r="AG152" i="14"/>
  <c r="V152" i="14"/>
  <c r="K152" i="14"/>
  <c r="AF152" i="14"/>
  <c r="U152" i="14"/>
  <c r="J152" i="14"/>
  <c r="X152" i="14"/>
  <c r="M152" i="14"/>
  <c r="B152" i="14"/>
  <c r="AB152" i="14"/>
  <c r="N152" i="14"/>
  <c r="AA152" i="14"/>
  <c r="L152" i="14"/>
  <c r="Z152" i="14"/>
  <c r="H152" i="14"/>
  <c r="Y152" i="14"/>
  <c r="G152" i="14"/>
  <c r="W152" i="14"/>
  <c r="F152" i="14"/>
  <c r="T152" i="14"/>
  <c r="E152" i="14"/>
  <c r="R152" i="14"/>
  <c r="D152" i="14"/>
  <c r="AH152" i="14"/>
  <c r="Q152" i="14"/>
  <c r="C152" i="14"/>
  <c r="AE152" i="14"/>
  <c r="P152" i="14"/>
  <c r="A152" i="14"/>
  <c r="AD152" i="14"/>
  <c r="O152" i="14"/>
  <c r="C152" i="7"/>
  <c r="J82" i="7"/>
  <c r="G82" i="14" s="1"/>
  <c r="H82" i="14" s="1"/>
  <c r="J92" i="7"/>
  <c r="G92" i="14" s="1"/>
  <c r="H92" i="14" s="1"/>
  <c r="J102" i="7"/>
  <c r="G102" i="14" s="1"/>
  <c r="H102" i="14" s="1"/>
  <c r="J112" i="7"/>
  <c r="G112" i="14" s="1"/>
  <c r="H112" i="14" s="1"/>
  <c r="J153" i="7"/>
  <c r="J154" i="7"/>
  <c r="N164" i="7"/>
  <c r="J179" i="7"/>
  <c r="N188" i="7"/>
  <c r="J196" i="7"/>
  <c r="J203" i="7"/>
  <c r="F80" i="13"/>
  <c r="G42" i="8"/>
  <c r="G80" i="13" s="1"/>
  <c r="F129" i="13"/>
  <c r="H91" i="8"/>
  <c r="H129" i="13" s="1"/>
  <c r="D22" i="11"/>
  <c r="D21" i="11"/>
  <c r="W16" i="14"/>
  <c r="X16" i="14" s="1"/>
  <c r="M16" i="14"/>
  <c r="C16" i="14"/>
  <c r="B16" i="14"/>
  <c r="Y16" i="14"/>
  <c r="Z16" i="14" s="1"/>
  <c r="E16" i="14"/>
  <c r="S16" i="14"/>
  <c r="T16" i="14" s="1"/>
  <c r="F16" i="14"/>
  <c r="P16" i="14" s="1"/>
  <c r="D16" i="14"/>
  <c r="Q16" i="14" s="1"/>
  <c r="A16" i="14"/>
  <c r="U16" i="14"/>
  <c r="V16" i="14" s="1"/>
  <c r="N16" i="14"/>
  <c r="O16" i="14" s="1"/>
  <c r="AD16" i="14"/>
  <c r="C16" i="7"/>
  <c r="Y21" i="14"/>
  <c r="Z21" i="14" s="1"/>
  <c r="E21" i="14"/>
  <c r="AD21" i="14"/>
  <c r="S21" i="14"/>
  <c r="T21" i="14" s="1"/>
  <c r="U21" i="14"/>
  <c r="V21" i="14" s="1"/>
  <c r="W21" i="14"/>
  <c r="X21" i="14" s="1"/>
  <c r="F21" i="14"/>
  <c r="P21" i="14" s="1"/>
  <c r="N21" i="14"/>
  <c r="O21" i="14" s="1"/>
  <c r="M21" i="14"/>
  <c r="D21" i="14"/>
  <c r="Q21" i="14" s="1"/>
  <c r="C21" i="14"/>
  <c r="B21" i="14"/>
  <c r="A21" i="14"/>
  <c r="C21" i="7"/>
  <c r="N21" i="9"/>
  <c r="O21" i="9" s="1"/>
  <c r="M35" i="9"/>
  <c r="AD35" i="14" s="1"/>
  <c r="U37" i="14"/>
  <c r="V37" i="14" s="1"/>
  <c r="A37" i="14"/>
  <c r="AD37" i="14"/>
  <c r="S37" i="14"/>
  <c r="T37" i="14" s="1"/>
  <c r="D37" i="14"/>
  <c r="Q37" i="14" s="1"/>
  <c r="C37" i="14"/>
  <c r="B37" i="14"/>
  <c r="M37" i="14"/>
  <c r="Y37" i="14"/>
  <c r="Z37" i="14" s="1"/>
  <c r="I37" i="14"/>
  <c r="J37" i="14" s="1"/>
  <c r="F37" i="14"/>
  <c r="P37" i="14" s="1"/>
  <c r="N37" i="14"/>
  <c r="O37" i="14" s="1"/>
  <c r="E37" i="14"/>
  <c r="W37" i="14"/>
  <c r="X37" i="14" s="1"/>
  <c r="C37" i="7"/>
  <c r="L44" i="9"/>
  <c r="R44" i="9" s="1"/>
  <c r="Y46" i="14"/>
  <c r="Z46" i="14" s="1"/>
  <c r="E46" i="14"/>
  <c r="M46" i="14"/>
  <c r="B46" i="14"/>
  <c r="W46" i="14"/>
  <c r="X46" i="14" s="1"/>
  <c r="A46" i="14"/>
  <c r="D46" i="14"/>
  <c r="Q46" i="14" s="1"/>
  <c r="AD46" i="14"/>
  <c r="N46" i="14"/>
  <c r="O46" i="14" s="1"/>
  <c r="U46" i="14"/>
  <c r="V46" i="14" s="1"/>
  <c r="F46" i="14"/>
  <c r="P46" i="14" s="1"/>
  <c r="S46" i="14"/>
  <c r="T46" i="14" s="1"/>
  <c r="C46" i="14"/>
  <c r="C46" i="7"/>
  <c r="N46" i="9"/>
  <c r="O46" i="9" s="1"/>
  <c r="P47" i="9"/>
  <c r="M60" i="9"/>
  <c r="I62" i="14"/>
  <c r="J62" i="14" s="1"/>
  <c r="AD62" i="14"/>
  <c r="S62" i="14"/>
  <c r="T62" i="14" s="1"/>
  <c r="B62" i="14"/>
  <c r="N62" i="14"/>
  <c r="O62" i="14" s="1"/>
  <c r="A62" i="14"/>
  <c r="D62" i="14"/>
  <c r="Q62" i="14" s="1"/>
  <c r="W62" i="14"/>
  <c r="X62" i="14" s="1"/>
  <c r="C62" i="14"/>
  <c r="U62" i="14"/>
  <c r="V62" i="14" s="1"/>
  <c r="M62" i="14"/>
  <c r="Y62" i="14"/>
  <c r="Z62" i="14" s="1"/>
  <c r="F62" i="14"/>
  <c r="P62" i="14" s="1"/>
  <c r="E62" i="14"/>
  <c r="C62" i="7"/>
  <c r="L69" i="9"/>
  <c r="R69" i="9" s="1"/>
  <c r="U71" i="14"/>
  <c r="V71" i="14" s="1"/>
  <c r="A71" i="14"/>
  <c r="Y71" i="14"/>
  <c r="Z71" i="14" s="1"/>
  <c r="N71" i="14"/>
  <c r="O71" i="14" s="1"/>
  <c r="C71" i="14"/>
  <c r="M71" i="14"/>
  <c r="B71" i="14"/>
  <c r="W71" i="14"/>
  <c r="X71" i="14" s="1"/>
  <c r="S71" i="14"/>
  <c r="T71" i="14" s="1"/>
  <c r="F71" i="14"/>
  <c r="P71" i="14" s="1"/>
  <c r="E71" i="14"/>
  <c r="AD71" i="14"/>
  <c r="D71" i="14"/>
  <c r="Q71" i="14" s="1"/>
  <c r="C71" i="7"/>
  <c r="N71" i="9"/>
  <c r="O71" i="9" s="1"/>
  <c r="P72" i="9"/>
  <c r="C89" i="7"/>
  <c r="M105" i="9"/>
  <c r="P105" i="9" s="1"/>
  <c r="C119" i="7"/>
  <c r="C124" i="7"/>
  <c r="S127" i="14"/>
  <c r="T127" i="14" s="1"/>
  <c r="N127" i="14"/>
  <c r="O127" i="14" s="1"/>
  <c r="B127" i="14"/>
  <c r="Y127" i="14"/>
  <c r="Z127" i="14" s="1"/>
  <c r="M127" i="14"/>
  <c r="A127" i="14"/>
  <c r="D127" i="14"/>
  <c r="Q127" i="14" s="1"/>
  <c r="W127" i="14"/>
  <c r="X127" i="14" s="1"/>
  <c r="F127" i="14"/>
  <c r="P127" i="14" s="1"/>
  <c r="E127" i="14"/>
  <c r="U127" i="14"/>
  <c r="V127" i="14" s="1"/>
  <c r="C127" i="14"/>
  <c r="C127" i="7"/>
  <c r="M127" i="9"/>
  <c r="L136" i="9"/>
  <c r="R136" i="9" s="1"/>
  <c r="AG166" i="14"/>
  <c r="W166" i="14"/>
  <c r="M166" i="14"/>
  <c r="C166" i="14"/>
  <c r="AF166" i="14"/>
  <c r="V166" i="14"/>
  <c r="L166" i="14"/>
  <c r="B166" i="14"/>
  <c r="Y166" i="14"/>
  <c r="K166" i="14"/>
  <c r="X166" i="14"/>
  <c r="J166" i="14"/>
  <c r="AA166" i="14"/>
  <c r="O166" i="14"/>
  <c r="A166" i="14"/>
  <c r="S166" i="14"/>
  <c r="D166" i="14"/>
  <c r="R166" i="14"/>
  <c r="AH166" i="14"/>
  <c r="Q166" i="14"/>
  <c r="AE166" i="14"/>
  <c r="P166" i="14"/>
  <c r="AD166" i="14"/>
  <c r="N166" i="14"/>
  <c r="AC166" i="14"/>
  <c r="I166" i="14"/>
  <c r="AB166" i="14"/>
  <c r="H166" i="14"/>
  <c r="Z166" i="14"/>
  <c r="G166" i="14"/>
  <c r="U166" i="14"/>
  <c r="F166" i="14"/>
  <c r="T166" i="14"/>
  <c r="E166" i="14"/>
  <c r="C166" i="7"/>
  <c r="C24" i="7"/>
  <c r="S30" i="14"/>
  <c r="T30" i="14" s="1"/>
  <c r="M30" i="14"/>
  <c r="B30" i="14"/>
  <c r="W30" i="14"/>
  <c r="X30" i="14" s="1"/>
  <c r="A30" i="14"/>
  <c r="D30" i="14"/>
  <c r="Q30" i="14" s="1"/>
  <c r="E30" i="14"/>
  <c r="C30" i="14"/>
  <c r="Y30" i="14"/>
  <c r="Z30" i="14" s="1"/>
  <c r="U30" i="14"/>
  <c r="V30" i="14" s="1"/>
  <c r="N30" i="14"/>
  <c r="O30" i="14" s="1"/>
  <c r="C30" i="7"/>
  <c r="N30" i="9"/>
  <c r="O30" i="9" s="1"/>
  <c r="F30" i="14"/>
  <c r="P30" i="14" s="1"/>
  <c r="Y41" i="14"/>
  <c r="Z41" i="14" s="1"/>
  <c r="E41" i="14"/>
  <c r="F41" i="14"/>
  <c r="P41" i="14" s="1"/>
  <c r="D41" i="14"/>
  <c r="Q41" i="14" s="1"/>
  <c r="S41" i="14"/>
  <c r="T41" i="14" s="1"/>
  <c r="W41" i="14"/>
  <c r="X41" i="14" s="1"/>
  <c r="B41" i="14"/>
  <c r="A41" i="14"/>
  <c r="N41" i="14"/>
  <c r="O41" i="14" s="1"/>
  <c r="M41" i="14"/>
  <c r="U41" i="14"/>
  <c r="V41" i="14" s="1"/>
  <c r="C41" i="14"/>
  <c r="C41" i="7"/>
  <c r="C49" i="7"/>
  <c r="S55" i="14"/>
  <c r="T55" i="14" s="1"/>
  <c r="I55" i="14"/>
  <c r="J55" i="14" s="1"/>
  <c r="W55" i="14"/>
  <c r="X55" i="14" s="1"/>
  <c r="Y55" i="14"/>
  <c r="Z55" i="14" s="1"/>
  <c r="M55" i="14"/>
  <c r="A55" i="14"/>
  <c r="F55" i="14"/>
  <c r="P55" i="14" s="1"/>
  <c r="E55" i="14"/>
  <c r="U55" i="14"/>
  <c r="V55" i="14" s="1"/>
  <c r="D55" i="14"/>
  <c r="Q55" i="14" s="1"/>
  <c r="C55" i="14"/>
  <c r="B55" i="14"/>
  <c r="N55" i="14"/>
  <c r="O55" i="14" s="1"/>
  <c r="C55" i="7"/>
  <c r="N55" i="9"/>
  <c r="O55" i="9" s="1"/>
  <c r="U66" i="14"/>
  <c r="V66" i="14" s="1"/>
  <c r="A66" i="14"/>
  <c r="F66" i="14"/>
  <c r="P66" i="14" s="1"/>
  <c r="E66" i="14"/>
  <c r="S66" i="14"/>
  <c r="T66" i="14" s="1"/>
  <c r="D66" i="14"/>
  <c r="Q66" i="14" s="1"/>
  <c r="C66" i="14"/>
  <c r="Y66" i="14"/>
  <c r="Z66" i="14" s="1"/>
  <c r="G66" i="14"/>
  <c r="H66" i="14" s="1"/>
  <c r="B66" i="14"/>
  <c r="W66" i="14"/>
  <c r="X66" i="14" s="1"/>
  <c r="N66" i="14"/>
  <c r="O66" i="14" s="1"/>
  <c r="M66" i="14"/>
  <c r="C66" i="7"/>
  <c r="C74" i="7"/>
  <c r="Y80" i="14"/>
  <c r="Z80" i="14" s="1"/>
  <c r="E80" i="14"/>
  <c r="N80" i="14"/>
  <c r="O80" i="14" s="1"/>
  <c r="D80" i="14"/>
  <c r="Q80" i="14" s="1"/>
  <c r="M80" i="14"/>
  <c r="A80" i="14"/>
  <c r="S80" i="14"/>
  <c r="T80" i="14" s="1"/>
  <c r="C80" i="14"/>
  <c r="B80" i="14"/>
  <c r="W80" i="14"/>
  <c r="X80" i="14" s="1"/>
  <c r="U80" i="14"/>
  <c r="V80" i="14" s="1"/>
  <c r="F80" i="14"/>
  <c r="P80" i="14" s="1"/>
  <c r="C80" i="7"/>
  <c r="N80" i="9"/>
  <c r="O80" i="9" s="1"/>
  <c r="F82" i="14"/>
  <c r="P82" i="14" s="1"/>
  <c r="U82" i="14"/>
  <c r="V82" i="14" s="1"/>
  <c r="I82" i="14"/>
  <c r="J82" i="14" s="1"/>
  <c r="M82" i="14"/>
  <c r="Y82" i="14"/>
  <c r="Z82" i="14" s="1"/>
  <c r="K82" i="14"/>
  <c r="L82" i="14" s="1"/>
  <c r="W82" i="14"/>
  <c r="X82" i="14" s="1"/>
  <c r="E82" i="14"/>
  <c r="D82" i="14"/>
  <c r="Q82" i="14" s="1"/>
  <c r="S82" i="14"/>
  <c r="T82" i="14" s="1"/>
  <c r="C82" i="14"/>
  <c r="B82" i="14"/>
  <c r="A82" i="14"/>
  <c r="N82" i="14"/>
  <c r="O82" i="14" s="1"/>
  <c r="C82" i="7"/>
  <c r="M82" i="9"/>
  <c r="P82" i="9" s="1"/>
  <c r="L82" i="9"/>
  <c r="R82" i="9" s="1"/>
  <c r="P96" i="9"/>
  <c r="O97" i="9"/>
  <c r="C109" i="7"/>
  <c r="N116" i="14"/>
  <c r="O116" i="14" s="1"/>
  <c r="D116" i="14"/>
  <c r="Q116" i="14" s="1"/>
  <c r="W116" i="14"/>
  <c r="X116" i="14" s="1"/>
  <c r="M116" i="14"/>
  <c r="C116" i="14"/>
  <c r="Y116" i="14"/>
  <c r="Z116" i="14" s="1"/>
  <c r="B116" i="14"/>
  <c r="U116" i="14"/>
  <c r="V116" i="14" s="1"/>
  <c r="F116" i="14"/>
  <c r="P116" i="14" s="1"/>
  <c r="E116" i="14"/>
  <c r="S116" i="14"/>
  <c r="T116" i="14" s="1"/>
  <c r="A116" i="14"/>
  <c r="C116" i="7"/>
  <c r="N116" i="9"/>
  <c r="N120" i="14"/>
  <c r="O120" i="14" s="1"/>
  <c r="B120" i="14"/>
  <c r="Y120" i="14"/>
  <c r="Z120" i="14" s="1"/>
  <c r="M120" i="14"/>
  <c r="A120" i="14"/>
  <c r="D120" i="14"/>
  <c r="Q120" i="14" s="1"/>
  <c r="I120" i="14"/>
  <c r="J120" i="14" s="1"/>
  <c r="W120" i="14"/>
  <c r="X120" i="14" s="1"/>
  <c r="F120" i="14"/>
  <c r="P120" i="14" s="1"/>
  <c r="E120" i="14"/>
  <c r="U120" i="14"/>
  <c r="V120" i="14" s="1"/>
  <c r="C120" i="14"/>
  <c r="S120" i="14"/>
  <c r="T120" i="14" s="1"/>
  <c r="C120" i="7"/>
  <c r="N120" i="9"/>
  <c r="M120" i="9"/>
  <c r="P120" i="9" s="1"/>
  <c r="G145" i="14"/>
  <c r="H145" i="14" s="1"/>
  <c r="Y145" i="14"/>
  <c r="Z145" i="14" s="1"/>
  <c r="W145" i="14"/>
  <c r="X145" i="14" s="1"/>
  <c r="F145" i="14"/>
  <c r="P145" i="14" s="1"/>
  <c r="U145" i="14"/>
  <c r="V145" i="14" s="1"/>
  <c r="E145" i="14"/>
  <c r="S145" i="14"/>
  <c r="T145" i="14" s="1"/>
  <c r="D145" i="14"/>
  <c r="Q145" i="14" s="1"/>
  <c r="C145" i="14"/>
  <c r="B145" i="14"/>
  <c r="N145" i="14"/>
  <c r="O145" i="14" s="1"/>
  <c r="A145" i="14"/>
  <c r="M145" i="14"/>
  <c r="C145" i="7"/>
  <c r="B85" i="7"/>
  <c r="H27" i="8"/>
  <c r="H65" i="13" s="1"/>
  <c r="F73" i="13"/>
  <c r="H35" i="8"/>
  <c r="H73" i="13" s="1"/>
  <c r="F96" i="13"/>
  <c r="H58" i="8"/>
  <c r="H96" i="13" s="1"/>
  <c r="H61" i="8"/>
  <c r="H99" i="13" s="1"/>
  <c r="W6" i="14"/>
  <c r="X6" i="14" s="1"/>
  <c r="M6" i="14"/>
  <c r="C6" i="14"/>
  <c r="D6" i="14"/>
  <c r="Q6" i="14" s="1"/>
  <c r="B6" i="14"/>
  <c r="AD6" i="14"/>
  <c r="F6" i="14"/>
  <c r="P6" i="14" s="1"/>
  <c r="U6" i="14"/>
  <c r="V6" i="14" s="1"/>
  <c r="E6" i="14"/>
  <c r="A6" i="14"/>
  <c r="S6" i="14"/>
  <c r="T6" i="14" s="1"/>
  <c r="N6" i="14"/>
  <c r="O6" i="14" s="1"/>
  <c r="C6" i="7"/>
  <c r="Y6" i="14"/>
  <c r="Z6" i="14" s="1"/>
  <c r="W11" i="14"/>
  <c r="X11" i="14" s="1"/>
  <c r="M11" i="14"/>
  <c r="C11" i="14"/>
  <c r="B11" i="14"/>
  <c r="S11" i="14"/>
  <c r="T11" i="14" s="1"/>
  <c r="N11" i="14"/>
  <c r="O11" i="14" s="1"/>
  <c r="F11" i="14"/>
  <c r="P11" i="14" s="1"/>
  <c r="Y11" i="14"/>
  <c r="Z11" i="14" s="1"/>
  <c r="E11" i="14"/>
  <c r="U11" i="14"/>
  <c r="V11" i="14" s="1"/>
  <c r="D11" i="14"/>
  <c r="Q11" i="14" s="1"/>
  <c r="A11" i="14"/>
  <c r="C11" i="7"/>
  <c r="N16" i="9"/>
  <c r="O16" i="9" s="1"/>
  <c r="C19" i="7"/>
  <c r="L25" i="9"/>
  <c r="R25" i="9" s="1"/>
  <c r="M30" i="9"/>
  <c r="P30" i="9" s="1"/>
  <c r="U32" i="14"/>
  <c r="V32" i="14" s="1"/>
  <c r="A32" i="14"/>
  <c r="W32" i="14"/>
  <c r="X32" i="14" s="1"/>
  <c r="Y32" i="14"/>
  <c r="Z32" i="14" s="1"/>
  <c r="N32" i="14"/>
  <c r="O32" i="14" s="1"/>
  <c r="C32" i="14"/>
  <c r="D32" i="14"/>
  <c r="Q32" i="14" s="1"/>
  <c r="M32" i="14"/>
  <c r="F32" i="14"/>
  <c r="P32" i="14" s="1"/>
  <c r="E32" i="14"/>
  <c r="B32" i="14"/>
  <c r="C32" i="7"/>
  <c r="S32" i="14"/>
  <c r="T32" i="14" s="1"/>
  <c r="M32" i="9"/>
  <c r="O32" i="9" s="1"/>
  <c r="L32" i="9"/>
  <c r="R32" i="9" s="1"/>
  <c r="N37" i="9"/>
  <c r="O37" i="9" s="1"/>
  <c r="M41" i="9"/>
  <c r="P41" i="9" s="1"/>
  <c r="L50" i="9"/>
  <c r="R50" i="9" s="1"/>
  <c r="M55" i="9"/>
  <c r="P55" i="9" s="1"/>
  <c r="W57" i="14"/>
  <c r="X57" i="14" s="1"/>
  <c r="A57" i="14"/>
  <c r="S57" i="14"/>
  <c r="T57" i="14" s="1"/>
  <c r="E57" i="14"/>
  <c r="D57" i="14"/>
  <c r="Q57" i="14" s="1"/>
  <c r="U57" i="14"/>
  <c r="V57" i="14" s="1"/>
  <c r="N57" i="14"/>
  <c r="O57" i="14" s="1"/>
  <c r="M57" i="14"/>
  <c r="I57" i="14"/>
  <c r="J57" i="14" s="1"/>
  <c r="F57" i="14"/>
  <c r="P57" i="14" s="1"/>
  <c r="Y57" i="14"/>
  <c r="Z57" i="14" s="1"/>
  <c r="C57" i="14"/>
  <c r="B57" i="14"/>
  <c r="C57" i="7"/>
  <c r="M57" i="9"/>
  <c r="O57" i="9" s="1"/>
  <c r="L57" i="9"/>
  <c r="R57" i="9" s="1"/>
  <c r="N62" i="9"/>
  <c r="O62" i="9" s="1"/>
  <c r="M66" i="9"/>
  <c r="L75" i="9"/>
  <c r="R75" i="9" s="1"/>
  <c r="M80" i="9"/>
  <c r="N82" i="9"/>
  <c r="L84" i="9"/>
  <c r="R84" i="9" s="1"/>
  <c r="L90" i="9"/>
  <c r="R90" i="9" s="1"/>
  <c r="C99" i="7"/>
  <c r="L110" i="9"/>
  <c r="R110" i="9" s="1"/>
  <c r="M116" i="9"/>
  <c r="Z148" i="14"/>
  <c r="P148" i="14"/>
  <c r="F148" i="14"/>
  <c r="Y148" i="14"/>
  <c r="O148" i="14"/>
  <c r="E148" i="14"/>
  <c r="AB148" i="14"/>
  <c r="R148" i="14"/>
  <c r="H148" i="14"/>
  <c r="W148" i="14"/>
  <c r="J148" i="14"/>
  <c r="V148" i="14"/>
  <c r="I148" i="14"/>
  <c r="AH148" i="14"/>
  <c r="U148" i="14"/>
  <c r="G148" i="14"/>
  <c r="AG148" i="14"/>
  <c r="T148" i="14"/>
  <c r="D148" i="14"/>
  <c r="AF148" i="14"/>
  <c r="S148" i="14"/>
  <c r="C148" i="14"/>
  <c r="AE148" i="14"/>
  <c r="Q148" i="14"/>
  <c r="B148" i="14"/>
  <c r="AD148" i="14"/>
  <c r="N148" i="14"/>
  <c r="A148" i="14"/>
  <c r="AC148" i="14"/>
  <c r="M148" i="14"/>
  <c r="AA148" i="14"/>
  <c r="L148" i="14"/>
  <c r="K148" i="14"/>
  <c r="X148" i="14"/>
  <c r="C148" i="7"/>
  <c r="G69" i="13"/>
  <c r="C22" i="11"/>
  <c r="C14" i="7"/>
  <c r="F23" i="14"/>
  <c r="P23" i="14" s="1"/>
  <c r="E23" i="14"/>
  <c r="U23" i="14"/>
  <c r="V23" i="14" s="1"/>
  <c r="C23" i="14"/>
  <c r="S23" i="14"/>
  <c r="T23" i="14" s="1"/>
  <c r="B23" i="14"/>
  <c r="W23" i="14"/>
  <c r="X23" i="14" s="1"/>
  <c r="M23" i="14"/>
  <c r="K23" i="14"/>
  <c r="L23" i="14" s="1"/>
  <c r="D23" i="14"/>
  <c r="Q23" i="14" s="1"/>
  <c r="Y23" i="14"/>
  <c r="Z23" i="14" s="1"/>
  <c r="A23" i="14"/>
  <c r="C23" i="7"/>
  <c r="N23" i="14"/>
  <c r="O23" i="14" s="1"/>
  <c r="M23" i="9"/>
  <c r="O23" i="9" s="1"/>
  <c r="N41" i="9"/>
  <c r="C44" i="7"/>
  <c r="W48" i="14"/>
  <c r="X48" i="14" s="1"/>
  <c r="A48" i="14"/>
  <c r="Y48" i="14"/>
  <c r="Z48" i="14" s="1"/>
  <c r="N48" i="14"/>
  <c r="O48" i="14" s="1"/>
  <c r="C48" i="14"/>
  <c r="I48" i="14"/>
  <c r="J48" i="14" s="1"/>
  <c r="U48" i="14"/>
  <c r="V48" i="14" s="1"/>
  <c r="F48" i="14"/>
  <c r="P48" i="14" s="1"/>
  <c r="S48" i="14"/>
  <c r="T48" i="14" s="1"/>
  <c r="D48" i="14"/>
  <c r="Q48" i="14" s="1"/>
  <c r="B48" i="14"/>
  <c r="M48" i="14"/>
  <c r="E48" i="14"/>
  <c r="C48" i="7"/>
  <c r="M48" i="9"/>
  <c r="P48" i="9" s="1"/>
  <c r="N66" i="9"/>
  <c r="C69" i="7"/>
  <c r="O69" i="9"/>
  <c r="W73" i="14"/>
  <c r="X73" i="14" s="1"/>
  <c r="M73" i="14"/>
  <c r="C73" i="14"/>
  <c r="A73" i="14"/>
  <c r="D73" i="14"/>
  <c r="Q73" i="14" s="1"/>
  <c r="B73" i="14"/>
  <c r="N73" i="14"/>
  <c r="O73" i="14" s="1"/>
  <c r="Y73" i="14"/>
  <c r="Z73" i="14" s="1"/>
  <c r="I73" i="14"/>
  <c r="J73" i="14" s="1"/>
  <c r="U73" i="14"/>
  <c r="V73" i="14" s="1"/>
  <c r="S73" i="14"/>
  <c r="T73" i="14" s="1"/>
  <c r="F73" i="14"/>
  <c r="P73" i="14" s="1"/>
  <c r="E73" i="14"/>
  <c r="C73" i="7"/>
  <c r="M73" i="9"/>
  <c r="W88" i="14"/>
  <c r="X88" i="14" s="1"/>
  <c r="M88" i="14"/>
  <c r="C88" i="14"/>
  <c r="B88" i="14"/>
  <c r="Y88" i="14"/>
  <c r="Z88" i="14" s="1"/>
  <c r="E88" i="14"/>
  <c r="S88" i="14"/>
  <c r="T88" i="14" s="1"/>
  <c r="A88" i="14"/>
  <c r="N88" i="14"/>
  <c r="O88" i="14" s="1"/>
  <c r="U88" i="14"/>
  <c r="V88" i="14" s="1"/>
  <c r="F88" i="14"/>
  <c r="P88" i="14" s="1"/>
  <c r="D88" i="14"/>
  <c r="Q88" i="14" s="1"/>
  <c r="C88" i="7"/>
  <c r="M88" i="9"/>
  <c r="AD88" i="14" s="1"/>
  <c r="U96" i="14"/>
  <c r="V96" i="14" s="1"/>
  <c r="A96" i="14"/>
  <c r="W96" i="14"/>
  <c r="X96" i="14" s="1"/>
  <c r="M96" i="14"/>
  <c r="C96" i="14"/>
  <c r="Y96" i="14"/>
  <c r="Z96" i="14" s="1"/>
  <c r="N96" i="14"/>
  <c r="O96" i="14" s="1"/>
  <c r="F96" i="14"/>
  <c r="P96" i="14" s="1"/>
  <c r="E96" i="14"/>
  <c r="D96" i="14"/>
  <c r="Q96" i="14" s="1"/>
  <c r="S96" i="14"/>
  <c r="T96" i="14" s="1"/>
  <c r="B96" i="14"/>
  <c r="C96" i="7"/>
  <c r="N96" i="9"/>
  <c r="L96" i="9"/>
  <c r="R96" i="9" s="1"/>
  <c r="F102" i="14"/>
  <c r="P102" i="14" s="1"/>
  <c r="S102" i="14"/>
  <c r="T102" i="14" s="1"/>
  <c r="I102" i="14"/>
  <c r="J102" i="14" s="1"/>
  <c r="U102" i="14"/>
  <c r="V102" i="14" s="1"/>
  <c r="E102" i="14"/>
  <c r="D102" i="14"/>
  <c r="Q102" i="14" s="1"/>
  <c r="W102" i="14"/>
  <c r="X102" i="14" s="1"/>
  <c r="K102" i="14"/>
  <c r="L102" i="14" s="1"/>
  <c r="Y102" i="14"/>
  <c r="Z102" i="14" s="1"/>
  <c r="C102" i="14"/>
  <c r="B102" i="14"/>
  <c r="A102" i="14"/>
  <c r="N102" i="14"/>
  <c r="O102" i="14" s="1"/>
  <c r="M102" i="14"/>
  <c r="C102" i="7"/>
  <c r="M102" i="9"/>
  <c r="P102" i="9" s="1"/>
  <c r="L102" i="9"/>
  <c r="R102" i="9" s="1"/>
  <c r="N106" i="14"/>
  <c r="O106" i="14" s="1"/>
  <c r="D106" i="14"/>
  <c r="Q106" i="14" s="1"/>
  <c r="S106" i="14"/>
  <c r="T106" i="14" s="1"/>
  <c r="W106" i="14"/>
  <c r="X106" i="14" s="1"/>
  <c r="F106" i="14"/>
  <c r="P106" i="14" s="1"/>
  <c r="U106" i="14"/>
  <c r="V106" i="14" s="1"/>
  <c r="E106" i="14"/>
  <c r="C106" i="14"/>
  <c r="B106" i="14"/>
  <c r="Y106" i="14"/>
  <c r="Z106" i="14" s="1"/>
  <c r="A106" i="14"/>
  <c r="M106" i="14"/>
  <c r="C106" i="7"/>
  <c r="N106" i="9"/>
  <c r="O106" i="9" s="1"/>
  <c r="M106" i="9"/>
  <c r="AD106" i="14" s="1"/>
  <c r="F108" i="14"/>
  <c r="P108" i="14" s="1"/>
  <c r="S108" i="14"/>
  <c r="T108" i="14" s="1"/>
  <c r="U108" i="14"/>
  <c r="V108" i="14" s="1"/>
  <c r="B108" i="14"/>
  <c r="A108" i="14"/>
  <c r="D108" i="14"/>
  <c r="Q108" i="14" s="1"/>
  <c r="E108" i="14"/>
  <c r="Y108" i="14"/>
  <c r="Z108" i="14" s="1"/>
  <c r="C108" i="14"/>
  <c r="W108" i="14"/>
  <c r="X108" i="14" s="1"/>
  <c r="N108" i="14"/>
  <c r="O108" i="14" s="1"/>
  <c r="M108" i="14"/>
  <c r="I108" i="14"/>
  <c r="J108" i="14" s="1"/>
  <c r="C108" i="7"/>
  <c r="M108" i="9"/>
  <c r="P108" i="9" s="1"/>
  <c r="S112" i="14"/>
  <c r="T112" i="14" s="1"/>
  <c r="I112" i="14"/>
  <c r="J112" i="14" s="1"/>
  <c r="W112" i="14"/>
  <c r="X112" i="14" s="1"/>
  <c r="N112" i="14"/>
  <c r="O112" i="14" s="1"/>
  <c r="B112" i="14"/>
  <c r="M112" i="14"/>
  <c r="Y112" i="14"/>
  <c r="Z112" i="14" s="1"/>
  <c r="F112" i="14"/>
  <c r="P112" i="14" s="1"/>
  <c r="E112" i="14"/>
  <c r="C112" i="14"/>
  <c r="U112" i="14"/>
  <c r="V112" i="14" s="1"/>
  <c r="D112" i="14"/>
  <c r="Q112" i="14" s="1"/>
  <c r="A112" i="14"/>
  <c r="C112" i="7"/>
  <c r="N112" i="9"/>
  <c r="L112" i="9"/>
  <c r="R112" i="9" s="1"/>
  <c r="F123" i="14"/>
  <c r="P123" i="14" s="1"/>
  <c r="Y123" i="14"/>
  <c r="Z123" i="14" s="1"/>
  <c r="E123" i="14"/>
  <c r="W123" i="14"/>
  <c r="X123" i="14" s="1"/>
  <c r="N123" i="14"/>
  <c r="O123" i="14" s="1"/>
  <c r="B123" i="14"/>
  <c r="M123" i="14"/>
  <c r="U123" i="14"/>
  <c r="V123" i="14" s="1"/>
  <c r="D123" i="14"/>
  <c r="Q123" i="14" s="1"/>
  <c r="C123" i="14"/>
  <c r="S123" i="14"/>
  <c r="T123" i="14" s="1"/>
  <c r="A123" i="14"/>
  <c r="C123" i="7"/>
  <c r="M123" i="9"/>
  <c r="P123" i="9" s="1"/>
  <c r="N123" i="9"/>
  <c r="S132" i="14"/>
  <c r="T132" i="14" s="1"/>
  <c r="I132" i="14"/>
  <c r="J132" i="14" s="1"/>
  <c r="F132" i="14"/>
  <c r="P132" i="14" s="1"/>
  <c r="E132" i="14"/>
  <c r="N132" i="14"/>
  <c r="O132" i="14" s="1"/>
  <c r="M132" i="14"/>
  <c r="Y132" i="14"/>
  <c r="Z132" i="14" s="1"/>
  <c r="D132" i="14"/>
  <c r="Q132" i="14" s="1"/>
  <c r="W132" i="14"/>
  <c r="X132" i="14" s="1"/>
  <c r="C132" i="14"/>
  <c r="U132" i="14"/>
  <c r="V132" i="14" s="1"/>
  <c r="B132" i="14"/>
  <c r="A132" i="14"/>
  <c r="C132" i="7"/>
  <c r="M132" i="9"/>
  <c r="O132" i="9" s="1"/>
  <c r="L132" i="9"/>
  <c r="R132" i="9" s="1"/>
  <c r="C39" i="7"/>
  <c r="U52" i="14"/>
  <c r="V52" i="14" s="1"/>
  <c r="A52" i="14"/>
  <c r="Y52" i="14"/>
  <c r="Z52" i="14" s="1"/>
  <c r="M52" i="14"/>
  <c r="C52" i="14"/>
  <c r="E52" i="14"/>
  <c r="S52" i="14"/>
  <c r="T52" i="14" s="1"/>
  <c r="D52" i="14"/>
  <c r="Q52" i="14" s="1"/>
  <c r="B52" i="14"/>
  <c r="N52" i="14"/>
  <c r="O52" i="14" s="1"/>
  <c r="I52" i="14"/>
  <c r="J52" i="14" s="1"/>
  <c r="F52" i="14"/>
  <c r="P52" i="14" s="1"/>
  <c r="C52" i="7"/>
  <c r="W52" i="14"/>
  <c r="X52" i="14" s="1"/>
  <c r="C64" i="7"/>
  <c r="O64" i="9"/>
  <c r="F77" i="14"/>
  <c r="P77" i="14" s="1"/>
  <c r="C77" i="14"/>
  <c r="N77" i="14"/>
  <c r="O77" i="14" s="1"/>
  <c r="B77" i="14"/>
  <c r="Y77" i="14"/>
  <c r="Z77" i="14" s="1"/>
  <c r="W77" i="14"/>
  <c r="X77" i="14" s="1"/>
  <c r="I77" i="14"/>
  <c r="J77" i="14" s="1"/>
  <c r="U77" i="14"/>
  <c r="V77" i="14" s="1"/>
  <c r="E77" i="14"/>
  <c r="D77" i="14"/>
  <c r="Q77" i="14" s="1"/>
  <c r="S77" i="14"/>
  <c r="T77" i="14" s="1"/>
  <c r="A77" i="14"/>
  <c r="M77" i="14"/>
  <c r="C77" i="7"/>
  <c r="E32" i="16"/>
  <c r="D17" i="11"/>
  <c r="G6" i="8"/>
  <c r="G44" i="13" s="1"/>
  <c r="C9" i="7"/>
  <c r="S20" i="14"/>
  <c r="T20" i="14" s="1"/>
  <c r="Y20" i="14"/>
  <c r="Z20" i="14" s="1"/>
  <c r="N20" i="14"/>
  <c r="O20" i="14" s="1"/>
  <c r="C20" i="14"/>
  <c r="W20" i="14"/>
  <c r="X20" i="14" s="1"/>
  <c r="B20" i="14"/>
  <c r="U20" i="14"/>
  <c r="V20" i="14" s="1"/>
  <c r="A20" i="14"/>
  <c r="M20" i="14"/>
  <c r="F20" i="14"/>
  <c r="P20" i="14" s="1"/>
  <c r="E20" i="14"/>
  <c r="C20" i="7"/>
  <c r="D20" i="14"/>
  <c r="Q20" i="14" s="1"/>
  <c r="N20" i="9"/>
  <c r="U27" i="14"/>
  <c r="V27" i="14" s="1"/>
  <c r="A27" i="14"/>
  <c r="D27" i="14"/>
  <c r="Q27" i="14" s="1"/>
  <c r="Y27" i="14"/>
  <c r="Z27" i="14" s="1"/>
  <c r="N27" i="14"/>
  <c r="O27" i="14" s="1"/>
  <c r="C27" i="14"/>
  <c r="F27" i="14"/>
  <c r="P27" i="14" s="1"/>
  <c r="I27" i="14"/>
  <c r="J27" i="14" s="1"/>
  <c r="M27" i="14"/>
  <c r="E27" i="14"/>
  <c r="W27" i="14"/>
  <c r="X27" i="14" s="1"/>
  <c r="B27" i="14"/>
  <c r="S27" i="14"/>
  <c r="T27" i="14" s="1"/>
  <c r="C27" i="7"/>
  <c r="N8" i="7"/>
  <c r="K8" i="14" s="1"/>
  <c r="L8" i="14" s="1"/>
  <c r="A21" i="7"/>
  <c r="D23" i="7"/>
  <c r="I26" i="7"/>
  <c r="N28" i="7"/>
  <c r="K28" i="14" s="1"/>
  <c r="L28" i="14" s="1"/>
  <c r="F35" i="7"/>
  <c r="N38" i="7"/>
  <c r="K38" i="14" s="1"/>
  <c r="L38" i="14" s="1"/>
  <c r="A41" i="7"/>
  <c r="N48" i="7"/>
  <c r="K48" i="14" s="1"/>
  <c r="L48" i="14" s="1"/>
  <c r="B52" i="7"/>
  <c r="F55" i="7"/>
  <c r="I56" i="7"/>
  <c r="N58" i="7"/>
  <c r="K58" i="14" s="1"/>
  <c r="L58" i="14" s="1"/>
  <c r="I66" i="7"/>
  <c r="N68" i="7"/>
  <c r="K68" i="14" s="1"/>
  <c r="L68" i="14" s="1"/>
  <c r="I76" i="7"/>
  <c r="F85" i="7"/>
  <c r="I86" i="7"/>
  <c r="A91" i="7"/>
  <c r="I96" i="7"/>
  <c r="N98" i="7"/>
  <c r="K98" i="14" s="1"/>
  <c r="L98" i="14" s="1"/>
  <c r="N108" i="7"/>
  <c r="K108" i="14" s="1"/>
  <c r="L108" i="14" s="1"/>
  <c r="I116" i="7"/>
  <c r="N118" i="7"/>
  <c r="K118" i="14" s="1"/>
  <c r="L118" i="14" s="1"/>
  <c r="N128" i="7"/>
  <c r="K128" i="14" s="1"/>
  <c r="L128" i="14" s="1"/>
  <c r="I136" i="7"/>
  <c r="N138" i="7"/>
  <c r="K138" i="14" s="1"/>
  <c r="L138" i="14" s="1"/>
  <c r="I146" i="7"/>
  <c r="N148" i="7"/>
  <c r="I158" i="7"/>
  <c r="N161" i="7"/>
  <c r="N167" i="7"/>
  <c r="J184" i="7"/>
  <c r="N185" i="7"/>
  <c r="Q201" i="7"/>
  <c r="H6" i="8"/>
  <c r="H44" i="13" s="1"/>
  <c r="G10" i="8"/>
  <c r="G48" i="13" s="1"/>
  <c r="H17" i="8"/>
  <c r="H55" i="13" s="1"/>
  <c r="H24" i="8"/>
  <c r="H62" i="13" s="1"/>
  <c r="H28" i="8"/>
  <c r="H66" i="13" s="1"/>
  <c r="F70" i="13"/>
  <c r="G32" i="8"/>
  <c r="G70" i="13" s="1"/>
  <c r="G36" i="8"/>
  <c r="G74" i="13" s="1"/>
  <c r="F78" i="13"/>
  <c r="H40" i="8"/>
  <c r="H78" i="13" s="1"/>
  <c r="F82" i="13"/>
  <c r="G44" i="8"/>
  <c r="G82" i="13" s="1"/>
  <c r="H77" i="8"/>
  <c r="H115" i="13" s="1"/>
  <c r="H84" i="8"/>
  <c r="H122" i="13" s="1"/>
  <c r="Y8" i="14"/>
  <c r="Z8" i="14" s="1"/>
  <c r="E8" i="14"/>
  <c r="N8" i="14"/>
  <c r="O8" i="14" s="1"/>
  <c r="D8" i="14"/>
  <c r="Q8" i="14" s="1"/>
  <c r="U8" i="14"/>
  <c r="V8" i="14" s="1"/>
  <c r="W8" i="14"/>
  <c r="X8" i="14" s="1"/>
  <c r="F8" i="14"/>
  <c r="P8" i="14" s="1"/>
  <c r="C8" i="14"/>
  <c r="S8" i="14"/>
  <c r="T8" i="14" s="1"/>
  <c r="B8" i="14"/>
  <c r="A8" i="14"/>
  <c r="M8" i="14"/>
  <c r="C8" i="7"/>
  <c r="M8" i="9"/>
  <c r="P8" i="9" s="1"/>
  <c r="Y13" i="14"/>
  <c r="Z13" i="14" s="1"/>
  <c r="E13" i="14"/>
  <c r="N13" i="14"/>
  <c r="O13" i="14" s="1"/>
  <c r="D13" i="14"/>
  <c r="Q13" i="14" s="1"/>
  <c r="I13" i="14"/>
  <c r="J13" i="14" s="1"/>
  <c r="U13" i="14"/>
  <c r="V13" i="14" s="1"/>
  <c r="K13" i="14"/>
  <c r="L13" i="14" s="1"/>
  <c r="C13" i="14"/>
  <c r="W13" i="14"/>
  <c r="X13" i="14" s="1"/>
  <c r="B13" i="14"/>
  <c r="A13" i="14"/>
  <c r="S13" i="14"/>
  <c r="T13" i="14" s="1"/>
  <c r="M13" i="14"/>
  <c r="C13" i="7"/>
  <c r="F13" i="14"/>
  <c r="P13" i="14" s="1"/>
  <c r="M13" i="9"/>
  <c r="AD13" i="14" s="1"/>
  <c r="L15" i="9"/>
  <c r="R15" i="9" s="1"/>
  <c r="M20" i="9"/>
  <c r="AD20" i="14" s="1"/>
  <c r="M27" i="9"/>
  <c r="AD27" i="14" s="1"/>
  <c r="S45" i="14"/>
  <c r="T45" i="14" s="1"/>
  <c r="Y45" i="14"/>
  <c r="Z45" i="14" s="1"/>
  <c r="N45" i="14"/>
  <c r="O45" i="14" s="1"/>
  <c r="C45" i="14"/>
  <c r="M45" i="14"/>
  <c r="B45" i="14"/>
  <c r="E45" i="14"/>
  <c r="A45" i="14"/>
  <c r="W45" i="14"/>
  <c r="X45" i="14" s="1"/>
  <c r="G45" i="14"/>
  <c r="H45" i="14" s="1"/>
  <c r="U45" i="14"/>
  <c r="V45" i="14" s="1"/>
  <c r="F45" i="14"/>
  <c r="P45" i="14" s="1"/>
  <c r="D45" i="14"/>
  <c r="Q45" i="14" s="1"/>
  <c r="C45" i="7"/>
  <c r="N45" i="9"/>
  <c r="M52" i="9"/>
  <c r="Y70" i="14"/>
  <c r="Z70" i="14" s="1"/>
  <c r="E70" i="14"/>
  <c r="N70" i="14"/>
  <c r="O70" i="14" s="1"/>
  <c r="C70" i="14"/>
  <c r="M70" i="14"/>
  <c r="B70" i="14"/>
  <c r="U70" i="14"/>
  <c r="V70" i="14" s="1"/>
  <c r="S70" i="14"/>
  <c r="T70" i="14" s="1"/>
  <c r="F70" i="14"/>
  <c r="P70" i="14" s="1"/>
  <c r="D70" i="14"/>
  <c r="Q70" i="14" s="1"/>
  <c r="A70" i="14"/>
  <c r="W70" i="14"/>
  <c r="X70" i="14" s="1"/>
  <c r="C70" i="7"/>
  <c r="N70" i="9"/>
  <c r="O70" i="9" s="1"/>
  <c r="O73" i="9"/>
  <c r="M77" i="9"/>
  <c r="P77" i="9" s="1"/>
  <c r="C84" i="7"/>
  <c r="W98" i="14"/>
  <c r="X98" i="14" s="1"/>
  <c r="M98" i="14"/>
  <c r="C98" i="14"/>
  <c r="B98" i="14"/>
  <c r="Y98" i="14"/>
  <c r="Z98" i="14" s="1"/>
  <c r="E98" i="14"/>
  <c r="N98" i="14"/>
  <c r="O98" i="14" s="1"/>
  <c r="A98" i="14"/>
  <c r="F98" i="14"/>
  <c r="P98" i="14" s="1"/>
  <c r="U98" i="14"/>
  <c r="V98" i="14" s="1"/>
  <c r="D98" i="14"/>
  <c r="Q98" i="14" s="1"/>
  <c r="S98" i="14"/>
  <c r="T98" i="14" s="1"/>
  <c r="I98" i="14"/>
  <c r="J98" i="14" s="1"/>
  <c r="G98" i="14"/>
  <c r="H98" i="14" s="1"/>
  <c r="C98" i="7"/>
  <c r="M98" i="9"/>
  <c r="P98" i="9" s="1"/>
  <c r="N98" i="9"/>
  <c r="O108" i="9"/>
  <c r="C114" i="7"/>
  <c r="E85" i="7"/>
  <c r="G17" i="8"/>
  <c r="G55" i="13" s="1"/>
  <c r="G24" i="8"/>
  <c r="G62" i="13" s="1"/>
  <c r="G28" i="8"/>
  <c r="G66" i="13" s="1"/>
  <c r="F89" i="13"/>
  <c r="G51" i="8"/>
  <c r="G77" i="8"/>
  <c r="G115" i="13" s="1"/>
  <c r="C4" i="7"/>
  <c r="C5" i="10"/>
  <c r="B5" i="10"/>
  <c r="C6" i="10"/>
  <c r="B6" i="10"/>
  <c r="B7" i="10"/>
  <c r="C7" i="10"/>
  <c r="B11" i="7"/>
  <c r="A20" i="7"/>
  <c r="B21" i="7"/>
  <c r="E23" i="7"/>
  <c r="A30" i="7"/>
  <c r="D32" i="7"/>
  <c r="B41" i="7"/>
  <c r="D52" i="7"/>
  <c r="A60" i="7"/>
  <c r="D62" i="7"/>
  <c r="B71" i="7"/>
  <c r="E73" i="7"/>
  <c r="A80" i="7"/>
  <c r="D82" i="7"/>
  <c r="B91" i="7"/>
  <c r="N200" i="7"/>
  <c r="H10" i="8"/>
  <c r="H48" i="13" s="1"/>
  <c r="G14" i="8"/>
  <c r="G52" i="13" s="1"/>
  <c r="G21" i="8"/>
  <c r="G59" i="13" s="1"/>
  <c r="F63" i="13"/>
  <c r="H25" i="8"/>
  <c r="H63" i="13" s="1"/>
  <c r="H32" i="8"/>
  <c r="H70" i="13" s="1"/>
  <c r="H36" i="8"/>
  <c r="H74" i="13" s="1"/>
  <c r="G40" i="8"/>
  <c r="H44" i="8"/>
  <c r="H82" i="13" s="1"/>
  <c r="F90" i="13"/>
  <c r="G52" i="8"/>
  <c r="G90" i="13" s="1"/>
  <c r="G63" i="8"/>
  <c r="G101" i="13" s="1"/>
  <c r="G70" i="8"/>
  <c r="G108" i="13" s="1"/>
  <c r="G81" i="8"/>
  <c r="F123" i="13"/>
  <c r="H85" i="8"/>
  <c r="H123" i="13" s="1"/>
  <c r="G85" i="8"/>
  <c r="G123" i="13" s="1"/>
  <c r="C7" i="18"/>
  <c r="C6" i="18"/>
  <c r="B6" i="18"/>
  <c r="C8" i="18"/>
  <c r="B8" i="18"/>
  <c r="B7" i="18"/>
  <c r="N8" i="9"/>
  <c r="N13" i="9"/>
  <c r="U22" i="14"/>
  <c r="V22" i="14" s="1"/>
  <c r="A22" i="14"/>
  <c r="F22" i="14"/>
  <c r="P22" i="14" s="1"/>
  <c r="W22" i="14"/>
  <c r="X22" i="14" s="1"/>
  <c r="E22" i="14"/>
  <c r="D22" i="14"/>
  <c r="Q22" i="14" s="1"/>
  <c r="Y22" i="14"/>
  <c r="Z22" i="14" s="1"/>
  <c r="B22" i="14"/>
  <c r="S22" i="14"/>
  <c r="T22" i="14" s="1"/>
  <c r="N22" i="14"/>
  <c r="O22" i="14" s="1"/>
  <c r="M22" i="14"/>
  <c r="C22" i="7"/>
  <c r="C22" i="14"/>
  <c r="P26" i="9"/>
  <c r="N27" i="9"/>
  <c r="Y31" i="14"/>
  <c r="Z31" i="14" s="1"/>
  <c r="E31" i="14"/>
  <c r="W31" i="14"/>
  <c r="X31" i="14" s="1"/>
  <c r="A31" i="14"/>
  <c r="K31" i="14"/>
  <c r="L31" i="14" s="1"/>
  <c r="N31" i="14"/>
  <c r="O31" i="14" s="1"/>
  <c r="C31" i="14"/>
  <c r="B31" i="14"/>
  <c r="M31" i="14"/>
  <c r="F31" i="14"/>
  <c r="P31" i="14" s="1"/>
  <c r="S31" i="14"/>
  <c r="T31" i="14" s="1"/>
  <c r="D31" i="14"/>
  <c r="Q31" i="14" s="1"/>
  <c r="C31" i="7"/>
  <c r="U31" i="14"/>
  <c r="V31" i="14" s="1"/>
  <c r="N31" i="9"/>
  <c r="O31" i="9" s="1"/>
  <c r="S38" i="14"/>
  <c r="T38" i="14" s="1"/>
  <c r="F38" i="14"/>
  <c r="P38" i="14" s="1"/>
  <c r="U38" i="14"/>
  <c r="V38" i="14" s="1"/>
  <c r="B38" i="14"/>
  <c r="A38" i="14"/>
  <c r="N38" i="14"/>
  <c r="O38" i="14" s="1"/>
  <c r="M38" i="14"/>
  <c r="Y38" i="14"/>
  <c r="Z38" i="14" s="1"/>
  <c r="I38" i="14"/>
  <c r="J38" i="14" s="1"/>
  <c r="W38" i="14"/>
  <c r="X38" i="14" s="1"/>
  <c r="E38" i="14"/>
  <c r="D38" i="14"/>
  <c r="Q38" i="14" s="1"/>
  <c r="C38" i="14"/>
  <c r="C38" i="7"/>
  <c r="M38" i="9"/>
  <c r="AD38" i="14" s="1"/>
  <c r="L40" i="9"/>
  <c r="R40" i="9" s="1"/>
  <c r="M45" i="9"/>
  <c r="P45" i="9" s="1"/>
  <c r="U47" i="14"/>
  <c r="V47" i="14" s="1"/>
  <c r="A47" i="14"/>
  <c r="M47" i="14"/>
  <c r="B47" i="14"/>
  <c r="W47" i="14"/>
  <c r="X47" i="14" s="1"/>
  <c r="D47" i="14"/>
  <c r="Q47" i="14" s="1"/>
  <c r="N47" i="14"/>
  <c r="O47" i="14" s="1"/>
  <c r="Y47" i="14"/>
  <c r="Z47" i="14" s="1"/>
  <c r="F47" i="14"/>
  <c r="P47" i="14" s="1"/>
  <c r="S47" i="14"/>
  <c r="T47" i="14" s="1"/>
  <c r="E47" i="14"/>
  <c r="C47" i="14"/>
  <c r="AD47" i="14"/>
  <c r="C47" i="7"/>
  <c r="P51" i="9"/>
  <c r="N52" i="9"/>
  <c r="Y56" i="14"/>
  <c r="Z56" i="14" s="1"/>
  <c r="E56" i="14"/>
  <c r="N56" i="14"/>
  <c r="O56" i="14" s="1"/>
  <c r="D56" i="14"/>
  <c r="Q56" i="14" s="1"/>
  <c r="M56" i="14"/>
  <c r="A56" i="14"/>
  <c r="C56" i="14"/>
  <c r="AD56" i="14"/>
  <c r="W56" i="14"/>
  <c r="X56" i="14" s="1"/>
  <c r="U56" i="14"/>
  <c r="V56" i="14" s="1"/>
  <c r="F56" i="14"/>
  <c r="P56" i="14" s="1"/>
  <c r="B56" i="14"/>
  <c r="S56" i="14"/>
  <c r="T56" i="14" s="1"/>
  <c r="C56" i="7"/>
  <c r="N56" i="9"/>
  <c r="O56" i="9" s="1"/>
  <c r="W63" i="14"/>
  <c r="X63" i="14" s="1"/>
  <c r="M63" i="14"/>
  <c r="C63" i="14"/>
  <c r="S63" i="14"/>
  <c r="T63" i="14" s="1"/>
  <c r="F63" i="14"/>
  <c r="P63" i="14" s="1"/>
  <c r="E63" i="14"/>
  <c r="Y63" i="14"/>
  <c r="Z63" i="14" s="1"/>
  <c r="D63" i="14"/>
  <c r="Q63" i="14" s="1"/>
  <c r="U63" i="14"/>
  <c r="V63" i="14" s="1"/>
  <c r="B63" i="14"/>
  <c r="A63" i="14"/>
  <c r="N63" i="14"/>
  <c r="O63" i="14" s="1"/>
  <c r="K63" i="14"/>
  <c r="L63" i="14" s="1"/>
  <c r="C63" i="7"/>
  <c r="M63" i="9"/>
  <c r="P63" i="9" s="1"/>
  <c r="L65" i="9"/>
  <c r="R65" i="9" s="1"/>
  <c r="M70" i="9"/>
  <c r="P70" i="9" s="1"/>
  <c r="M72" i="14"/>
  <c r="B72" i="14"/>
  <c r="W72" i="14"/>
  <c r="X72" i="14" s="1"/>
  <c r="A72" i="14"/>
  <c r="U72" i="14"/>
  <c r="V72" i="14" s="1"/>
  <c r="F72" i="14"/>
  <c r="P72" i="14" s="1"/>
  <c r="S72" i="14"/>
  <c r="T72" i="14" s="1"/>
  <c r="E72" i="14"/>
  <c r="D72" i="14"/>
  <c r="Q72" i="14" s="1"/>
  <c r="C72" i="14"/>
  <c r="N72" i="14"/>
  <c r="O72" i="14" s="1"/>
  <c r="Y72" i="14"/>
  <c r="Z72" i="14" s="1"/>
  <c r="C72" i="7"/>
  <c r="P76" i="9"/>
  <c r="N77" i="9"/>
  <c r="O77" i="9" s="1"/>
  <c r="U81" i="14"/>
  <c r="V81" i="14" s="1"/>
  <c r="A81" i="14"/>
  <c r="E81" i="14"/>
  <c r="D81" i="14"/>
  <c r="Q81" i="14" s="1"/>
  <c r="N81" i="14"/>
  <c r="O81" i="14" s="1"/>
  <c r="M81" i="14"/>
  <c r="Y81" i="14"/>
  <c r="Z81" i="14" s="1"/>
  <c r="W81" i="14"/>
  <c r="X81" i="14" s="1"/>
  <c r="F81" i="14"/>
  <c r="P81" i="14" s="1"/>
  <c r="S81" i="14"/>
  <c r="T81" i="14" s="1"/>
  <c r="C81" i="14"/>
  <c r="B81" i="14"/>
  <c r="C81" i="7"/>
  <c r="N81" i="9"/>
  <c r="M81" i="9"/>
  <c r="AD81" i="14" s="1"/>
  <c r="W83" i="14"/>
  <c r="X83" i="14" s="1"/>
  <c r="M83" i="14"/>
  <c r="C83" i="14"/>
  <c r="B83" i="14"/>
  <c r="Y83" i="14"/>
  <c r="Z83" i="14" s="1"/>
  <c r="K83" i="14"/>
  <c r="L83" i="14" s="1"/>
  <c r="U83" i="14"/>
  <c r="V83" i="14" s="1"/>
  <c r="G83" i="14"/>
  <c r="H83" i="14" s="1"/>
  <c r="F83" i="14"/>
  <c r="P83" i="14" s="1"/>
  <c r="S83" i="14"/>
  <c r="T83" i="14" s="1"/>
  <c r="E83" i="14"/>
  <c r="D83" i="14"/>
  <c r="Q83" i="14" s="1"/>
  <c r="A83" i="14"/>
  <c r="N83" i="14"/>
  <c r="O83" i="14" s="1"/>
  <c r="C83" i="7"/>
  <c r="M83" i="9"/>
  <c r="AD83" i="14" s="1"/>
  <c r="L111" i="9"/>
  <c r="R111" i="9" s="1"/>
  <c r="C134" i="7"/>
  <c r="AD137" i="14"/>
  <c r="S137" i="14"/>
  <c r="T137" i="14" s="1"/>
  <c r="M137" i="14"/>
  <c r="Y137" i="14"/>
  <c r="Z137" i="14" s="1"/>
  <c r="B137" i="14"/>
  <c r="E137" i="14"/>
  <c r="W137" i="14"/>
  <c r="X137" i="14" s="1"/>
  <c r="D137" i="14"/>
  <c r="Q137" i="14" s="1"/>
  <c r="U137" i="14"/>
  <c r="V137" i="14" s="1"/>
  <c r="C137" i="14"/>
  <c r="A137" i="14"/>
  <c r="N137" i="14"/>
  <c r="O137" i="14" s="1"/>
  <c r="F137" i="14"/>
  <c r="P137" i="14" s="1"/>
  <c r="C137" i="7"/>
  <c r="N137" i="9"/>
  <c r="O137" i="9" s="1"/>
  <c r="AG198" i="14"/>
  <c r="W198" i="14"/>
  <c r="M198" i="14"/>
  <c r="C198" i="14"/>
  <c r="AD198" i="14"/>
  <c r="S198" i="14"/>
  <c r="H198" i="14"/>
  <c r="AH198" i="14"/>
  <c r="V198" i="14"/>
  <c r="K198" i="14"/>
  <c r="U198" i="14"/>
  <c r="G198" i="14"/>
  <c r="R198" i="14"/>
  <c r="D198" i="14"/>
  <c r="AF198" i="14"/>
  <c r="Q198" i="14"/>
  <c r="B198" i="14"/>
  <c r="AE198" i="14"/>
  <c r="P198" i="14"/>
  <c r="A198" i="14"/>
  <c r="X198" i="14"/>
  <c r="F198" i="14"/>
  <c r="L198" i="14"/>
  <c r="J198" i="14"/>
  <c r="AC198" i="14"/>
  <c r="I198" i="14"/>
  <c r="AB198" i="14"/>
  <c r="E198" i="14"/>
  <c r="AA198" i="14"/>
  <c r="Y198" i="14"/>
  <c r="T198" i="14"/>
  <c r="O198" i="14"/>
  <c r="N198" i="14"/>
  <c r="Z198" i="14"/>
  <c r="C198" i="7"/>
  <c r="F198" i="7"/>
  <c r="C79" i="7"/>
  <c r="O79" i="9"/>
  <c r="F92" i="14"/>
  <c r="P92" i="14" s="1"/>
  <c r="S92" i="14"/>
  <c r="T92" i="14" s="1"/>
  <c r="I92" i="14"/>
  <c r="J92" i="14" s="1"/>
  <c r="C92" i="14"/>
  <c r="B92" i="14"/>
  <c r="U92" i="14"/>
  <c r="V92" i="14" s="1"/>
  <c r="E92" i="14"/>
  <c r="D92" i="14"/>
  <c r="Q92" i="14" s="1"/>
  <c r="W92" i="14"/>
  <c r="X92" i="14" s="1"/>
  <c r="A92" i="14"/>
  <c r="N92" i="14"/>
  <c r="O92" i="14" s="1"/>
  <c r="M92" i="14"/>
  <c r="K92" i="14"/>
  <c r="L92" i="14" s="1"/>
  <c r="Y92" i="14"/>
  <c r="Z92" i="14" s="1"/>
  <c r="C92" i="7"/>
  <c r="C104" i="7"/>
  <c r="S117" i="14"/>
  <c r="T117" i="14" s="1"/>
  <c r="I117" i="14"/>
  <c r="J117" i="14" s="1"/>
  <c r="D117" i="14"/>
  <c r="Q117" i="14" s="1"/>
  <c r="C117" i="14"/>
  <c r="F117" i="14"/>
  <c r="P117" i="14" s="1"/>
  <c r="W117" i="14"/>
  <c r="X117" i="14" s="1"/>
  <c r="E117" i="14"/>
  <c r="B117" i="14"/>
  <c r="U117" i="14"/>
  <c r="V117" i="14" s="1"/>
  <c r="A117" i="14"/>
  <c r="N117" i="14"/>
  <c r="O117" i="14" s="1"/>
  <c r="M117" i="14"/>
  <c r="Y117" i="14"/>
  <c r="Z117" i="14" s="1"/>
  <c r="C117" i="7"/>
  <c r="C129" i="7"/>
  <c r="S142" i="14"/>
  <c r="T142" i="14" s="1"/>
  <c r="B142" i="14"/>
  <c r="N142" i="14"/>
  <c r="O142" i="14" s="1"/>
  <c r="M142" i="14"/>
  <c r="Y142" i="14"/>
  <c r="Z142" i="14" s="1"/>
  <c r="W142" i="14"/>
  <c r="X142" i="14" s="1"/>
  <c r="U142" i="14"/>
  <c r="V142" i="14" s="1"/>
  <c r="F142" i="14"/>
  <c r="P142" i="14" s="1"/>
  <c r="E142" i="14"/>
  <c r="C142" i="14"/>
  <c r="A142" i="14"/>
  <c r="D142" i="14"/>
  <c r="Q142" i="14" s="1"/>
  <c r="C142" i="7"/>
  <c r="Y153" i="14"/>
  <c r="O153" i="14"/>
  <c r="E153" i="14"/>
  <c r="AF153" i="14"/>
  <c r="U153" i="14"/>
  <c r="J153" i="14"/>
  <c r="AE153" i="14"/>
  <c r="T153" i="14"/>
  <c r="I153" i="14"/>
  <c r="AH153" i="14"/>
  <c r="W153" i="14"/>
  <c r="L153" i="14"/>
  <c r="A153" i="14"/>
  <c r="AA153" i="14"/>
  <c r="K153" i="14"/>
  <c r="Z153" i="14"/>
  <c r="H153" i="14"/>
  <c r="X153" i="14"/>
  <c r="G153" i="14"/>
  <c r="V153" i="14"/>
  <c r="F153" i="14"/>
  <c r="S153" i="14"/>
  <c r="D153" i="14"/>
  <c r="R153" i="14"/>
  <c r="C153" i="14"/>
  <c r="AG153" i="14"/>
  <c r="Q153" i="14"/>
  <c r="B153" i="14"/>
  <c r="AD153" i="14"/>
  <c r="P153" i="14"/>
  <c r="AC153" i="14"/>
  <c r="N153" i="14"/>
  <c r="AB153" i="14"/>
  <c r="M153" i="14"/>
  <c r="C153" i="7"/>
  <c r="AC157" i="14"/>
  <c r="S157" i="14"/>
  <c r="I157" i="14"/>
  <c r="AD157" i="14"/>
  <c r="R157" i="14"/>
  <c r="G157" i="14"/>
  <c r="AB157" i="14"/>
  <c r="Q157" i="14"/>
  <c r="F157" i="14"/>
  <c r="AF157" i="14"/>
  <c r="U157" i="14"/>
  <c r="J157" i="14"/>
  <c r="AH157" i="14"/>
  <c r="P157" i="14"/>
  <c r="B157" i="14"/>
  <c r="AG157" i="14"/>
  <c r="O157" i="14"/>
  <c r="A157" i="14"/>
  <c r="AE157" i="14"/>
  <c r="N157" i="14"/>
  <c r="AA157" i="14"/>
  <c r="M157" i="14"/>
  <c r="Z157" i="14"/>
  <c r="L157" i="14"/>
  <c r="Y157" i="14"/>
  <c r="K157" i="14"/>
  <c r="X157" i="14"/>
  <c r="H157" i="14"/>
  <c r="W157" i="14"/>
  <c r="E157" i="14"/>
  <c r="V157" i="14"/>
  <c r="D157" i="14"/>
  <c r="T157" i="14"/>
  <c r="C157" i="14"/>
  <c r="C157" i="7"/>
  <c r="Z178" i="14"/>
  <c r="P178" i="14"/>
  <c r="F178" i="14"/>
  <c r="AG178" i="14"/>
  <c r="V178" i="14"/>
  <c r="K178" i="14"/>
  <c r="AF178" i="14"/>
  <c r="U178" i="14"/>
  <c r="J178" i="14"/>
  <c r="AE178" i="14"/>
  <c r="R178" i="14"/>
  <c r="D178" i="14"/>
  <c r="AD178" i="14"/>
  <c r="Q178" i="14"/>
  <c r="C178" i="14"/>
  <c r="AC178" i="14"/>
  <c r="O178" i="14"/>
  <c r="B178" i="14"/>
  <c r="AB178" i="14"/>
  <c r="N178" i="14"/>
  <c r="A178" i="14"/>
  <c r="AA178" i="14"/>
  <c r="M178" i="14"/>
  <c r="T178" i="14"/>
  <c r="G178" i="14"/>
  <c r="L178" i="14"/>
  <c r="I178" i="14"/>
  <c r="H178" i="14"/>
  <c r="E178" i="14"/>
  <c r="AH178" i="14"/>
  <c r="Y178" i="14"/>
  <c r="X178" i="14"/>
  <c r="W178" i="14"/>
  <c r="S178" i="14"/>
  <c r="C178" i="7"/>
  <c r="AA182" i="14"/>
  <c r="Q182" i="14"/>
  <c r="G182" i="14"/>
  <c r="AD182" i="14"/>
  <c r="S182" i="14"/>
  <c r="H182" i="14"/>
  <c r="AH182" i="14"/>
  <c r="V182" i="14"/>
  <c r="J182" i="14"/>
  <c r="AE182" i="14"/>
  <c r="P182" i="14"/>
  <c r="C182" i="14"/>
  <c r="AC182" i="14"/>
  <c r="O182" i="14"/>
  <c r="B182" i="14"/>
  <c r="AB182" i="14"/>
  <c r="L182" i="14"/>
  <c r="Z182" i="14"/>
  <c r="K182" i="14"/>
  <c r="Y182" i="14"/>
  <c r="I182" i="14"/>
  <c r="X182" i="14"/>
  <c r="F182" i="14"/>
  <c r="W182" i="14"/>
  <c r="E182" i="14"/>
  <c r="T182" i="14"/>
  <c r="A182" i="14"/>
  <c r="R182" i="14"/>
  <c r="AG182" i="14"/>
  <c r="N182" i="14"/>
  <c r="AF182" i="14"/>
  <c r="M182" i="14"/>
  <c r="D182" i="14"/>
  <c r="U182" i="14"/>
  <c r="C182" i="7"/>
  <c r="Y190" i="14"/>
  <c r="O190" i="14"/>
  <c r="E190" i="14"/>
  <c r="X190" i="14"/>
  <c r="M190" i="14"/>
  <c r="B190" i="14"/>
  <c r="AG190" i="14"/>
  <c r="U190" i="14"/>
  <c r="I190" i="14"/>
  <c r="AF190" i="14"/>
  <c r="S190" i="14"/>
  <c r="F190" i="14"/>
  <c r="AE190" i="14"/>
  <c r="R190" i="14"/>
  <c r="D190" i="14"/>
  <c r="AD190" i="14"/>
  <c r="N190" i="14"/>
  <c r="AC190" i="14"/>
  <c r="L190" i="14"/>
  <c r="AB190" i="14"/>
  <c r="K190" i="14"/>
  <c r="AA190" i="14"/>
  <c r="J190" i="14"/>
  <c r="Z190" i="14"/>
  <c r="H190" i="14"/>
  <c r="V190" i="14"/>
  <c r="C190" i="14"/>
  <c r="T190" i="14"/>
  <c r="A190" i="14"/>
  <c r="Q190" i="14"/>
  <c r="AH190" i="14"/>
  <c r="P190" i="14"/>
  <c r="W190" i="14"/>
  <c r="G190" i="14"/>
  <c r="C190" i="7"/>
  <c r="C93" i="12"/>
  <c r="L14" i="9"/>
  <c r="R14" i="9" s="1"/>
  <c r="P16" i="9"/>
  <c r="S25" i="14"/>
  <c r="T25" i="14" s="1"/>
  <c r="E25" i="14"/>
  <c r="D25" i="14"/>
  <c r="Q25" i="14" s="1"/>
  <c r="AD25" i="14"/>
  <c r="N25" i="14"/>
  <c r="O25" i="14" s="1"/>
  <c r="M25" i="14"/>
  <c r="B25" i="14"/>
  <c r="Y25" i="14"/>
  <c r="Z25" i="14" s="1"/>
  <c r="F25" i="14"/>
  <c r="P25" i="14" s="1"/>
  <c r="C25" i="14"/>
  <c r="W25" i="14"/>
  <c r="X25" i="14" s="1"/>
  <c r="A25" i="14"/>
  <c r="U25" i="14"/>
  <c r="V25" i="14" s="1"/>
  <c r="C25" i="7"/>
  <c r="N25" i="9"/>
  <c r="O25" i="9" s="1"/>
  <c r="Y28" i="14"/>
  <c r="Z28" i="14" s="1"/>
  <c r="N28" i="14"/>
  <c r="O28" i="14" s="1"/>
  <c r="C28" i="14"/>
  <c r="M28" i="14"/>
  <c r="B28" i="14"/>
  <c r="E28" i="14"/>
  <c r="W28" i="14"/>
  <c r="X28" i="14" s="1"/>
  <c r="I28" i="14"/>
  <c r="J28" i="14" s="1"/>
  <c r="A28" i="14"/>
  <c r="U28" i="14"/>
  <c r="V28" i="14" s="1"/>
  <c r="S28" i="14"/>
  <c r="T28" i="14" s="1"/>
  <c r="F28" i="14"/>
  <c r="P28" i="14" s="1"/>
  <c r="C28" i="7"/>
  <c r="M28" i="9"/>
  <c r="O28" i="9" s="1"/>
  <c r="D28" i="14"/>
  <c r="Q28" i="14" s="1"/>
  <c r="Y36" i="14"/>
  <c r="Z36" i="14" s="1"/>
  <c r="E36" i="14"/>
  <c r="S36" i="14"/>
  <c r="T36" i="14" s="1"/>
  <c r="W36" i="14"/>
  <c r="X36" i="14" s="1"/>
  <c r="F36" i="14"/>
  <c r="P36" i="14" s="1"/>
  <c r="U36" i="14"/>
  <c r="V36" i="14" s="1"/>
  <c r="D36" i="14"/>
  <c r="Q36" i="14" s="1"/>
  <c r="C36" i="14"/>
  <c r="B36" i="14"/>
  <c r="N36" i="14"/>
  <c r="O36" i="14" s="1"/>
  <c r="M36" i="14"/>
  <c r="A36" i="14"/>
  <c r="C36" i="7"/>
  <c r="L39" i="9"/>
  <c r="R39" i="9" s="1"/>
  <c r="S50" i="14"/>
  <c r="T50" i="14" s="1"/>
  <c r="I50" i="14"/>
  <c r="J50" i="14" s="1"/>
  <c r="U50" i="14"/>
  <c r="V50" i="14" s="1"/>
  <c r="M50" i="14"/>
  <c r="B50" i="14"/>
  <c r="W50" i="14"/>
  <c r="X50" i="14" s="1"/>
  <c r="F50" i="14"/>
  <c r="P50" i="14" s="1"/>
  <c r="E50" i="14"/>
  <c r="D50" i="14"/>
  <c r="Q50" i="14" s="1"/>
  <c r="C50" i="14"/>
  <c r="AD50" i="14"/>
  <c r="N50" i="14"/>
  <c r="O50" i="14" s="1"/>
  <c r="Y50" i="14"/>
  <c r="Z50" i="14" s="1"/>
  <c r="A50" i="14"/>
  <c r="C50" i="7"/>
  <c r="N50" i="9"/>
  <c r="O50" i="9" s="1"/>
  <c r="F53" i="14"/>
  <c r="P53" i="14" s="1"/>
  <c r="C53" i="14"/>
  <c r="N53" i="14"/>
  <c r="O53" i="14" s="1"/>
  <c r="B53" i="14"/>
  <c r="S53" i="14"/>
  <c r="T53" i="14" s="1"/>
  <c r="E53" i="14"/>
  <c r="W53" i="14"/>
  <c r="X53" i="14" s="1"/>
  <c r="D53" i="14"/>
  <c r="Q53" i="14" s="1"/>
  <c r="U53" i="14"/>
  <c r="V53" i="14" s="1"/>
  <c r="A53" i="14"/>
  <c r="M53" i="14"/>
  <c r="K53" i="14"/>
  <c r="L53" i="14" s="1"/>
  <c r="Y53" i="14"/>
  <c r="Z53" i="14" s="1"/>
  <c r="C53" i="7"/>
  <c r="M53" i="9"/>
  <c r="P53" i="9" s="1"/>
  <c r="U61" i="14"/>
  <c r="V61" i="14" s="1"/>
  <c r="K61" i="14"/>
  <c r="L61" i="14" s="1"/>
  <c r="A61" i="14"/>
  <c r="I61" i="14"/>
  <c r="J61" i="14" s="1"/>
  <c r="AD61" i="14"/>
  <c r="S61" i="14"/>
  <c r="T61" i="14" s="1"/>
  <c r="W61" i="14"/>
  <c r="X61" i="14" s="1"/>
  <c r="G61" i="14"/>
  <c r="H61" i="14" s="1"/>
  <c r="F61" i="14"/>
  <c r="P61" i="14" s="1"/>
  <c r="Y61" i="14"/>
  <c r="Z61" i="14" s="1"/>
  <c r="N61" i="14"/>
  <c r="O61" i="14" s="1"/>
  <c r="M61" i="14"/>
  <c r="E61" i="14"/>
  <c r="D61" i="14"/>
  <c r="Q61" i="14" s="1"/>
  <c r="C61" i="14"/>
  <c r="B61" i="14"/>
  <c r="C61" i="7"/>
  <c r="L64" i="9"/>
  <c r="R64" i="9" s="1"/>
  <c r="Y75" i="14"/>
  <c r="Z75" i="14" s="1"/>
  <c r="E75" i="14"/>
  <c r="U75" i="14"/>
  <c r="V75" i="14" s="1"/>
  <c r="D75" i="14"/>
  <c r="Q75" i="14" s="1"/>
  <c r="AD75" i="14"/>
  <c r="C75" i="14"/>
  <c r="B75" i="14"/>
  <c r="N75" i="14"/>
  <c r="O75" i="14" s="1"/>
  <c r="A75" i="14"/>
  <c r="M75" i="14"/>
  <c r="W75" i="14"/>
  <c r="X75" i="14" s="1"/>
  <c r="S75" i="14"/>
  <c r="T75" i="14" s="1"/>
  <c r="F75" i="14"/>
  <c r="P75" i="14" s="1"/>
  <c r="C75" i="7"/>
  <c r="N75" i="9"/>
  <c r="O75" i="9" s="1"/>
  <c r="W78" i="14"/>
  <c r="X78" i="14" s="1"/>
  <c r="M78" i="14"/>
  <c r="C78" i="14"/>
  <c r="B78" i="14"/>
  <c r="S78" i="14"/>
  <c r="T78" i="14" s="1"/>
  <c r="G78" i="14"/>
  <c r="H78" i="14" s="1"/>
  <c r="F78" i="14"/>
  <c r="P78" i="14" s="1"/>
  <c r="Y78" i="14"/>
  <c r="Z78" i="14" s="1"/>
  <c r="U78" i="14"/>
  <c r="V78" i="14" s="1"/>
  <c r="E78" i="14"/>
  <c r="D78" i="14"/>
  <c r="Q78" i="14" s="1"/>
  <c r="A78" i="14"/>
  <c r="N78" i="14"/>
  <c r="O78" i="14" s="1"/>
  <c r="C78" i="7"/>
  <c r="M78" i="9"/>
  <c r="U86" i="14"/>
  <c r="V86" i="14" s="1"/>
  <c r="A86" i="14"/>
  <c r="W86" i="14"/>
  <c r="X86" i="14" s="1"/>
  <c r="C86" i="14"/>
  <c r="B86" i="14"/>
  <c r="N86" i="14"/>
  <c r="O86" i="14" s="1"/>
  <c r="M86" i="14"/>
  <c r="Y86" i="14"/>
  <c r="Z86" i="14" s="1"/>
  <c r="F86" i="14"/>
  <c r="P86" i="14" s="1"/>
  <c r="S86" i="14"/>
  <c r="T86" i="14" s="1"/>
  <c r="E86" i="14"/>
  <c r="D86" i="14"/>
  <c r="Q86" i="14" s="1"/>
  <c r="C86" i="7"/>
  <c r="L89" i="9"/>
  <c r="R89" i="9" s="1"/>
  <c r="M92" i="9"/>
  <c r="O92" i="9" s="1"/>
  <c r="Y100" i="14"/>
  <c r="Z100" i="14" s="1"/>
  <c r="E100" i="14"/>
  <c r="N100" i="14"/>
  <c r="O100" i="14" s="1"/>
  <c r="D100" i="14"/>
  <c r="Q100" i="14" s="1"/>
  <c r="G100" i="14"/>
  <c r="H100" i="14" s="1"/>
  <c r="B100" i="14"/>
  <c r="A100" i="14"/>
  <c r="F100" i="14"/>
  <c r="P100" i="14" s="1"/>
  <c r="S100" i="14"/>
  <c r="T100" i="14" s="1"/>
  <c r="M100" i="14"/>
  <c r="K100" i="14"/>
  <c r="L100" i="14" s="1"/>
  <c r="I100" i="14"/>
  <c r="J100" i="14" s="1"/>
  <c r="W100" i="14"/>
  <c r="X100" i="14" s="1"/>
  <c r="C100" i="14"/>
  <c r="U100" i="14"/>
  <c r="V100" i="14" s="1"/>
  <c r="C100" i="7"/>
  <c r="N100" i="9"/>
  <c r="W103" i="14"/>
  <c r="X103" i="14" s="1"/>
  <c r="M103" i="14"/>
  <c r="C103" i="14"/>
  <c r="B103" i="14"/>
  <c r="Y103" i="14"/>
  <c r="Z103" i="14" s="1"/>
  <c r="E103" i="14"/>
  <c r="N103" i="14"/>
  <c r="O103" i="14" s="1"/>
  <c r="D103" i="14"/>
  <c r="Q103" i="14" s="1"/>
  <c r="S103" i="14"/>
  <c r="T103" i="14" s="1"/>
  <c r="F103" i="14"/>
  <c r="P103" i="14" s="1"/>
  <c r="U103" i="14"/>
  <c r="V103" i="14" s="1"/>
  <c r="A103" i="14"/>
  <c r="C103" i="7"/>
  <c r="M103" i="9"/>
  <c r="O103" i="9" s="1"/>
  <c r="N111" i="14"/>
  <c r="O111" i="14" s="1"/>
  <c r="D111" i="14"/>
  <c r="Q111" i="14" s="1"/>
  <c r="W111" i="14"/>
  <c r="X111" i="14" s="1"/>
  <c r="M111" i="14"/>
  <c r="C111" i="14"/>
  <c r="S111" i="14"/>
  <c r="T111" i="14" s="1"/>
  <c r="K111" i="14"/>
  <c r="L111" i="14" s="1"/>
  <c r="F111" i="14"/>
  <c r="P111" i="14" s="1"/>
  <c r="Y111" i="14"/>
  <c r="Z111" i="14" s="1"/>
  <c r="E111" i="14"/>
  <c r="B111" i="14"/>
  <c r="A111" i="14"/>
  <c r="U111" i="14"/>
  <c r="V111" i="14" s="1"/>
  <c r="C111" i="7"/>
  <c r="L114" i="9"/>
  <c r="R114" i="9" s="1"/>
  <c r="M117" i="9"/>
  <c r="P117" i="9" s="1"/>
  <c r="F125" i="14"/>
  <c r="P125" i="14" s="1"/>
  <c r="S125" i="14"/>
  <c r="T125" i="14" s="1"/>
  <c r="E125" i="14"/>
  <c r="U125" i="14"/>
  <c r="V125" i="14" s="1"/>
  <c r="B125" i="14"/>
  <c r="A125" i="14"/>
  <c r="N125" i="14"/>
  <c r="O125" i="14" s="1"/>
  <c r="M125" i="14"/>
  <c r="Y125" i="14"/>
  <c r="Z125" i="14" s="1"/>
  <c r="I125" i="14"/>
  <c r="J125" i="14" s="1"/>
  <c r="D125" i="14"/>
  <c r="Q125" i="14" s="1"/>
  <c r="W125" i="14"/>
  <c r="X125" i="14" s="1"/>
  <c r="C125" i="14"/>
  <c r="C125" i="7"/>
  <c r="N125" i="9"/>
  <c r="F128" i="14"/>
  <c r="P128" i="14" s="1"/>
  <c r="Y128" i="14"/>
  <c r="Z128" i="14" s="1"/>
  <c r="E128" i="14"/>
  <c r="D128" i="14"/>
  <c r="Q128" i="14" s="1"/>
  <c r="C128" i="14"/>
  <c r="I128" i="14"/>
  <c r="J128" i="14" s="1"/>
  <c r="W128" i="14"/>
  <c r="X128" i="14" s="1"/>
  <c r="B128" i="14"/>
  <c r="U128" i="14"/>
  <c r="V128" i="14" s="1"/>
  <c r="A128" i="14"/>
  <c r="S128" i="14"/>
  <c r="T128" i="14" s="1"/>
  <c r="N128" i="14"/>
  <c r="O128" i="14" s="1"/>
  <c r="M128" i="14"/>
  <c r="C128" i="7"/>
  <c r="M128" i="9"/>
  <c r="P128" i="9" s="1"/>
  <c r="N136" i="14"/>
  <c r="O136" i="14" s="1"/>
  <c r="D136" i="14"/>
  <c r="Q136" i="14" s="1"/>
  <c r="W136" i="14"/>
  <c r="X136" i="14" s="1"/>
  <c r="M136" i="14"/>
  <c r="C136" i="14"/>
  <c r="S136" i="14"/>
  <c r="T136" i="14" s="1"/>
  <c r="G136" i="14"/>
  <c r="H136" i="14" s="1"/>
  <c r="U136" i="14"/>
  <c r="V136" i="14" s="1"/>
  <c r="B136" i="14"/>
  <c r="A136" i="14"/>
  <c r="AD136" i="14"/>
  <c r="F136" i="14"/>
  <c r="P136" i="14" s="1"/>
  <c r="Y136" i="14"/>
  <c r="Z136" i="14" s="1"/>
  <c r="E136" i="14"/>
  <c r="C136" i="7"/>
  <c r="L139" i="9"/>
  <c r="R139" i="9" s="1"/>
  <c r="M142" i="9"/>
  <c r="AD142" i="14" s="1"/>
  <c r="AG161" i="14"/>
  <c r="W161" i="14"/>
  <c r="M161" i="14"/>
  <c r="C161" i="14"/>
  <c r="AF161" i="14"/>
  <c r="V161" i="14"/>
  <c r="L161" i="14"/>
  <c r="B161" i="14"/>
  <c r="AE161" i="14"/>
  <c r="S161" i="14"/>
  <c r="G161" i="14"/>
  <c r="AD161" i="14"/>
  <c r="R161" i="14"/>
  <c r="F161" i="14"/>
  <c r="U161" i="14"/>
  <c r="I161" i="14"/>
  <c r="AB161" i="14"/>
  <c r="K161" i="14"/>
  <c r="AA161" i="14"/>
  <c r="J161" i="14"/>
  <c r="Z161" i="14"/>
  <c r="H161" i="14"/>
  <c r="Y161" i="14"/>
  <c r="E161" i="14"/>
  <c r="X161" i="14"/>
  <c r="D161" i="14"/>
  <c r="T161" i="14"/>
  <c r="A161" i="14"/>
  <c r="Q161" i="14"/>
  <c r="P161" i="14"/>
  <c r="AH161" i="14"/>
  <c r="O161" i="14"/>
  <c r="AC161" i="14"/>
  <c r="N161" i="14"/>
  <c r="C161" i="7"/>
  <c r="AA165" i="14"/>
  <c r="Q165" i="14"/>
  <c r="G165" i="14"/>
  <c r="Z165" i="14"/>
  <c r="P165" i="14"/>
  <c r="F165" i="14"/>
  <c r="AG165" i="14"/>
  <c r="U165" i="14"/>
  <c r="I165" i="14"/>
  <c r="AF165" i="14"/>
  <c r="T165" i="14"/>
  <c r="H165" i="14"/>
  <c r="W165" i="14"/>
  <c r="K165" i="14"/>
  <c r="R165" i="14"/>
  <c r="A165" i="14"/>
  <c r="AH165" i="14"/>
  <c r="O165" i="14"/>
  <c r="AE165" i="14"/>
  <c r="N165" i="14"/>
  <c r="AD165" i="14"/>
  <c r="M165" i="14"/>
  <c r="AC165" i="14"/>
  <c r="L165" i="14"/>
  <c r="AB165" i="14"/>
  <c r="J165" i="14"/>
  <c r="Y165" i="14"/>
  <c r="E165" i="14"/>
  <c r="X165" i="14"/>
  <c r="D165" i="14"/>
  <c r="V165" i="14"/>
  <c r="C165" i="14"/>
  <c r="S165" i="14"/>
  <c r="B165" i="14"/>
  <c r="C165" i="7"/>
  <c r="AE186" i="14"/>
  <c r="U186" i="14"/>
  <c r="K186" i="14"/>
  <c r="A186" i="14"/>
  <c r="AA186" i="14"/>
  <c r="P186" i="14"/>
  <c r="E186" i="14"/>
  <c r="AH186" i="14"/>
  <c r="V186" i="14"/>
  <c r="I186" i="14"/>
  <c r="AF186" i="14"/>
  <c r="R186" i="14"/>
  <c r="D186" i="14"/>
  <c r="AD186" i="14"/>
  <c r="Q186" i="14"/>
  <c r="C186" i="14"/>
  <c r="AC186" i="14"/>
  <c r="M186" i="14"/>
  <c r="AB186" i="14"/>
  <c r="L186" i="14"/>
  <c r="Z186" i="14"/>
  <c r="J186" i="14"/>
  <c r="Y186" i="14"/>
  <c r="H186" i="14"/>
  <c r="X186" i="14"/>
  <c r="G186" i="14"/>
  <c r="T186" i="14"/>
  <c r="B186" i="14"/>
  <c r="S186" i="14"/>
  <c r="O186" i="14"/>
  <c r="AG186" i="14"/>
  <c r="N186" i="14"/>
  <c r="W186" i="14"/>
  <c r="F186" i="14"/>
  <c r="C186" i="7"/>
  <c r="AA197" i="14"/>
  <c r="Q197" i="14"/>
  <c r="G197" i="14"/>
  <c r="AE197" i="14"/>
  <c r="T197" i="14"/>
  <c r="I197" i="14"/>
  <c r="AH197" i="14"/>
  <c r="W197" i="14"/>
  <c r="L197" i="14"/>
  <c r="A197" i="14"/>
  <c r="AB197" i="14"/>
  <c r="N197" i="14"/>
  <c r="V197" i="14"/>
  <c r="F197" i="14"/>
  <c r="U197" i="14"/>
  <c r="E197" i="14"/>
  <c r="Y197" i="14"/>
  <c r="S197" i="14"/>
  <c r="B197" i="14"/>
  <c r="R197" i="14"/>
  <c r="P197" i="14"/>
  <c r="O197" i="14"/>
  <c r="AG197" i="14"/>
  <c r="M197" i="14"/>
  <c r="AD197" i="14"/>
  <c r="J197" i="14"/>
  <c r="AC197" i="14"/>
  <c r="H197" i="14"/>
  <c r="Z197" i="14"/>
  <c r="D197" i="14"/>
  <c r="X197" i="14"/>
  <c r="C197" i="14"/>
  <c r="AF197" i="14"/>
  <c r="K197" i="14"/>
  <c r="C197" i="7"/>
  <c r="E21" i="11"/>
  <c r="L27" i="12"/>
  <c r="P27" i="12"/>
  <c r="O27" i="12"/>
  <c r="N27" i="12"/>
  <c r="Q27" i="12" s="1"/>
  <c r="L52" i="12"/>
  <c r="P52" i="12"/>
  <c r="O52" i="12"/>
  <c r="N52" i="12"/>
  <c r="Q52" i="12" s="1"/>
  <c r="B92" i="12"/>
  <c r="Z173" i="14"/>
  <c r="P173" i="14"/>
  <c r="F173" i="14"/>
  <c r="Y173" i="14"/>
  <c r="N173" i="14"/>
  <c r="C173" i="14"/>
  <c r="X173" i="14"/>
  <c r="M173" i="14"/>
  <c r="B173" i="14"/>
  <c r="AH173" i="14"/>
  <c r="U173" i="14"/>
  <c r="H173" i="14"/>
  <c r="AG173" i="14"/>
  <c r="T173" i="14"/>
  <c r="G173" i="14"/>
  <c r="AF173" i="14"/>
  <c r="S173" i="14"/>
  <c r="E173" i="14"/>
  <c r="AE173" i="14"/>
  <c r="R173" i="14"/>
  <c r="D173" i="14"/>
  <c r="W173" i="14"/>
  <c r="J173" i="14"/>
  <c r="I173" i="14"/>
  <c r="AD173" i="14"/>
  <c r="A173" i="14"/>
  <c r="AC173" i="14"/>
  <c r="AB173" i="14"/>
  <c r="AA173" i="14"/>
  <c r="V173" i="14"/>
  <c r="Q173" i="14"/>
  <c r="O173" i="14"/>
  <c r="L173" i="14"/>
  <c r="K173" i="14"/>
  <c r="C173" i="7"/>
  <c r="AD177" i="14"/>
  <c r="T177" i="14"/>
  <c r="J177" i="14"/>
  <c r="AH177" i="14"/>
  <c r="W177" i="14"/>
  <c r="L177" i="14"/>
  <c r="A177" i="14"/>
  <c r="AG177" i="14"/>
  <c r="V177" i="14"/>
  <c r="K177" i="14"/>
  <c r="Y177" i="14"/>
  <c r="I177" i="14"/>
  <c r="X177" i="14"/>
  <c r="H177" i="14"/>
  <c r="U177" i="14"/>
  <c r="G177" i="14"/>
  <c r="S177" i="14"/>
  <c r="F177" i="14"/>
  <c r="AF177" i="14"/>
  <c r="R177" i="14"/>
  <c r="E177" i="14"/>
  <c r="AA177" i="14"/>
  <c r="N177" i="14"/>
  <c r="O177" i="14"/>
  <c r="M177" i="14"/>
  <c r="D177" i="14"/>
  <c r="C177" i="14"/>
  <c r="AE177" i="14"/>
  <c r="B177" i="14"/>
  <c r="AC177" i="14"/>
  <c r="AB177" i="14"/>
  <c r="Z177" i="14"/>
  <c r="Q177" i="14"/>
  <c r="P177" i="14"/>
  <c r="C177" i="7"/>
  <c r="AG193" i="14"/>
  <c r="W193" i="14"/>
  <c r="M193" i="14"/>
  <c r="C193" i="14"/>
  <c r="AH193" i="14"/>
  <c r="V193" i="14"/>
  <c r="K193" i="14"/>
  <c r="Z193" i="14"/>
  <c r="O193" i="14"/>
  <c r="D193" i="14"/>
  <c r="Y193" i="14"/>
  <c r="J193" i="14"/>
  <c r="S193" i="14"/>
  <c r="E193" i="14"/>
  <c r="AF193" i="14"/>
  <c r="R193" i="14"/>
  <c r="B193" i="14"/>
  <c r="U193" i="14"/>
  <c r="A193" i="14"/>
  <c r="T193" i="14"/>
  <c r="Q193" i="14"/>
  <c r="P193" i="14"/>
  <c r="AE193" i="14"/>
  <c r="N193" i="14"/>
  <c r="AC193" i="14"/>
  <c r="I193" i="14"/>
  <c r="AB193" i="14"/>
  <c r="H193" i="14"/>
  <c r="AA193" i="14"/>
  <c r="G193" i="14"/>
  <c r="X193" i="14"/>
  <c r="F193" i="14"/>
  <c r="AD193" i="14"/>
  <c r="L193" i="14"/>
  <c r="C193" i="7"/>
  <c r="E26" i="16"/>
  <c r="D11" i="11"/>
  <c r="P121" i="9"/>
  <c r="W130" i="14"/>
  <c r="X130" i="14" s="1"/>
  <c r="N130" i="14"/>
  <c r="O130" i="14" s="1"/>
  <c r="B130" i="14"/>
  <c r="AD130" i="14"/>
  <c r="Y130" i="14"/>
  <c r="Z130" i="14" s="1"/>
  <c r="F130" i="14"/>
  <c r="P130" i="14" s="1"/>
  <c r="E130" i="14"/>
  <c r="U130" i="14"/>
  <c r="V130" i="14" s="1"/>
  <c r="D130" i="14"/>
  <c r="Q130" i="14" s="1"/>
  <c r="C130" i="14"/>
  <c r="S130" i="14"/>
  <c r="T130" i="14" s="1"/>
  <c r="A130" i="14"/>
  <c r="M130" i="14"/>
  <c r="C130" i="7"/>
  <c r="N130" i="9"/>
  <c r="O130" i="9" s="1"/>
  <c r="F133" i="14"/>
  <c r="P133" i="14" s="1"/>
  <c r="Y133" i="14"/>
  <c r="Z133" i="14" s="1"/>
  <c r="E133" i="14"/>
  <c r="U133" i="14"/>
  <c r="V133" i="14" s="1"/>
  <c r="I133" i="14"/>
  <c r="J133" i="14" s="1"/>
  <c r="N133" i="14"/>
  <c r="O133" i="14" s="1"/>
  <c r="M133" i="14"/>
  <c r="K133" i="14"/>
  <c r="L133" i="14" s="1"/>
  <c r="W133" i="14"/>
  <c r="X133" i="14" s="1"/>
  <c r="D133" i="14"/>
  <c r="Q133" i="14" s="1"/>
  <c r="C133" i="14"/>
  <c r="S133" i="14"/>
  <c r="T133" i="14" s="1"/>
  <c r="B133" i="14"/>
  <c r="A133" i="14"/>
  <c r="C133" i="7"/>
  <c r="M133" i="9"/>
  <c r="N141" i="14"/>
  <c r="O141" i="14" s="1"/>
  <c r="D141" i="14"/>
  <c r="Q141" i="14" s="1"/>
  <c r="W141" i="14"/>
  <c r="X141" i="14" s="1"/>
  <c r="M141" i="14"/>
  <c r="C141" i="14"/>
  <c r="F141" i="14"/>
  <c r="P141" i="14" s="1"/>
  <c r="S141" i="14"/>
  <c r="T141" i="14" s="1"/>
  <c r="E141" i="14"/>
  <c r="B141" i="14"/>
  <c r="AD141" i="14"/>
  <c r="A141" i="14"/>
  <c r="Y141" i="14"/>
  <c r="Z141" i="14" s="1"/>
  <c r="U141" i="14"/>
  <c r="V141" i="14" s="1"/>
  <c r="C141" i="7"/>
  <c r="L144" i="9"/>
  <c r="R144" i="9" s="1"/>
  <c r="AG156" i="14"/>
  <c r="W156" i="14"/>
  <c r="M156" i="14"/>
  <c r="C156" i="14"/>
  <c r="AD156" i="14"/>
  <c r="S156" i="14"/>
  <c r="H156" i="14"/>
  <c r="AC156" i="14"/>
  <c r="R156" i="14"/>
  <c r="G156" i="14"/>
  <c r="AF156" i="14"/>
  <c r="U156" i="14"/>
  <c r="J156" i="14"/>
  <c r="T156" i="14"/>
  <c r="D156" i="14"/>
  <c r="Q156" i="14"/>
  <c r="B156" i="14"/>
  <c r="AH156" i="14"/>
  <c r="P156" i="14"/>
  <c r="A156" i="14"/>
  <c r="AE156" i="14"/>
  <c r="O156" i="14"/>
  <c r="AB156" i="14"/>
  <c r="N156" i="14"/>
  <c r="AA156" i="14"/>
  <c r="L156" i="14"/>
  <c r="Z156" i="14"/>
  <c r="K156" i="14"/>
  <c r="Y156" i="14"/>
  <c r="I156" i="14"/>
  <c r="X156" i="14"/>
  <c r="F156" i="14"/>
  <c r="V156" i="14"/>
  <c r="E156" i="14"/>
  <c r="C156" i="7"/>
  <c r="AA160" i="14"/>
  <c r="Q160" i="14"/>
  <c r="G160" i="14"/>
  <c r="Z160" i="14"/>
  <c r="AC160" i="14"/>
  <c r="P160" i="14"/>
  <c r="E160" i="14"/>
  <c r="AB160" i="14"/>
  <c r="O160" i="14"/>
  <c r="D160" i="14"/>
  <c r="AE160" i="14"/>
  <c r="S160" i="14"/>
  <c r="H160" i="14"/>
  <c r="Y160" i="14"/>
  <c r="K160" i="14"/>
  <c r="X160" i="14"/>
  <c r="J160" i="14"/>
  <c r="W160" i="14"/>
  <c r="I160" i="14"/>
  <c r="V160" i="14"/>
  <c r="F160" i="14"/>
  <c r="U160" i="14"/>
  <c r="C160" i="14"/>
  <c r="T160" i="14"/>
  <c r="B160" i="14"/>
  <c r="AH160" i="14"/>
  <c r="R160" i="14"/>
  <c r="A160" i="14"/>
  <c r="AG160" i="14"/>
  <c r="N160" i="14"/>
  <c r="AF160" i="14"/>
  <c r="M160" i="14"/>
  <c r="AD160" i="14"/>
  <c r="L160" i="14"/>
  <c r="C160" i="7"/>
  <c r="AE181" i="14"/>
  <c r="U181" i="14"/>
  <c r="K181" i="14"/>
  <c r="A181" i="14"/>
  <c r="AD181" i="14"/>
  <c r="S181" i="14"/>
  <c r="H181" i="14"/>
  <c r="AF181" i="14"/>
  <c r="R181" i="14"/>
  <c r="F181" i="14"/>
  <c r="X181" i="14"/>
  <c r="J181" i="14"/>
  <c r="W181" i="14"/>
  <c r="I181" i="14"/>
  <c r="AB181" i="14"/>
  <c r="M181" i="14"/>
  <c r="AA181" i="14"/>
  <c r="L181" i="14"/>
  <c r="Z181" i="14"/>
  <c r="G181" i="14"/>
  <c r="Y181" i="14"/>
  <c r="E181" i="14"/>
  <c r="V181" i="14"/>
  <c r="D181" i="14"/>
  <c r="Q181" i="14"/>
  <c r="B181" i="14"/>
  <c r="AH181" i="14"/>
  <c r="P181" i="14"/>
  <c r="AG181" i="14"/>
  <c r="O181" i="14"/>
  <c r="AC181" i="14"/>
  <c r="N181" i="14"/>
  <c r="T181" i="14"/>
  <c r="C181" i="14"/>
  <c r="C181" i="7"/>
  <c r="Y185" i="14"/>
  <c r="O185" i="14"/>
  <c r="E185" i="14"/>
  <c r="AB185" i="14"/>
  <c r="Q185" i="14"/>
  <c r="F185" i="14"/>
  <c r="AE185" i="14"/>
  <c r="S185" i="14"/>
  <c r="G185" i="14"/>
  <c r="X185" i="14"/>
  <c r="K185" i="14"/>
  <c r="W185" i="14"/>
  <c r="J185" i="14"/>
  <c r="AD185" i="14"/>
  <c r="M185" i="14"/>
  <c r="AC185" i="14"/>
  <c r="L185" i="14"/>
  <c r="AA185" i="14"/>
  <c r="I185" i="14"/>
  <c r="Z185" i="14"/>
  <c r="H185" i="14"/>
  <c r="V185" i="14"/>
  <c r="D185" i="14"/>
  <c r="T185" i="14"/>
  <c r="B185" i="14"/>
  <c r="AH185" i="14"/>
  <c r="R185" i="14"/>
  <c r="A185" i="14"/>
  <c r="AG185" i="14"/>
  <c r="P185" i="14"/>
  <c r="AF185" i="14"/>
  <c r="N185" i="14"/>
  <c r="U185" i="14"/>
  <c r="C185" i="14"/>
  <c r="C185" i="7"/>
  <c r="E22" i="11"/>
  <c r="L17" i="12"/>
  <c r="P17" i="12"/>
  <c r="O17" i="12"/>
  <c r="N17" i="12"/>
  <c r="Q17" i="12" s="1"/>
  <c r="C102" i="12"/>
  <c r="H76" i="12"/>
  <c r="L42" i="12"/>
  <c r="P42" i="12"/>
  <c r="O42" i="12"/>
  <c r="N42" i="12"/>
  <c r="Q42" i="12" s="1"/>
  <c r="L67" i="12"/>
  <c r="P67" i="12"/>
  <c r="O67" i="12"/>
  <c r="N67" i="12"/>
  <c r="Q67" i="12" s="1"/>
  <c r="AD147" i="14"/>
  <c r="T147" i="14"/>
  <c r="J147" i="14"/>
  <c r="AC147" i="14"/>
  <c r="S147" i="14"/>
  <c r="I147" i="14"/>
  <c r="AF147" i="14"/>
  <c r="V147" i="14"/>
  <c r="L147" i="14"/>
  <c r="B147" i="14"/>
  <c r="AB147" i="14"/>
  <c r="O147" i="14"/>
  <c r="A147" i="14"/>
  <c r="AA147" i="14"/>
  <c r="N147" i="14"/>
  <c r="Z147" i="14"/>
  <c r="M147" i="14"/>
  <c r="Y147" i="14"/>
  <c r="K147" i="14"/>
  <c r="X147" i="14"/>
  <c r="H147" i="14"/>
  <c r="W147" i="14"/>
  <c r="G147" i="14"/>
  <c r="U147" i="14"/>
  <c r="F147" i="14"/>
  <c r="AH147" i="14"/>
  <c r="R147" i="14"/>
  <c r="E147" i="14"/>
  <c r="AG147" i="14"/>
  <c r="Q147" i="14"/>
  <c r="D147" i="14"/>
  <c r="AE147" i="14"/>
  <c r="P147" i="14"/>
  <c r="C147" i="14"/>
  <c r="C147" i="7"/>
  <c r="Y168" i="14"/>
  <c r="O168" i="14"/>
  <c r="E168" i="14"/>
  <c r="AH168" i="14"/>
  <c r="X168" i="14"/>
  <c r="N168" i="14"/>
  <c r="D168" i="14"/>
  <c r="AE168" i="14"/>
  <c r="S168" i="14"/>
  <c r="G168" i="14"/>
  <c r="AD168" i="14"/>
  <c r="R168" i="14"/>
  <c r="F168" i="14"/>
  <c r="AB168" i="14"/>
  <c r="P168" i="14"/>
  <c r="AG168" i="14"/>
  <c r="U168" i="14"/>
  <c r="I168" i="14"/>
  <c r="Z168" i="14"/>
  <c r="C168" i="14"/>
  <c r="W168" i="14"/>
  <c r="B168" i="14"/>
  <c r="V168" i="14"/>
  <c r="A168" i="14"/>
  <c r="T168" i="14"/>
  <c r="Q168" i="14"/>
  <c r="M168" i="14"/>
  <c r="L168" i="14"/>
  <c r="AF168" i="14"/>
  <c r="K168" i="14"/>
  <c r="AC168" i="14"/>
  <c r="J168" i="14"/>
  <c r="AA168" i="14"/>
  <c r="H168" i="14"/>
  <c r="C168" i="7"/>
  <c r="AD172" i="14"/>
  <c r="T172" i="14"/>
  <c r="J172" i="14"/>
  <c r="Z172" i="14"/>
  <c r="O172" i="14"/>
  <c r="D172" i="14"/>
  <c r="Y172" i="14"/>
  <c r="N172" i="14"/>
  <c r="C172" i="14"/>
  <c r="AB172" i="14"/>
  <c r="M172" i="14"/>
  <c r="AA172" i="14"/>
  <c r="L172" i="14"/>
  <c r="X172" i="14"/>
  <c r="K172" i="14"/>
  <c r="W172" i="14"/>
  <c r="I172" i="14"/>
  <c r="AE172" i="14"/>
  <c r="Q172" i="14"/>
  <c r="B172" i="14"/>
  <c r="P172" i="14"/>
  <c r="H172" i="14"/>
  <c r="AH172" i="14"/>
  <c r="G172" i="14"/>
  <c r="AG172" i="14"/>
  <c r="F172" i="14"/>
  <c r="AF172" i="14"/>
  <c r="E172" i="14"/>
  <c r="AC172" i="14"/>
  <c r="A172" i="14"/>
  <c r="V172" i="14"/>
  <c r="U172" i="14"/>
  <c r="S172" i="14"/>
  <c r="R172" i="14"/>
  <c r="C172" i="7"/>
  <c r="AA192" i="14"/>
  <c r="Q192" i="14"/>
  <c r="G192" i="14"/>
  <c r="AH192" i="14"/>
  <c r="W192" i="14"/>
  <c r="L192" i="14"/>
  <c r="A192" i="14"/>
  <c r="Z192" i="14"/>
  <c r="O192" i="14"/>
  <c r="D192" i="14"/>
  <c r="AE192" i="14"/>
  <c r="R192" i="14"/>
  <c r="C192" i="14"/>
  <c r="V192" i="14"/>
  <c r="H192" i="14"/>
  <c r="U192" i="14"/>
  <c r="F192" i="14"/>
  <c r="P192" i="14"/>
  <c r="AG192" i="14"/>
  <c r="N192" i="14"/>
  <c r="AF192" i="14"/>
  <c r="M192" i="14"/>
  <c r="AD192" i="14"/>
  <c r="K192" i="14"/>
  <c r="AC192" i="14"/>
  <c r="J192" i="14"/>
  <c r="Y192" i="14"/>
  <c r="E192" i="14"/>
  <c r="X192" i="14"/>
  <c r="B192" i="14"/>
  <c r="T192" i="14"/>
  <c r="S192" i="14"/>
  <c r="I192" i="14"/>
  <c r="AB192" i="14"/>
  <c r="C192" i="7"/>
  <c r="Y200" i="14"/>
  <c r="O200" i="14"/>
  <c r="E200" i="14"/>
  <c r="AC200" i="14"/>
  <c r="R200" i="14"/>
  <c r="G200" i="14"/>
  <c r="AF200" i="14"/>
  <c r="U200" i="14"/>
  <c r="J200" i="14"/>
  <c r="W200" i="14"/>
  <c r="I200" i="14"/>
  <c r="AB200" i="14"/>
  <c r="M200" i="14"/>
  <c r="AA200" i="14"/>
  <c r="L200" i="14"/>
  <c r="Z200" i="14"/>
  <c r="K200" i="14"/>
  <c r="AE200" i="14"/>
  <c r="P200" i="14"/>
  <c r="A200" i="14"/>
  <c r="T200" i="14"/>
  <c r="S200" i="14"/>
  <c r="Q200" i="14"/>
  <c r="N200" i="14"/>
  <c r="H200" i="14"/>
  <c r="AG200" i="14"/>
  <c r="D200" i="14"/>
  <c r="AD200" i="14"/>
  <c r="C200" i="14"/>
  <c r="X200" i="14"/>
  <c r="B200" i="14"/>
  <c r="V200" i="14"/>
  <c r="AH200" i="14"/>
  <c r="F200" i="14"/>
  <c r="C200" i="7"/>
  <c r="L99" i="9"/>
  <c r="R99" i="9" s="1"/>
  <c r="P101" i="9"/>
  <c r="F110" i="14"/>
  <c r="P110" i="14" s="1"/>
  <c r="E110" i="14"/>
  <c r="M110" i="14"/>
  <c r="Y110" i="14"/>
  <c r="Z110" i="14" s="1"/>
  <c r="W110" i="14"/>
  <c r="X110" i="14" s="1"/>
  <c r="D110" i="14"/>
  <c r="Q110" i="14" s="1"/>
  <c r="A110" i="14"/>
  <c r="U110" i="14"/>
  <c r="V110" i="14" s="1"/>
  <c r="S110" i="14"/>
  <c r="T110" i="14" s="1"/>
  <c r="N110" i="14"/>
  <c r="O110" i="14" s="1"/>
  <c r="C110" i="14"/>
  <c r="B110" i="14"/>
  <c r="C110" i="7"/>
  <c r="N110" i="9"/>
  <c r="F113" i="14"/>
  <c r="P113" i="14" s="1"/>
  <c r="Y113" i="14"/>
  <c r="Z113" i="14" s="1"/>
  <c r="E113" i="14"/>
  <c r="N113" i="14"/>
  <c r="O113" i="14" s="1"/>
  <c r="B113" i="14"/>
  <c r="M113" i="14"/>
  <c r="A113" i="14"/>
  <c r="D113" i="14"/>
  <c r="Q113" i="14" s="1"/>
  <c r="S113" i="14"/>
  <c r="T113" i="14" s="1"/>
  <c r="W113" i="14"/>
  <c r="X113" i="14" s="1"/>
  <c r="U113" i="14"/>
  <c r="V113" i="14" s="1"/>
  <c r="C113" i="14"/>
  <c r="C113" i="7"/>
  <c r="M113" i="9"/>
  <c r="O113" i="9" s="1"/>
  <c r="N121" i="14"/>
  <c r="O121" i="14" s="1"/>
  <c r="D121" i="14"/>
  <c r="Q121" i="14" s="1"/>
  <c r="W121" i="14"/>
  <c r="X121" i="14" s="1"/>
  <c r="M121" i="14"/>
  <c r="C121" i="14"/>
  <c r="AD121" i="14"/>
  <c r="F121" i="14"/>
  <c r="P121" i="14" s="1"/>
  <c r="E121" i="14"/>
  <c r="Y121" i="14"/>
  <c r="Z121" i="14" s="1"/>
  <c r="B121" i="14"/>
  <c r="U121" i="14"/>
  <c r="V121" i="14" s="1"/>
  <c r="A121" i="14"/>
  <c r="S121" i="14"/>
  <c r="T121" i="14" s="1"/>
  <c r="C121" i="7"/>
  <c r="L124" i="9"/>
  <c r="R124" i="9" s="1"/>
  <c r="P126" i="9"/>
  <c r="AD135" i="14"/>
  <c r="D135" i="14"/>
  <c r="Q135" i="14" s="1"/>
  <c r="C135" i="14"/>
  <c r="F135" i="14"/>
  <c r="P135" i="14" s="1"/>
  <c r="U135" i="14"/>
  <c r="V135" i="14" s="1"/>
  <c r="A135" i="14"/>
  <c r="S135" i="14"/>
  <c r="T135" i="14" s="1"/>
  <c r="N135" i="14"/>
  <c r="O135" i="14" s="1"/>
  <c r="M135" i="14"/>
  <c r="Y135" i="14"/>
  <c r="Z135" i="14" s="1"/>
  <c r="W135" i="14"/>
  <c r="X135" i="14" s="1"/>
  <c r="E135" i="14"/>
  <c r="B135" i="14"/>
  <c r="C135" i="7"/>
  <c r="N135" i="9"/>
  <c r="O135" i="9" s="1"/>
  <c r="F138" i="14"/>
  <c r="P138" i="14" s="1"/>
  <c r="Y138" i="14"/>
  <c r="Z138" i="14" s="1"/>
  <c r="E138" i="14"/>
  <c r="U138" i="14"/>
  <c r="V138" i="14" s="1"/>
  <c r="D138" i="14"/>
  <c r="Q138" i="14" s="1"/>
  <c r="B138" i="14"/>
  <c r="N138" i="14"/>
  <c r="O138" i="14" s="1"/>
  <c r="A138" i="14"/>
  <c r="W138" i="14"/>
  <c r="X138" i="14" s="1"/>
  <c r="S138" i="14"/>
  <c r="T138" i="14" s="1"/>
  <c r="M138" i="14"/>
  <c r="I138" i="14"/>
  <c r="J138" i="14" s="1"/>
  <c r="C138" i="14"/>
  <c r="C138" i="7"/>
  <c r="M138" i="9"/>
  <c r="N141" i="9"/>
  <c r="O141" i="9" s="1"/>
  <c r="AG151" i="14"/>
  <c r="W151" i="14"/>
  <c r="M151" i="14"/>
  <c r="C151" i="14"/>
  <c r="AH151" i="14"/>
  <c r="V151" i="14"/>
  <c r="K151" i="14"/>
  <c r="AF151" i="14"/>
  <c r="U151" i="14"/>
  <c r="J151" i="14"/>
  <c r="Y151" i="14"/>
  <c r="N151" i="14"/>
  <c r="B151" i="14"/>
  <c r="AD151" i="14"/>
  <c r="P151" i="14"/>
  <c r="AC151" i="14"/>
  <c r="O151" i="14"/>
  <c r="AB151" i="14"/>
  <c r="L151" i="14"/>
  <c r="AA151" i="14"/>
  <c r="I151" i="14"/>
  <c r="Z151" i="14"/>
  <c r="H151" i="14"/>
  <c r="X151" i="14"/>
  <c r="G151" i="14"/>
  <c r="T151" i="14"/>
  <c r="F151" i="14"/>
  <c r="S151" i="14"/>
  <c r="E151" i="14"/>
  <c r="R151" i="14"/>
  <c r="D151" i="14"/>
  <c r="AE151" i="14"/>
  <c r="Q151" i="14"/>
  <c r="A151" i="14"/>
  <c r="C151" i="7"/>
  <c r="AA155" i="14"/>
  <c r="Q155" i="14"/>
  <c r="G155" i="14"/>
  <c r="AE155" i="14"/>
  <c r="T155" i="14"/>
  <c r="I155" i="14"/>
  <c r="AD155" i="14"/>
  <c r="S155" i="14"/>
  <c r="H155" i="14"/>
  <c r="AG155" i="14"/>
  <c r="V155" i="14"/>
  <c r="K155" i="14"/>
  <c r="W155" i="14"/>
  <c r="E155" i="14"/>
  <c r="U155" i="14"/>
  <c r="D155" i="14"/>
  <c r="R155" i="14"/>
  <c r="C155" i="14"/>
  <c r="AH155" i="14"/>
  <c r="P155" i="14"/>
  <c r="B155" i="14"/>
  <c r="AF155" i="14"/>
  <c r="O155" i="14"/>
  <c r="A155" i="14"/>
  <c r="AC155" i="14"/>
  <c r="N155" i="14"/>
  <c r="AB155" i="14"/>
  <c r="M155" i="14"/>
  <c r="Z155" i="14"/>
  <c r="L155" i="14"/>
  <c r="Y155" i="14"/>
  <c r="J155" i="14"/>
  <c r="X155" i="14"/>
  <c r="F155" i="14"/>
  <c r="C155" i="7"/>
  <c r="AH176" i="14"/>
  <c r="X176" i="14"/>
  <c r="N176" i="14"/>
  <c r="D176" i="14"/>
  <c r="W176" i="14"/>
  <c r="L176" i="14"/>
  <c r="A176" i="14"/>
  <c r="AG176" i="14"/>
  <c r="V176" i="14"/>
  <c r="K176" i="14"/>
  <c r="AD176" i="14"/>
  <c r="Q176" i="14"/>
  <c r="C176" i="14"/>
  <c r="AC176" i="14"/>
  <c r="P176" i="14"/>
  <c r="B176" i="14"/>
  <c r="AB176" i="14"/>
  <c r="O176" i="14"/>
  <c r="AA176" i="14"/>
  <c r="M176" i="14"/>
  <c r="AF176" i="14"/>
  <c r="S176" i="14"/>
  <c r="F176" i="14"/>
  <c r="R176" i="14"/>
  <c r="J176" i="14"/>
  <c r="I176" i="14"/>
  <c r="H176" i="14"/>
  <c r="G176" i="14"/>
  <c r="AE176" i="14"/>
  <c r="E176" i="14"/>
  <c r="Z176" i="14"/>
  <c r="Y176" i="14"/>
  <c r="U176" i="14"/>
  <c r="T176" i="14"/>
  <c r="C176" i="7"/>
  <c r="Y180" i="14"/>
  <c r="O180" i="14"/>
  <c r="E180" i="14"/>
  <c r="AE180" i="14"/>
  <c r="T180" i="14"/>
  <c r="I180" i="14"/>
  <c r="AB180" i="14"/>
  <c r="P180" i="14"/>
  <c r="C180" i="14"/>
  <c r="AD180" i="14"/>
  <c r="Q180" i="14"/>
  <c r="B180" i="14"/>
  <c r="AC180" i="14"/>
  <c r="N180" i="14"/>
  <c r="A180" i="14"/>
  <c r="AA180" i="14"/>
  <c r="K180" i="14"/>
  <c r="Z180" i="14"/>
  <c r="J180" i="14"/>
  <c r="X180" i="14"/>
  <c r="H180" i="14"/>
  <c r="W180" i="14"/>
  <c r="G180" i="14"/>
  <c r="V180" i="14"/>
  <c r="F180" i="14"/>
  <c r="AH180" i="14"/>
  <c r="R180" i="14"/>
  <c r="AG180" i="14"/>
  <c r="M180" i="14"/>
  <c r="AF180" i="14"/>
  <c r="L180" i="14"/>
  <c r="U180" i="14"/>
  <c r="S180" i="14"/>
  <c r="D180" i="14"/>
  <c r="C180" i="7"/>
  <c r="AG188" i="14"/>
  <c r="W188" i="14"/>
  <c r="M188" i="14"/>
  <c r="C188" i="14"/>
  <c r="Z188" i="14"/>
  <c r="O188" i="14"/>
  <c r="D188" i="14"/>
  <c r="AB188" i="14"/>
  <c r="P188" i="14"/>
  <c r="B188" i="14"/>
  <c r="AF188" i="14"/>
  <c r="S188" i="14"/>
  <c r="F188" i="14"/>
  <c r="AE188" i="14"/>
  <c r="R188" i="14"/>
  <c r="E188" i="14"/>
  <c r="AD188" i="14"/>
  <c r="L188" i="14"/>
  <c r="AC188" i="14"/>
  <c r="K188" i="14"/>
  <c r="AA188" i="14"/>
  <c r="J188" i="14"/>
  <c r="Y188" i="14"/>
  <c r="I188" i="14"/>
  <c r="X188" i="14"/>
  <c r="H188" i="14"/>
  <c r="U188" i="14"/>
  <c r="A188" i="14"/>
  <c r="T188" i="14"/>
  <c r="Q188" i="14"/>
  <c r="AH188" i="14"/>
  <c r="N188" i="14"/>
  <c r="V188" i="14"/>
  <c r="G188" i="14"/>
  <c r="C188" i="7"/>
  <c r="L32" i="12"/>
  <c r="P32" i="12"/>
  <c r="O32" i="12"/>
  <c r="N32" i="12"/>
  <c r="Q32" i="12" s="1"/>
  <c r="L57" i="12"/>
  <c r="F86" i="12" s="1"/>
  <c r="P57" i="12"/>
  <c r="O57" i="12"/>
  <c r="N57" i="12"/>
  <c r="Q57" i="12" s="1"/>
  <c r="C144" i="7"/>
  <c r="Y163" i="14"/>
  <c r="O163" i="14"/>
  <c r="E163" i="14"/>
  <c r="AH163" i="14"/>
  <c r="X163" i="14"/>
  <c r="N163" i="14"/>
  <c r="D163" i="14"/>
  <c r="AA163" i="14"/>
  <c r="M163" i="14"/>
  <c r="A163" i="14"/>
  <c r="Z163" i="14"/>
  <c r="L163" i="14"/>
  <c r="AC163" i="14"/>
  <c r="Q163" i="14"/>
  <c r="C163" i="14"/>
  <c r="AF163" i="14"/>
  <c r="P163" i="14"/>
  <c r="AE163" i="14"/>
  <c r="K163" i="14"/>
  <c r="AD163" i="14"/>
  <c r="J163" i="14"/>
  <c r="AB163" i="14"/>
  <c r="I163" i="14"/>
  <c r="W163" i="14"/>
  <c r="H163" i="14"/>
  <c r="V163" i="14"/>
  <c r="G163" i="14"/>
  <c r="U163" i="14"/>
  <c r="F163" i="14"/>
  <c r="T163" i="14"/>
  <c r="B163" i="14"/>
  <c r="S163" i="14"/>
  <c r="AG163" i="14"/>
  <c r="R163" i="14"/>
  <c r="C163" i="7"/>
  <c r="AC167" i="14"/>
  <c r="S167" i="14"/>
  <c r="I167" i="14"/>
  <c r="AB167" i="14"/>
  <c r="R167" i="14"/>
  <c r="H167" i="14"/>
  <c r="AA167" i="14"/>
  <c r="O167" i="14"/>
  <c r="C167" i="14"/>
  <c r="Z167" i="14"/>
  <c r="N167" i="14"/>
  <c r="B167" i="14"/>
  <c r="AE167" i="14"/>
  <c r="Q167" i="14"/>
  <c r="E167" i="14"/>
  <c r="V167" i="14"/>
  <c r="D167" i="14"/>
  <c r="U167" i="14"/>
  <c r="A167" i="14"/>
  <c r="T167" i="14"/>
  <c r="AH167" i="14"/>
  <c r="P167" i="14"/>
  <c r="AG167" i="14"/>
  <c r="M167" i="14"/>
  <c r="AF167" i="14"/>
  <c r="L167" i="14"/>
  <c r="AD167" i="14"/>
  <c r="K167" i="14"/>
  <c r="Y167" i="14"/>
  <c r="J167" i="14"/>
  <c r="X167" i="14"/>
  <c r="G167" i="14"/>
  <c r="W167" i="14"/>
  <c r="F167" i="14"/>
  <c r="C167" i="7"/>
  <c r="AG203" i="14"/>
  <c r="W203" i="14"/>
  <c r="M203" i="14"/>
  <c r="C203" i="14"/>
  <c r="AA203" i="14"/>
  <c r="P203" i="14"/>
  <c r="E203" i="14"/>
  <c r="AD203" i="14"/>
  <c r="S203" i="14"/>
  <c r="H203" i="14"/>
  <c r="AF203" i="14"/>
  <c r="R203" i="14"/>
  <c r="D203" i="14"/>
  <c r="AE203" i="14"/>
  <c r="Q203" i="14"/>
  <c r="B203" i="14"/>
  <c r="AC203" i="14"/>
  <c r="L203" i="14"/>
  <c r="AB203" i="14"/>
  <c r="K203" i="14"/>
  <c r="Z203" i="14"/>
  <c r="J203" i="14"/>
  <c r="O203" i="14"/>
  <c r="F203" i="14"/>
  <c r="AH203" i="14"/>
  <c r="A203" i="14"/>
  <c r="Y203" i="14"/>
  <c r="X203" i="14"/>
  <c r="V203" i="14"/>
  <c r="T203" i="14"/>
  <c r="N203" i="14"/>
  <c r="I203" i="14"/>
  <c r="G203" i="14"/>
  <c r="U203" i="14"/>
  <c r="C203" i="7"/>
  <c r="F43" i="13"/>
  <c r="H5" i="8"/>
  <c r="H43" i="13" s="1"/>
  <c r="F50" i="13"/>
  <c r="G12" i="8"/>
  <c r="G50" i="13" s="1"/>
  <c r="F93" i="13"/>
  <c r="H55" i="8"/>
  <c r="H93" i="13" s="1"/>
  <c r="F100" i="13"/>
  <c r="G62" i="8"/>
  <c r="G100" i="13" s="1"/>
  <c r="F126" i="13"/>
  <c r="H88" i="8"/>
  <c r="H126" i="13" s="1"/>
  <c r="L4" i="9"/>
  <c r="R4" i="9" s="1"/>
  <c r="P6" i="9"/>
  <c r="G15" i="14"/>
  <c r="H15" i="14" s="1"/>
  <c r="F15" i="14"/>
  <c r="P15" i="14" s="1"/>
  <c r="S15" i="14"/>
  <c r="T15" i="14" s="1"/>
  <c r="Y15" i="14"/>
  <c r="Z15" i="14" s="1"/>
  <c r="N15" i="14"/>
  <c r="O15" i="14" s="1"/>
  <c r="A15" i="14"/>
  <c r="M15" i="14"/>
  <c r="E15" i="14"/>
  <c r="W15" i="14"/>
  <c r="X15" i="14" s="1"/>
  <c r="D15" i="14"/>
  <c r="Q15" i="14" s="1"/>
  <c r="C15" i="14"/>
  <c r="C15" i="7"/>
  <c r="N15" i="9"/>
  <c r="U15" i="14"/>
  <c r="V15" i="14" s="1"/>
  <c r="B15" i="14"/>
  <c r="U18" i="14"/>
  <c r="V18" i="14" s="1"/>
  <c r="W18" i="14"/>
  <c r="X18" i="14" s="1"/>
  <c r="A18" i="14"/>
  <c r="N18" i="14"/>
  <c r="O18" i="14" s="1"/>
  <c r="C18" i="14"/>
  <c r="Y18" i="14"/>
  <c r="Z18" i="14" s="1"/>
  <c r="D18" i="14"/>
  <c r="Q18" i="14" s="1"/>
  <c r="B18" i="14"/>
  <c r="S18" i="14"/>
  <c r="T18" i="14" s="1"/>
  <c r="M18" i="14"/>
  <c r="F18" i="14"/>
  <c r="P18" i="14" s="1"/>
  <c r="C18" i="7"/>
  <c r="E18" i="14"/>
  <c r="M18" i="9"/>
  <c r="P18" i="9" s="1"/>
  <c r="Y26" i="14"/>
  <c r="Z26" i="14" s="1"/>
  <c r="E26" i="14"/>
  <c r="D26" i="14"/>
  <c r="Q26" i="14" s="1"/>
  <c r="N26" i="14"/>
  <c r="O26" i="14" s="1"/>
  <c r="C26" i="14"/>
  <c r="AD26" i="14"/>
  <c r="W26" i="14"/>
  <c r="X26" i="14" s="1"/>
  <c r="B26" i="14"/>
  <c r="A26" i="14"/>
  <c r="U26" i="14"/>
  <c r="V26" i="14" s="1"/>
  <c r="S26" i="14"/>
  <c r="T26" i="14" s="1"/>
  <c r="M26" i="14"/>
  <c r="C26" i="7"/>
  <c r="F26" i="14"/>
  <c r="P26" i="14" s="1"/>
  <c r="L29" i="9"/>
  <c r="R29" i="9" s="1"/>
  <c r="S40" i="14"/>
  <c r="T40" i="14" s="1"/>
  <c r="I40" i="14"/>
  <c r="J40" i="14" s="1"/>
  <c r="F40" i="14"/>
  <c r="P40" i="14" s="1"/>
  <c r="E40" i="14"/>
  <c r="AD40" i="14"/>
  <c r="M40" i="14"/>
  <c r="Y40" i="14"/>
  <c r="Z40" i="14" s="1"/>
  <c r="D40" i="14"/>
  <c r="Q40" i="14" s="1"/>
  <c r="U40" i="14"/>
  <c r="V40" i="14" s="1"/>
  <c r="C40" i="14"/>
  <c r="B40" i="14"/>
  <c r="A40" i="14"/>
  <c r="W40" i="14"/>
  <c r="X40" i="14" s="1"/>
  <c r="N40" i="14"/>
  <c r="O40" i="14" s="1"/>
  <c r="C40" i="7"/>
  <c r="N40" i="9"/>
  <c r="O40" i="9" s="1"/>
  <c r="D43" i="14"/>
  <c r="Q43" i="14" s="1"/>
  <c r="Y43" i="14"/>
  <c r="Z43" i="14" s="1"/>
  <c r="N43" i="14"/>
  <c r="O43" i="14" s="1"/>
  <c r="C43" i="14"/>
  <c r="F43" i="14"/>
  <c r="P43" i="14" s="1"/>
  <c r="U43" i="14"/>
  <c r="V43" i="14" s="1"/>
  <c r="E43" i="14"/>
  <c r="B43" i="14"/>
  <c r="S43" i="14"/>
  <c r="T43" i="14" s="1"/>
  <c r="A43" i="14"/>
  <c r="M43" i="14"/>
  <c r="K43" i="14"/>
  <c r="L43" i="14" s="1"/>
  <c r="W43" i="14"/>
  <c r="X43" i="14" s="1"/>
  <c r="C43" i="7"/>
  <c r="M43" i="9"/>
  <c r="AD43" i="14" s="1"/>
  <c r="Y51" i="14"/>
  <c r="Z51" i="14" s="1"/>
  <c r="E51" i="14"/>
  <c r="U51" i="14"/>
  <c r="V51" i="14" s="1"/>
  <c r="W51" i="14"/>
  <c r="X51" i="14" s="1"/>
  <c r="A51" i="14"/>
  <c r="S51" i="14"/>
  <c r="T51" i="14" s="1"/>
  <c r="D51" i="14"/>
  <c r="Q51" i="14" s="1"/>
  <c r="C51" i="14"/>
  <c r="B51" i="14"/>
  <c r="AD51" i="14"/>
  <c r="N51" i="14"/>
  <c r="O51" i="14" s="1"/>
  <c r="M51" i="14"/>
  <c r="F51" i="14"/>
  <c r="P51" i="14" s="1"/>
  <c r="C51" i="7"/>
  <c r="L54" i="9"/>
  <c r="R54" i="9" s="1"/>
  <c r="P56" i="9"/>
  <c r="Y65" i="14"/>
  <c r="Z65" i="14" s="1"/>
  <c r="E65" i="14"/>
  <c r="G65" i="14"/>
  <c r="H65" i="14" s="1"/>
  <c r="F65" i="14"/>
  <c r="P65" i="14" s="1"/>
  <c r="W65" i="14"/>
  <c r="X65" i="14" s="1"/>
  <c r="M65" i="14"/>
  <c r="A65" i="14"/>
  <c r="S65" i="14"/>
  <c r="T65" i="14" s="1"/>
  <c r="N65" i="14"/>
  <c r="O65" i="14" s="1"/>
  <c r="AD65" i="14"/>
  <c r="D65" i="14"/>
  <c r="Q65" i="14" s="1"/>
  <c r="C65" i="14"/>
  <c r="U65" i="14"/>
  <c r="V65" i="14" s="1"/>
  <c r="B65" i="14"/>
  <c r="C65" i="7"/>
  <c r="N65" i="9"/>
  <c r="O65" i="9" s="1"/>
  <c r="W68" i="14"/>
  <c r="X68" i="14" s="1"/>
  <c r="M68" i="14"/>
  <c r="C68" i="14"/>
  <c r="E68" i="14"/>
  <c r="D68" i="14"/>
  <c r="Q68" i="14" s="1"/>
  <c r="S68" i="14"/>
  <c r="T68" i="14" s="1"/>
  <c r="F68" i="14"/>
  <c r="P68" i="14" s="1"/>
  <c r="I68" i="14"/>
  <c r="J68" i="14" s="1"/>
  <c r="N68" i="14"/>
  <c r="O68" i="14" s="1"/>
  <c r="Y68" i="14"/>
  <c r="Z68" i="14" s="1"/>
  <c r="B68" i="14"/>
  <c r="A68" i="14"/>
  <c r="U68" i="14"/>
  <c r="V68" i="14" s="1"/>
  <c r="C68" i="7"/>
  <c r="M68" i="9"/>
  <c r="O68" i="9" s="1"/>
  <c r="U76" i="14"/>
  <c r="V76" i="14" s="1"/>
  <c r="A76" i="14"/>
  <c r="Y76" i="14"/>
  <c r="Z76" i="14" s="1"/>
  <c r="M76" i="14"/>
  <c r="N76" i="14"/>
  <c r="O76" i="14" s="1"/>
  <c r="W76" i="14"/>
  <c r="X76" i="14" s="1"/>
  <c r="G76" i="14"/>
  <c r="H76" i="14" s="1"/>
  <c r="F76" i="14"/>
  <c r="P76" i="14" s="1"/>
  <c r="S76" i="14"/>
  <c r="T76" i="14" s="1"/>
  <c r="E76" i="14"/>
  <c r="D76" i="14"/>
  <c r="Q76" i="14" s="1"/>
  <c r="C76" i="14"/>
  <c r="B76" i="14"/>
  <c r="C76" i="7"/>
  <c r="L79" i="9"/>
  <c r="R79" i="9" s="1"/>
  <c r="Y90" i="14"/>
  <c r="Z90" i="14" s="1"/>
  <c r="E90" i="14"/>
  <c r="N90" i="14"/>
  <c r="O90" i="14" s="1"/>
  <c r="D90" i="14"/>
  <c r="Q90" i="14" s="1"/>
  <c r="M90" i="14"/>
  <c r="B90" i="14"/>
  <c r="I90" i="14"/>
  <c r="J90" i="14" s="1"/>
  <c r="W90" i="14"/>
  <c r="X90" i="14" s="1"/>
  <c r="F90" i="14"/>
  <c r="P90" i="14" s="1"/>
  <c r="C90" i="14"/>
  <c r="U90" i="14"/>
  <c r="V90" i="14" s="1"/>
  <c r="A90" i="14"/>
  <c r="S90" i="14"/>
  <c r="T90" i="14" s="1"/>
  <c r="C90" i="7"/>
  <c r="N90" i="9"/>
  <c r="O90" i="9" s="1"/>
  <c r="W93" i="14"/>
  <c r="X93" i="14" s="1"/>
  <c r="M93" i="14"/>
  <c r="C93" i="14"/>
  <c r="B93" i="14"/>
  <c r="Y93" i="14"/>
  <c r="Z93" i="14" s="1"/>
  <c r="E93" i="14"/>
  <c r="F93" i="14"/>
  <c r="P93" i="14" s="1"/>
  <c r="U93" i="14"/>
  <c r="V93" i="14" s="1"/>
  <c r="D93" i="14"/>
  <c r="Q93" i="14" s="1"/>
  <c r="A93" i="14"/>
  <c r="S93" i="14"/>
  <c r="T93" i="14" s="1"/>
  <c r="N93" i="14"/>
  <c r="O93" i="14" s="1"/>
  <c r="C93" i="7"/>
  <c r="M93" i="9"/>
  <c r="U101" i="14"/>
  <c r="V101" i="14" s="1"/>
  <c r="A101" i="14"/>
  <c r="AD101" i="14"/>
  <c r="W101" i="14"/>
  <c r="X101" i="14" s="1"/>
  <c r="M101" i="14"/>
  <c r="C101" i="14"/>
  <c r="Y101" i="14"/>
  <c r="Z101" i="14" s="1"/>
  <c r="E101" i="14"/>
  <c r="D101" i="14"/>
  <c r="Q101" i="14" s="1"/>
  <c r="S101" i="14"/>
  <c r="T101" i="14" s="1"/>
  <c r="B101" i="14"/>
  <c r="N101" i="14"/>
  <c r="O101" i="14" s="1"/>
  <c r="F101" i="14"/>
  <c r="P101" i="14" s="1"/>
  <c r="C101" i="7"/>
  <c r="L104" i="9"/>
  <c r="R104" i="9" s="1"/>
  <c r="U115" i="14"/>
  <c r="V115" i="14" s="1"/>
  <c r="I115" i="14"/>
  <c r="J115" i="14" s="1"/>
  <c r="C115" i="14"/>
  <c r="S115" i="14"/>
  <c r="T115" i="14" s="1"/>
  <c r="B115" i="14"/>
  <c r="A115" i="14"/>
  <c r="N115" i="14"/>
  <c r="O115" i="14" s="1"/>
  <c r="M115" i="14"/>
  <c r="Y115" i="14"/>
  <c r="Z115" i="14" s="1"/>
  <c r="E115" i="14"/>
  <c r="W115" i="14"/>
  <c r="X115" i="14" s="1"/>
  <c r="F115" i="14"/>
  <c r="P115" i="14" s="1"/>
  <c r="D115" i="14"/>
  <c r="Q115" i="14" s="1"/>
  <c r="C115" i="7"/>
  <c r="N115" i="9"/>
  <c r="F118" i="14"/>
  <c r="P118" i="14" s="1"/>
  <c r="Y118" i="14"/>
  <c r="Z118" i="14" s="1"/>
  <c r="E118" i="14"/>
  <c r="S118" i="14"/>
  <c r="T118" i="14" s="1"/>
  <c r="D118" i="14"/>
  <c r="Q118" i="14" s="1"/>
  <c r="W118" i="14"/>
  <c r="X118" i="14" s="1"/>
  <c r="C118" i="14"/>
  <c r="U118" i="14"/>
  <c r="V118" i="14" s="1"/>
  <c r="B118" i="14"/>
  <c r="A118" i="14"/>
  <c r="N118" i="14"/>
  <c r="O118" i="14" s="1"/>
  <c r="M118" i="14"/>
  <c r="C118" i="7"/>
  <c r="M118" i="9"/>
  <c r="P118" i="9" s="1"/>
  <c r="N121" i="9"/>
  <c r="O121" i="9" s="1"/>
  <c r="N126" i="14"/>
  <c r="O126" i="14" s="1"/>
  <c r="D126" i="14"/>
  <c r="Q126" i="14" s="1"/>
  <c r="W126" i="14"/>
  <c r="X126" i="14" s="1"/>
  <c r="M126" i="14"/>
  <c r="C126" i="14"/>
  <c r="U126" i="14"/>
  <c r="V126" i="14" s="1"/>
  <c r="E126" i="14"/>
  <c r="S126" i="14"/>
  <c r="T126" i="14" s="1"/>
  <c r="B126" i="14"/>
  <c r="A126" i="14"/>
  <c r="AD126" i="14"/>
  <c r="Y126" i="14"/>
  <c r="Z126" i="14" s="1"/>
  <c r="F126" i="14"/>
  <c r="P126" i="14" s="1"/>
  <c r="C126" i="7"/>
  <c r="L129" i="9"/>
  <c r="R129" i="9" s="1"/>
  <c r="G140" i="14"/>
  <c r="H140" i="14" s="1"/>
  <c r="K140" i="14"/>
  <c r="L140" i="14" s="1"/>
  <c r="W140" i="14"/>
  <c r="X140" i="14" s="1"/>
  <c r="I140" i="14"/>
  <c r="J140" i="14" s="1"/>
  <c r="F140" i="14"/>
  <c r="P140" i="14" s="1"/>
  <c r="U140" i="14"/>
  <c r="V140" i="14" s="1"/>
  <c r="E140" i="14"/>
  <c r="S140" i="14"/>
  <c r="T140" i="14" s="1"/>
  <c r="D140" i="14"/>
  <c r="Q140" i="14" s="1"/>
  <c r="C140" i="14"/>
  <c r="B140" i="14"/>
  <c r="M140" i="14"/>
  <c r="Y140" i="14"/>
  <c r="Z140" i="14" s="1"/>
  <c r="N140" i="14"/>
  <c r="O140" i="14" s="1"/>
  <c r="A140" i="14"/>
  <c r="C140" i="7"/>
  <c r="N140" i="9"/>
  <c r="F143" i="14"/>
  <c r="P143" i="14" s="1"/>
  <c r="Y143" i="14"/>
  <c r="Z143" i="14" s="1"/>
  <c r="E143" i="14"/>
  <c r="U143" i="14"/>
  <c r="V143" i="14" s="1"/>
  <c r="D143" i="14"/>
  <c r="Q143" i="14" s="1"/>
  <c r="S143" i="14"/>
  <c r="T143" i="14" s="1"/>
  <c r="C143" i="14"/>
  <c r="B143" i="14"/>
  <c r="N143" i="14"/>
  <c r="O143" i="14" s="1"/>
  <c r="A143" i="14"/>
  <c r="M143" i="14"/>
  <c r="W143" i="14"/>
  <c r="X143" i="14" s="1"/>
  <c r="C143" i="7"/>
  <c r="M143" i="9"/>
  <c r="O143" i="9" s="1"/>
  <c r="AH146" i="14"/>
  <c r="X146" i="14"/>
  <c r="N146" i="14"/>
  <c r="D146" i="14"/>
  <c r="AG146" i="14"/>
  <c r="W146" i="14"/>
  <c r="M146" i="14"/>
  <c r="C146" i="14"/>
  <c r="Z146" i="14"/>
  <c r="P146" i="14"/>
  <c r="F146" i="14"/>
  <c r="T146" i="14"/>
  <c r="G146" i="14"/>
  <c r="AF146" i="14"/>
  <c r="S146" i="14"/>
  <c r="E146" i="14"/>
  <c r="AE146" i="14"/>
  <c r="R146" i="14"/>
  <c r="B146" i="14"/>
  <c r="AD146" i="14"/>
  <c r="Q146" i="14"/>
  <c r="A146" i="14"/>
  <c r="AC146" i="14"/>
  <c r="O146" i="14"/>
  <c r="AB146" i="14"/>
  <c r="L146" i="14"/>
  <c r="AA146" i="14"/>
  <c r="K146" i="14"/>
  <c r="Y146" i="14"/>
  <c r="J146" i="14"/>
  <c r="V146" i="14"/>
  <c r="I146" i="14"/>
  <c r="U146" i="14"/>
  <c r="H146" i="14"/>
  <c r="C146" i="7"/>
  <c r="AA150" i="14"/>
  <c r="Q150" i="14"/>
  <c r="G150" i="14"/>
  <c r="AH150" i="14"/>
  <c r="W150" i="14"/>
  <c r="L150" i="14"/>
  <c r="A150" i="14"/>
  <c r="AG150" i="14"/>
  <c r="V150" i="14"/>
  <c r="K150" i="14"/>
  <c r="Y150" i="14"/>
  <c r="N150" i="14"/>
  <c r="C150" i="14"/>
  <c r="AF150" i="14"/>
  <c r="R150" i="14"/>
  <c r="B150" i="14"/>
  <c r="AE150" i="14"/>
  <c r="P150" i="14"/>
  <c r="AD150" i="14"/>
  <c r="O150" i="14"/>
  <c r="AC150" i="14"/>
  <c r="M150" i="14"/>
  <c r="AB150" i="14"/>
  <c r="J150" i="14"/>
  <c r="Z150" i="14"/>
  <c r="I150" i="14"/>
  <c r="X150" i="14"/>
  <c r="H150" i="14"/>
  <c r="U150" i="14"/>
  <c r="F150" i="14"/>
  <c r="T150" i="14"/>
  <c r="E150" i="14"/>
  <c r="S150" i="14"/>
  <c r="D150" i="14"/>
  <c r="C150" i="7"/>
  <c r="AH171" i="14"/>
  <c r="X171" i="14"/>
  <c r="N171" i="14"/>
  <c r="D171" i="14"/>
  <c r="AA171" i="14"/>
  <c r="P171" i="14"/>
  <c r="E171" i="14"/>
  <c r="Z171" i="14"/>
  <c r="O171" i="14"/>
  <c r="C171" i="14"/>
  <c r="AG171" i="14"/>
  <c r="T171" i="14"/>
  <c r="G171" i="14"/>
  <c r="AF171" i="14"/>
  <c r="S171" i="14"/>
  <c r="F171" i="14"/>
  <c r="AE171" i="14"/>
  <c r="R171" i="14"/>
  <c r="B171" i="14"/>
  <c r="AD171" i="14"/>
  <c r="Q171" i="14"/>
  <c r="A171" i="14"/>
  <c r="V171" i="14"/>
  <c r="I171" i="14"/>
  <c r="U171" i="14"/>
  <c r="M171" i="14"/>
  <c r="L171" i="14"/>
  <c r="K171" i="14"/>
  <c r="J171" i="14"/>
  <c r="H171" i="14"/>
  <c r="AC171" i="14"/>
  <c r="AB171" i="14"/>
  <c r="Y171" i="14"/>
  <c r="W171" i="14"/>
  <c r="C171" i="7"/>
  <c r="AB175" i="14"/>
  <c r="R175" i="14"/>
  <c r="H175" i="14"/>
  <c r="X175" i="14"/>
  <c r="M175" i="14"/>
  <c r="B175" i="14"/>
  <c r="AH175" i="14"/>
  <c r="W175" i="14"/>
  <c r="L175" i="14"/>
  <c r="A175" i="14"/>
  <c r="V175" i="14"/>
  <c r="I175" i="14"/>
  <c r="U175" i="14"/>
  <c r="G175" i="14"/>
  <c r="AG175" i="14"/>
  <c r="T175" i="14"/>
  <c r="F175" i="14"/>
  <c r="AF175" i="14"/>
  <c r="S175" i="14"/>
  <c r="E175" i="14"/>
  <c r="Z175" i="14"/>
  <c r="K175" i="14"/>
  <c r="Y175" i="14"/>
  <c r="Q175" i="14"/>
  <c r="P175" i="14"/>
  <c r="O175" i="14"/>
  <c r="N175" i="14"/>
  <c r="J175" i="14"/>
  <c r="AE175" i="14"/>
  <c r="D175" i="14"/>
  <c r="AD175" i="14"/>
  <c r="C175" i="14"/>
  <c r="AC175" i="14"/>
  <c r="AA175" i="14"/>
  <c r="C175" i="7"/>
  <c r="AA187" i="14"/>
  <c r="Q187" i="14"/>
  <c r="G187" i="14"/>
  <c r="Z187" i="14"/>
  <c r="O187" i="14"/>
  <c r="D187" i="14"/>
  <c r="X187" i="14"/>
  <c r="L187" i="14"/>
  <c r="Y187" i="14"/>
  <c r="K187" i="14"/>
  <c r="W187" i="14"/>
  <c r="J187" i="14"/>
  <c r="AE187" i="14"/>
  <c r="N187" i="14"/>
  <c r="AD187" i="14"/>
  <c r="M187" i="14"/>
  <c r="AC187" i="14"/>
  <c r="I187" i="14"/>
  <c r="AB187" i="14"/>
  <c r="H187" i="14"/>
  <c r="V187" i="14"/>
  <c r="F187" i="14"/>
  <c r="T187" i="14"/>
  <c r="C187" i="14"/>
  <c r="AH187" i="14"/>
  <c r="S187" i="14"/>
  <c r="B187" i="14"/>
  <c r="AG187" i="14"/>
  <c r="R187" i="14"/>
  <c r="A187" i="14"/>
  <c r="AF187" i="14"/>
  <c r="P187" i="14"/>
  <c r="E187" i="14"/>
  <c r="U187" i="14"/>
  <c r="C187" i="7"/>
  <c r="Y195" i="14"/>
  <c r="O195" i="14"/>
  <c r="E195" i="14"/>
  <c r="AF195" i="14"/>
  <c r="U195" i="14"/>
  <c r="J195" i="14"/>
  <c r="X195" i="14"/>
  <c r="M195" i="14"/>
  <c r="B195" i="14"/>
  <c r="AA195" i="14"/>
  <c r="L195" i="14"/>
  <c r="AC195" i="14"/>
  <c r="N195" i="14"/>
  <c r="AB195" i="14"/>
  <c r="K195" i="14"/>
  <c r="AE195" i="14"/>
  <c r="I195" i="14"/>
  <c r="AD195" i="14"/>
  <c r="H195" i="14"/>
  <c r="Z195" i="14"/>
  <c r="G195" i="14"/>
  <c r="W195" i="14"/>
  <c r="F195" i="14"/>
  <c r="V195" i="14"/>
  <c r="D195" i="14"/>
  <c r="S195" i="14"/>
  <c r="A195" i="14"/>
  <c r="R195" i="14"/>
  <c r="AH195" i="14"/>
  <c r="Q195" i="14"/>
  <c r="AG195" i="14"/>
  <c r="P195" i="14"/>
  <c r="T195" i="14"/>
  <c r="C195" i="14"/>
  <c r="C195" i="7"/>
  <c r="F22" i="11"/>
  <c r="L22" i="12"/>
  <c r="P22" i="12"/>
  <c r="O22" i="12"/>
  <c r="N22" i="12"/>
  <c r="Q22" i="12" s="1"/>
  <c r="L47" i="12"/>
  <c r="P47" i="12"/>
  <c r="O47" i="12"/>
  <c r="N47" i="12"/>
  <c r="Q47" i="12" s="1"/>
  <c r="L72" i="12"/>
  <c r="P72" i="12"/>
  <c r="O72" i="12"/>
  <c r="N72" i="12"/>
  <c r="Q72" i="12" s="1"/>
  <c r="Y158" i="14"/>
  <c r="O158" i="14"/>
  <c r="E158" i="14"/>
  <c r="AC158" i="14"/>
  <c r="R158" i="14"/>
  <c r="G158" i="14"/>
  <c r="AB158" i="14"/>
  <c r="Q158" i="14"/>
  <c r="F158" i="14"/>
  <c r="AE158" i="14"/>
  <c r="T158" i="14"/>
  <c r="I158" i="14"/>
  <c r="AF158" i="14"/>
  <c r="N158" i="14"/>
  <c r="AD158" i="14"/>
  <c r="M158" i="14"/>
  <c r="AA158" i="14"/>
  <c r="L158" i="14"/>
  <c r="Z158" i="14"/>
  <c r="K158" i="14"/>
  <c r="X158" i="14"/>
  <c r="J158" i="14"/>
  <c r="W158" i="14"/>
  <c r="H158" i="14"/>
  <c r="V158" i="14"/>
  <c r="D158" i="14"/>
  <c r="U158" i="14"/>
  <c r="C158" i="14"/>
  <c r="AH158" i="14"/>
  <c r="S158" i="14"/>
  <c r="B158" i="14"/>
  <c r="AG158" i="14"/>
  <c r="P158" i="14"/>
  <c r="A158" i="14"/>
  <c r="C158" i="7"/>
  <c r="AC162" i="14"/>
  <c r="S162" i="14"/>
  <c r="I162" i="14"/>
  <c r="AB162" i="14"/>
  <c r="R162" i="14"/>
  <c r="H162" i="14"/>
  <c r="W162" i="14"/>
  <c r="K162" i="14"/>
  <c r="AH162" i="14"/>
  <c r="V162" i="14"/>
  <c r="J162" i="14"/>
  <c r="Y162" i="14"/>
  <c r="M162" i="14"/>
  <c r="A162" i="14"/>
  <c r="AE162" i="14"/>
  <c r="N162" i="14"/>
  <c r="AD162" i="14"/>
  <c r="L162" i="14"/>
  <c r="AA162" i="14"/>
  <c r="G162" i="14"/>
  <c r="Z162" i="14"/>
  <c r="F162" i="14"/>
  <c r="X162" i="14"/>
  <c r="E162" i="14"/>
  <c r="U162" i="14"/>
  <c r="D162" i="14"/>
  <c r="T162" i="14"/>
  <c r="C162" i="14"/>
  <c r="Q162" i="14"/>
  <c r="B162" i="14"/>
  <c r="AG162" i="14"/>
  <c r="P162" i="14"/>
  <c r="O162" i="14"/>
  <c r="AF162" i="14"/>
  <c r="C162" i="7"/>
  <c r="AG183" i="14"/>
  <c r="W183" i="14"/>
  <c r="M183" i="14"/>
  <c r="C183" i="14"/>
  <c r="AC183" i="14"/>
  <c r="R183" i="14"/>
  <c r="G183" i="14"/>
  <c r="Y183" i="14"/>
  <c r="L183" i="14"/>
  <c r="X183" i="14"/>
  <c r="J183" i="14"/>
  <c r="V183" i="14"/>
  <c r="I183" i="14"/>
  <c r="AD183" i="14"/>
  <c r="N183" i="14"/>
  <c r="AB183" i="14"/>
  <c r="K183" i="14"/>
  <c r="AA183" i="14"/>
  <c r="H183" i="14"/>
  <c r="Z183" i="14"/>
  <c r="F183" i="14"/>
  <c r="U183" i="14"/>
  <c r="E183" i="14"/>
  <c r="S183" i="14"/>
  <c r="B183" i="14"/>
  <c r="AH183" i="14"/>
  <c r="Q183" i="14"/>
  <c r="A183" i="14"/>
  <c r="AF183" i="14"/>
  <c r="P183" i="14"/>
  <c r="AE183" i="14"/>
  <c r="O183" i="14"/>
  <c r="T183" i="14"/>
  <c r="D183" i="14"/>
  <c r="C183" i="7"/>
  <c r="AA202" i="14"/>
  <c r="Q202" i="14"/>
  <c r="G202" i="14"/>
  <c r="AB202" i="14"/>
  <c r="P202" i="14"/>
  <c r="E202" i="14"/>
  <c r="AE202" i="14"/>
  <c r="T202" i="14"/>
  <c r="I202" i="14"/>
  <c r="X202" i="14"/>
  <c r="K202" i="14"/>
  <c r="W202" i="14"/>
  <c r="J202" i="14"/>
  <c r="AD202" i="14"/>
  <c r="M202" i="14"/>
  <c r="AC202" i="14"/>
  <c r="L202" i="14"/>
  <c r="Z202" i="14"/>
  <c r="H202" i="14"/>
  <c r="AG202" i="14"/>
  <c r="O202" i="14"/>
  <c r="F202" i="14"/>
  <c r="D202" i="14"/>
  <c r="AH202" i="14"/>
  <c r="C202" i="14"/>
  <c r="AF202" i="14"/>
  <c r="B202" i="14"/>
  <c r="Y202" i="14"/>
  <c r="A202" i="14"/>
  <c r="U202" i="14"/>
  <c r="S202" i="14"/>
  <c r="R202" i="14"/>
  <c r="N202" i="14"/>
  <c r="V202" i="14"/>
  <c r="C202" i="7"/>
  <c r="M76" i="12"/>
  <c r="E13" i="13"/>
  <c r="N13" i="13"/>
  <c r="D13" i="13"/>
  <c r="M13" i="13"/>
  <c r="C13" i="13"/>
  <c r="L13" i="13"/>
  <c r="B13" i="13"/>
  <c r="Q13" i="13"/>
  <c r="G13" i="13"/>
  <c r="F18" i="13"/>
  <c r="Q18" i="13"/>
  <c r="E18" i="13"/>
  <c r="D18" i="13"/>
  <c r="N18" i="13"/>
  <c r="U18" i="13" s="1"/>
  <c r="C18" i="13"/>
  <c r="M18" i="13"/>
  <c r="B18" i="13"/>
  <c r="K18" i="13"/>
  <c r="H18" i="13"/>
  <c r="D19" i="11"/>
  <c r="B82" i="12"/>
  <c r="B86" i="12"/>
  <c r="B88" i="12"/>
  <c r="C92" i="12"/>
  <c r="B98" i="12"/>
  <c r="D100" i="12"/>
  <c r="D104" i="12"/>
  <c r="D106" i="12"/>
  <c r="G106" i="12" s="1"/>
  <c r="C108" i="12"/>
  <c r="E110" i="12"/>
  <c r="L7" i="13"/>
  <c r="F13" i="13"/>
  <c r="G17" i="13"/>
  <c r="F17" i="13"/>
  <c r="E17" i="13"/>
  <c r="N17" i="13"/>
  <c r="D17" i="13"/>
  <c r="L17" i="13"/>
  <c r="B17" i="13"/>
  <c r="I17" i="13"/>
  <c r="G18" i="13"/>
  <c r="N27" i="13"/>
  <c r="C21" i="11"/>
  <c r="J76" i="12"/>
  <c r="N21" i="12"/>
  <c r="Q21" i="12" s="1"/>
  <c r="N26" i="12"/>
  <c r="Q26" i="12" s="1"/>
  <c r="N31" i="12"/>
  <c r="Q31" i="12" s="1"/>
  <c r="N36" i="12"/>
  <c r="Q36" i="12" s="1"/>
  <c r="N41" i="12"/>
  <c r="Q41" i="12" s="1"/>
  <c r="N46" i="12"/>
  <c r="Q46" i="12" s="1"/>
  <c r="N51" i="12"/>
  <c r="Q51" i="12" s="1"/>
  <c r="N56" i="12"/>
  <c r="Q56" i="12" s="1"/>
  <c r="N61" i="12"/>
  <c r="Q61" i="12" s="1"/>
  <c r="N66" i="12"/>
  <c r="Q66" i="12" s="1"/>
  <c r="N71" i="12"/>
  <c r="Q71" i="12" s="1"/>
  <c r="I76" i="12"/>
  <c r="C82" i="12"/>
  <c r="B84" i="12"/>
  <c r="D86" i="12"/>
  <c r="C88" i="12"/>
  <c r="D90" i="12"/>
  <c r="D92" i="12"/>
  <c r="C98" i="12"/>
  <c r="E100" i="12"/>
  <c r="D102" i="12"/>
  <c r="E106" i="12"/>
  <c r="H106" i="12" s="1"/>
  <c r="K4" i="13"/>
  <c r="K9" i="13"/>
  <c r="H13" i="13"/>
  <c r="I18" i="13"/>
  <c r="T27" i="13"/>
  <c r="E21" i="16"/>
  <c r="D6" i="11"/>
  <c r="L20" i="12"/>
  <c r="N20" i="12"/>
  <c r="Q20" i="12" s="1"/>
  <c r="L25" i="12"/>
  <c r="N25" i="12"/>
  <c r="Q25" i="12" s="1"/>
  <c r="L30" i="12"/>
  <c r="N30" i="12"/>
  <c r="Q30" i="12" s="1"/>
  <c r="L35" i="12"/>
  <c r="N35" i="12"/>
  <c r="Q35" i="12" s="1"/>
  <c r="L40" i="12"/>
  <c r="N40" i="12"/>
  <c r="Q40" i="12" s="1"/>
  <c r="L45" i="12"/>
  <c r="N45" i="12"/>
  <c r="Q45" i="12" s="1"/>
  <c r="L50" i="12"/>
  <c r="N50" i="12"/>
  <c r="Q50" i="12" s="1"/>
  <c r="L55" i="12"/>
  <c r="F92" i="12" s="1"/>
  <c r="N55" i="12"/>
  <c r="Q55" i="12" s="1"/>
  <c r="L60" i="12"/>
  <c r="N60" i="12"/>
  <c r="Q60" i="12" s="1"/>
  <c r="L65" i="12"/>
  <c r="F89" i="12" s="1"/>
  <c r="N65" i="12"/>
  <c r="Q65" i="12" s="1"/>
  <c r="L70" i="12"/>
  <c r="N70" i="12"/>
  <c r="Q70" i="12" s="1"/>
  <c r="L75" i="12"/>
  <c r="N75" i="12"/>
  <c r="Q75" i="12" s="1"/>
  <c r="D82" i="12"/>
  <c r="C84" i="12"/>
  <c r="E86" i="12"/>
  <c r="D88" i="12"/>
  <c r="E92" i="12"/>
  <c r="E102" i="12"/>
  <c r="N4" i="13"/>
  <c r="G7" i="13"/>
  <c r="F7" i="13"/>
  <c r="I7" i="13"/>
  <c r="N7" i="13"/>
  <c r="N9" i="13"/>
  <c r="I13" i="13"/>
  <c r="AE191" i="14"/>
  <c r="U191" i="14"/>
  <c r="K191" i="14"/>
  <c r="A191" i="14"/>
  <c r="X191" i="14"/>
  <c r="M191" i="14"/>
  <c r="B191" i="14"/>
  <c r="Y191" i="14"/>
  <c r="L191" i="14"/>
  <c r="AA191" i="14"/>
  <c r="N191" i="14"/>
  <c r="Z191" i="14"/>
  <c r="J191" i="14"/>
  <c r="AF191" i="14"/>
  <c r="P191" i="14"/>
  <c r="AD191" i="14"/>
  <c r="O191" i="14"/>
  <c r="AC191" i="14"/>
  <c r="I191" i="14"/>
  <c r="AB191" i="14"/>
  <c r="H191" i="14"/>
  <c r="W191" i="14"/>
  <c r="G191" i="14"/>
  <c r="T191" i="14"/>
  <c r="E191" i="14"/>
  <c r="S191" i="14"/>
  <c r="D191" i="14"/>
  <c r="AH191" i="14"/>
  <c r="R191" i="14"/>
  <c r="C191" i="14"/>
  <c r="AG191" i="14"/>
  <c r="Q191" i="14"/>
  <c r="V191" i="14"/>
  <c r="F191" i="14"/>
  <c r="AE196" i="14"/>
  <c r="U196" i="14"/>
  <c r="K196" i="14"/>
  <c r="A196" i="14"/>
  <c r="AF196" i="14"/>
  <c r="T196" i="14"/>
  <c r="I196" i="14"/>
  <c r="X196" i="14"/>
  <c r="M196" i="14"/>
  <c r="B196" i="14"/>
  <c r="AH196" i="14"/>
  <c r="S196" i="14"/>
  <c r="F196" i="14"/>
  <c r="Z196" i="14"/>
  <c r="J196" i="14"/>
  <c r="Y196" i="14"/>
  <c r="H196" i="14"/>
  <c r="P196" i="14"/>
  <c r="AG196" i="14"/>
  <c r="O196" i="14"/>
  <c r="AD196" i="14"/>
  <c r="N196" i="14"/>
  <c r="AC196" i="14"/>
  <c r="L196" i="14"/>
  <c r="AB196" i="14"/>
  <c r="G196" i="14"/>
  <c r="W196" i="14"/>
  <c r="D196" i="14"/>
  <c r="V196" i="14"/>
  <c r="C196" i="14"/>
  <c r="R196" i="14"/>
  <c r="Q196" i="14"/>
  <c r="AA196" i="14"/>
  <c r="E196" i="14"/>
  <c r="AE201" i="14"/>
  <c r="U201" i="14"/>
  <c r="K201" i="14"/>
  <c r="A201" i="14"/>
  <c r="AB201" i="14"/>
  <c r="Q201" i="14"/>
  <c r="F201" i="14"/>
  <c r="AF201" i="14"/>
  <c r="T201" i="14"/>
  <c r="I201" i="14"/>
  <c r="AD201" i="14"/>
  <c r="P201" i="14"/>
  <c r="C201" i="14"/>
  <c r="AC201" i="14"/>
  <c r="O201" i="14"/>
  <c r="B201" i="14"/>
  <c r="AA201" i="14"/>
  <c r="L201" i="14"/>
  <c r="Z201" i="14"/>
  <c r="J201" i="14"/>
  <c r="Y201" i="14"/>
  <c r="H201" i="14"/>
  <c r="AH201" i="14"/>
  <c r="N201" i="14"/>
  <c r="R201" i="14"/>
  <c r="M201" i="14"/>
  <c r="G201" i="14"/>
  <c r="E201" i="14"/>
  <c r="D201" i="14"/>
  <c r="X201" i="14"/>
  <c r="W201" i="14"/>
  <c r="V201" i="14"/>
  <c r="S201" i="14"/>
  <c r="AG201" i="14"/>
  <c r="E20" i="16"/>
  <c r="D5" i="11"/>
  <c r="E33" i="16"/>
  <c r="D18" i="11"/>
  <c r="H18" i="11" s="1"/>
  <c r="K20" i="12"/>
  <c r="K25" i="12"/>
  <c r="K30" i="12"/>
  <c r="K35" i="12"/>
  <c r="K40" i="12"/>
  <c r="K45" i="12"/>
  <c r="K50" i="12"/>
  <c r="K55" i="12"/>
  <c r="K60" i="12"/>
  <c r="K65" i="12"/>
  <c r="K70" i="12"/>
  <c r="K75" i="12"/>
  <c r="E82" i="12"/>
  <c r="E88" i="12"/>
  <c r="B109" i="12"/>
  <c r="B7" i="13"/>
  <c r="L18" i="13"/>
  <c r="P28" i="13"/>
  <c r="F28" i="13"/>
  <c r="S28" i="13"/>
  <c r="H28" i="13"/>
  <c r="R28" i="13"/>
  <c r="G28" i="13"/>
  <c r="Q28" i="13"/>
  <c r="E28" i="13"/>
  <c r="O28" i="13"/>
  <c r="D28" i="13"/>
  <c r="M28" i="13"/>
  <c r="B28" i="13"/>
  <c r="U28" i="13"/>
  <c r="J28" i="13"/>
  <c r="G24" i="14"/>
  <c r="H24" i="14" s="1"/>
  <c r="N18" i="12"/>
  <c r="Q18" i="12" s="1"/>
  <c r="P18" i="12"/>
  <c r="N23" i="12"/>
  <c r="Q23" i="12" s="1"/>
  <c r="P23" i="12"/>
  <c r="N28" i="12"/>
  <c r="Q28" i="12" s="1"/>
  <c r="P28" i="12"/>
  <c r="N33" i="12"/>
  <c r="Q33" i="12" s="1"/>
  <c r="P33" i="12"/>
  <c r="N38" i="12"/>
  <c r="Q38" i="12" s="1"/>
  <c r="P38" i="12"/>
  <c r="N43" i="12"/>
  <c r="Q43" i="12" s="1"/>
  <c r="P43" i="12"/>
  <c r="N48" i="12"/>
  <c r="Q48" i="12" s="1"/>
  <c r="P48" i="12"/>
  <c r="N53" i="12"/>
  <c r="Q53" i="12" s="1"/>
  <c r="P53" i="12"/>
  <c r="N58" i="12"/>
  <c r="Q58" i="12" s="1"/>
  <c r="P58" i="12"/>
  <c r="N63" i="12"/>
  <c r="Q63" i="12" s="1"/>
  <c r="P63" i="12"/>
  <c r="N68" i="12"/>
  <c r="Q68" i="12" s="1"/>
  <c r="P68" i="12"/>
  <c r="N73" i="12"/>
  <c r="Q73" i="12" s="1"/>
  <c r="P73" i="12"/>
  <c r="B99" i="12"/>
  <c r="C103" i="12"/>
  <c r="B105" i="12"/>
  <c r="C107" i="12"/>
  <c r="C109" i="12"/>
  <c r="M4" i="13"/>
  <c r="C4" i="13"/>
  <c r="L4" i="13"/>
  <c r="B4" i="13"/>
  <c r="E4" i="13"/>
  <c r="M9" i="13"/>
  <c r="C9" i="13"/>
  <c r="L9" i="13"/>
  <c r="B9" i="13"/>
  <c r="E9" i="13"/>
  <c r="Q9" i="13"/>
  <c r="K13" i="13"/>
  <c r="C28" i="13"/>
  <c r="P21" i="12"/>
  <c r="P26" i="12"/>
  <c r="P31" i="12"/>
  <c r="P36" i="12"/>
  <c r="P41" i="12"/>
  <c r="P46" i="12"/>
  <c r="P51" i="12"/>
  <c r="P56" i="12"/>
  <c r="P61" i="12"/>
  <c r="P66" i="12"/>
  <c r="P71" i="12"/>
  <c r="B85" i="12"/>
  <c r="C89" i="12"/>
  <c r="B91" i="12"/>
  <c r="C99" i="12"/>
  <c r="B101" i="12"/>
  <c r="D103" i="12"/>
  <c r="C105" i="12"/>
  <c r="E107" i="12"/>
  <c r="L20" i="13"/>
  <c r="B20" i="13"/>
  <c r="Q20" i="13"/>
  <c r="F20" i="13"/>
  <c r="P20" i="13"/>
  <c r="S20" i="13" s="1"/>
  <c r="E20" i="13"/>
  <c r="D20" i="13"/>
  <c r="N20" i="13"/>
  <c r="U20" i="13" s="1"/>
  <c r="C20" i="13"/>
  <c r="K20" i="13"/>
  <c r="H20" i="13"/>
  <c r="R27" i="13"/>
  <c r="H27" i="13"/>
  <c r="S27" i="13"/>
  <c r="G27" i="13"/>
  <c r="Q27" i="13"/>
  <c r="F27" i="13"/>
  <c r="P27" i="13"/>
  <c r="E27" i="13"/>
  <c r="O27" i="13"/>
  <c r="D27" i="13"/>
  <c r="M27" i="13"/>
  <c r="B27" i="13"/>
  <c r="U27" i="13"/>
  <c r="J27" i="13"/>
  <c r="B93" i="12"/>
  <c r="C90" i="12"/>
  <c r="D87" i="12"/>
  <c r="E84" i="12"/>
  <c r="B83" i="12"/>
  <c r="E91" i="12"/>
  <c r="B90" i="12"/>
  <c r="C87" i="12"/>
  <c r="D84" i="12"/>
  <c r="E81" i="12"/>
  <c r="D93" i="12"/>
  <c r="E90" i="12"/>
  <c r="B89" i="12"/>
  <c r="C86" i="12"/>
  <c r="D83" i="12"/>
  <c r="B81" i="12"/>
  <c r="C83" i="12"/>
  <c r="C85" i="12"/>
  <c r="B87" i="12"/>
  <c r="D89" i="12"/>
  <c r="C91" i="12"/>
  <c r="E93" i="12"/>
  <c r="D99" i="12"/>
  <c r="E101" i="12"/>
  <c r="E103" i="12"/>
  <c r="D105" i="12"/>
  <c r="E109" i="12"/>
  <c r="G20" i="13"/>
  <c r="C27" i="13"/>
  <c r="K28" i="13"/>
  <c r="U4" i="14"/>
  <c r="V4" i="14" s="1"/>
  <c r="A4" i="14"/>
  <c r="E4" i="14"/>
  <c r="D4" i="14"/>
  <c r="Q4" i="14" s="1"/>
  <c r="Y4" i="14"/>
  <c r="Z4" i="14" s="1"/>
  <c r="W4" i="14"/>
  <c r="X4" i="14" s="1"/>
  <c r="F4" i="14"/>
  <c r="P4" i="14" s="1"/>
  <c r="C4" i="14"/>
  <c r="S4" i="14"/>
  <c r="T4" i="14" s="1"/>
  <c r="B4" i="14"/>
  <c r="N4" i="14"/>
  <c r="O4" i="14" s="1"/>
  <c r="M4" i="14"/>
  <c r="U9" i="14"/>
  <c r="V9" i="14" s="1"/>
  <c r="A9" i="14"/>
  <c r="N9" i="14"/>
  <c r="O9" i="14" s="1"/>
  <c r="B9" i="14"/>
  <c r="Y9" i="14"/>
  <c r="Z9" i="14" s="1"/>
  <c r="M9" i="14"/>
  <c r="D9" i="14"/>
  <c r="Q9" i="14" s="1"/>
  <c r="W9" i="14"/>
  <c r="X9" i="14" s="1"/>
  <c r="F9" i="14"/>
  <c r="P9" i="14" s="1"/>
  <c r="E9" i="14"/>
  <c r="S9" i="14"/>
  <c r="T9" i="14" s="1"/>
  <c r="C9" i="14"/>
  <c r="U14" i="14"/>
  <c r="V14" i="14" s="1"/>
  <c r="A14" i="14"/>
  <c r="W14" i="14"/>
  <c r="X14" i="14" s="1"/>
  <c r="M14" i="14"/>
  <c r="C14" i="14"/>
  <c r="D14" i="14"/>
  <c r="Q14" i="14" s="1"/>
  <c r="B14" i="14"/>
  <c r="S14" i="14"/>
  <c r="T14" i="14" s="1"/>
  <c r="F14" i="14"/>
  <c r="P14" i="14" s="1"/>
  <c r="I14" i="14"/>
  <c r="J14" i="14" s="1"/>
  <c r="G14" i="14"/>
  <c r="H14" i="14" s="1"/>
  <c r="Y14" i="14"/>
  <c r="Z14" i="14" s="1"/>
  <c r="E14" i="14"/>
  <c r="W19" i="14"/>
  <c r="X19" i="14" s="1"/>
  <c r="M19" i="14"/>
  <c r="C19" i="14"/>
  <c r="S19" i="14"/>
  <c r="T19" i="14" s="1"/>
  <c r="N19" i="14"/>
  <c r="O19" i="14" s="1"/>
  <c r="A19" i="14"/>
  <c r="F19" i="14"/>
  <c r="P19" i="14" s="1"/>
  <c r="E19" i="14"/>
  <c r="Y19" i="14"/>
  <c r="Z19" i="14" s="1"/>
  <c r="D19" i="14"/>
  <c r="Q19" i="14" s="1"/>
  <c r="B19" i="14"/>
  <c r="U19" i="14"/>
  <c r="V19" i="14" s="1"/>
  <c r="W24" i="14"/>
  <c r="X24" i="14" s="1"/>
  <c r="M24" i="14"/>
  <c r="C24" i="14"/>
  <c r="F24" i="14"/>
  <c r="P24" i="14" s="1"/>
  <c r="E24" i="14"/>
  <c r="S24" i="14"/>
  <c r="T24" i="14" s="1"/>
  <c r="A24" i="14"/>
  <c r="U24" i="14"/>
  <c r="V24" i="14" s="1"/>
  <c r="D24" i="14"/>
  <c r="Q24" i="14" s="1"/>
  <c r="Y24" i="14"/>
  <c r="Z24" i="14" s="1"/>
  <c r="B24" i="14"/>
  <c r="N24" i="14"/>
  <c r="O24" i="14" s="1"/>
  <c r="W29" i="14"/>
  <c r="X29" i="14" s="1"/>
  <c r="M29" i="14"/>
  <c r="C29" i="14"/>
  <c r="Y29" i="14"/>
  <c r="Z29" i="14" s="1"/>
  <c r="N29" i="14"/>
  <c r="O29" i="14" s="1"/>
  <c r="B29" i="14"/>
  <c r="A29" i="14"/>
  <c r="E29" i="14"/>
  <c r="U29" i="14"/>
  <c r="V29" i="14" s="1"/>
  <c r="F29" i="14"/>
  <c r="P29" i="14" s="1"/>
  <c r="K29" i="14"/>
  <c r="L29" i="14" s="1"/>
  <c r="D29" i="14"/>
  <c r="Q29" i="14" s="1"/>
  <c r="S29" i="14"/>
  <c r="T29" i="14" s="1"/>
  <c r="W34" i="14"/>
  <c r="X34" i="14" s="1"/>
  <c r="M34" i="14"/>
  <c r="C34" i="14"/>
  <c r="U34" i="14"/>
  <c r="V34" i="14" s="1"/>
  <c r="I34" i="14"/>
  <c r="J34" i="14" s="1"/>
  <c r="A34" i="14"/>
  <c r="K34" i="14"/>
  <c r="L34" i="14" s="1"/>
  <c r="Y34" i="14"/>
  <c r="Z34" i="14" s="1"/>
  <c r="F34" i="14"/>
  <c r="P34" i="14" s="1"/>
  <c r="D34" i="14"/>
  <c r="Q34" i="14" s="1"/>
  <c r="B34" i="14"/>
  <c r="S34" i="14"/>
  <c r="T34" i="14" s="1"/>
  <c r="N34" i="14"/>
  <c r="O34" i="14" s="1"/>
  <c r="E34" i="14"/>
  <c r="W39" i="14"/>
  <c r="X39" i="14" s="1"/>
  <c r="M39" i="14"/>
  <c r="C39" i="14"/>
  <c r="F39" i="14"/>
  <c r="P39" i="14" s="1"/>
  <c r="N39" i="14"/>
  <c r="O39" i="14" s="1"/>
  <c r="E39" i="14"/>
  <c r="U39" i="14"/>
  <c r="V39" i="14" s="1"/>
  <c r="D39" i="14"/>
  <c r="Q39" i="14" s="1"/>
  <c r="S39" i="14"/>
  <c r="T39" i="14" s="1"/>
  <c r="B39" i="14"/>
  <c r="Y39" i="14"/>
  <c r="Z39" i="14" s="1"/>
  <c r="A39" i="14"/>
  <c r="W44" i="14"/>
  <c r="X44" i="14" s="1"/>
  <c r="M44" i="14"/>
  <c r="C44" i="14"/>
  <c r="D44" i="14"/>
  <c r="Q44" i="14" s="1"/>
  <c r="Y44" i="14"/>
  <c r="Z44" i="14" s="1"/>
  <c r="N44" i="14"/>
  <c r="O44" i="14" s="1"/>
  <c r="B44" i="14"/>
  <c r="F44" i="14"/>
  <c r="P44" i="14" s="1"/>
  <c r="E44" i="14"/>
  <c r="S44" i="14"/>
  <c r="T44" i="14" s="1"/>
  <c r="A44" i="14"/>
  <c r="K44" i="14"/>
  <c r="L44" i="14" s="1"/>
  <c r="V44" i="14"/>
  <c r="W49" i="14"/>
  <c r="X49" i="14" s="1"/>
  <c r="M49" i="14"/>
  <c r="C49" i="14"/>
  <c r="U49" i="14"/>
  <c r="V49" i="14" s="1"/>
  <c r="Y49" i="14"/>
  <c r="Z49" i="14" s="1"/>
  <c r="N49" i="14"/>
  <c r="O49" i="14" s="1"/>
  <c r="B49" i="14"/>
  <c r="F49" i="14"/>
  <c r="P49" i="14" s="1"/>
  <c r="S49" i="14"/>
  <c r="T49" i="14" s="1"/>
  <c r="E49" i="14"/>
  <c r="A49" i="14"/>
  <c r="D49" i="14"/>
  <c r="Q49" i="14" s="1"/>
  <c r="W54" i="14"/>
  <c r="X54" i="14" s="1"/>
  <c r="M54" i="14"/>
  <c r="C54" i="14"/>
  <c r="B54" i="14"/>
  <c r="S54" i="14"/>
  <c r="T54" i="14" s="1"/>
  <c r="F54" i="14"/>
  <c r="P54" i="14" s="1"/>
  <c r="U54" i="14"/>
  <c r="V54" i="14" s="1"/>
  <c r="Y54" i="14"/>
  <c r="Z54" i="14" s="1"/>
  <c r="E54" i="14"/>
  <c r="D54" i="14"/>
  <c r="Q54" i="14" s="1"/>
  <c r="A54" i="14"/>
  <c r="N54" i="14"/>
  <c r="O54" i="14" s="1"/>
  <c r="S59" i="14"/>
  <c r="T59" i="14" s="1"/>
  <c r="U59" i="14"/>
  <c r="V59" i="14" s="1"/>
  <c r="F59" i="14"/>
  <c r="P59" i="14" s="1"/>
  <c r="E59" i="14"/>
  <c r="D59" i="14"/>
  <c r="Q59" i="14" s="1"/>
  <c r="Y59" i="14"/>
  <c r="Z59" i="14" s="1"/>
  <c r="C59" i="14"/>
  <c r="W59" i="14"/>
  <c r="X59" i="14" s="1"/>
  <c r="B59" i="14"/>
  <c r="A59" i="14"/>
  <c r="N59" i="14"/>
  <c r="O59" i="14" s="1"/>
  <c r="M59" i="14"/>
  <c r="S64" i="14"/>
  <c r="T64" i="14" s="1"/>
  <c r="G64" i="14"/>
  <c r="H64" i="14" s="1"/>
  <c r="F64" i="14"/>
  <c r="P64" i="14" s="1"/>
  <c r="C64" i="14"/>
  <c r="B64" i="14"/>
  <c r="U64" i="14"/>
  <c r="V64" i="14" s="1"/>
  <c r="E64" i="14"/>
  <c r="M64" i="14"/>
  <c r="Y64" i="14"/>
  <c r="Z64" i="14" s="1"/>
  <c r="D64" i="14"/>
  <c r="Q64" i="14" s="1"/>
  <c r="W64" i="14"/>
  <c r="X64" i="14" s="1"/>
  <c r="A64" i="14"/>
  <c r="N64" i="14"/>
  <c r="O64" i="14" s="1"/>
  <c r="S69" i="14"/>
  <c r="T69" i="14" s="1"/>
  <c r="D69" i="14"/>
  <c r="Q69" i="14" s="1"/>
  <c r="Y69" i="14"/>
  <c r="Z69" i="14" s="1"/>
  <c r="N69" i="14"/>
  <c r="O69" i="14" s="1"/>
  <c r="C69" i="14"/>
  <c r="M69" i="14"/>
  <c r="W69" i="14"/>
  <c r="X69" i="14" s="1"/>
  <c r="U69" i="14"/>
  <c r="V69" i="14" s="1"/>
  <c r="B69" i="14"/>
  <c r="E69" i="14"/>
  <c r="A69" i="14"/>
  <c r="F69" i="14"/>
  <c r="P69" i="14" s="1"/>
  <c r="S74" i="14"/>
  <c r="T74" i="14" s="1"/>
  <c r="W74" i="14"/>
  <c r="X74" i="14" s="1"/>
  <c r="A74" i="14"/>
  <c r="Y74" i="14"/>
  <c r="Z74" i="14" s="1"/>
  <c r="U74" i="14"/>
  <c r="V74" i="14" s="1"/>
  <c r="G74" i="14"/>
  <c r="H74" i="14" s="1"/>
  <c r="F74" i="14"/>
  <c r="P74" i="14" s="1"/>
  <c r="E74" i="14"/>
  <c r="D74" i="14"/>
  <c r="Q74" i="14" s="1"/>
  <c r="C74" i="14"/>
  <c r="B74" i="14"/>
  <c r="N74" i="14"/>
  <c r="O74" i="14" s="1"/>
  <c r="M74" i="14"/>
  <c r="S79" i="14"/>
  <c r="T79" i="14" s="1"/>
  <c r="W79" i="14"/>
  <c r="X79" i="14" s="1"/>
  <c r="U79" i="14"/>
  <c r="V79" i="14" s="1"/>
  <c r="E79" i="14"/>
  <c r="D79" i="14"/>
  <c r="Q79" i="14" s="1"/>
  <c r="C79" i="14"/>
  <c r="B79" i="14"/>
  <c r="A79" i="14"/>
  <c r="N79" i="14"/>
  <c r="O79" i="14" s="1"/>
  <c r="M79" i="14"/>
  <c r="Y79" i="14"/>
  <c r="Z79" i="14" s="1"/>
  <c r="F79" i="14"/>
  <c r="P79" i="14" s="1"/>
  <c r="S84" i="14"/>
  <c r="T84" i="14" s="1"/>
  <c r="C84" i="14"/>
  <c r="N84" i="14"/>
  <c r="O84" i="14" s="1"/>
  <c r="B84" i="14"/>
  <c r="W84" i="14"/>
  <c r="X84" i="14" s="1"/>
  <c r="F84" i="14"/>
  <c r="P84" i="14" s="1"/>
  <c r="U84" i="14"/>
  <c r="V84" i="14" s="1"/>
  <c r="E84" i="14"/>
  <c r="D84" i="14"/>
  <c r="Q84" i="14" s="1"/>
  <c r="A84" i="14"/>
  <c r="M84" i="14"/>
  <c r="Y84" i="14"/>
  <c r="Z84" i="14" s="1"/>
  <c r="S89" i="14"/>
  <c r="T89" i="14" s="1"/>
  <c r="U89" i="14"/>
  <c r="V89" i="14" s="1"/>
  <c r="A89" i="14"/>
  <c r="E89" i="14"/>
  <c r="D89" i="14"/>
  <c r="Q89" i="14" s="1"/>
  <c r="W89" i="14"/>
  <c r="X89" i="14" s="1"/>
  <c r="Y89" i="14"/>
  <c r="Z89" i="14" s="1"/>
  <c r="C89" i="14"/>
  <c r="B89" i="14"/>
  <c r="N89" i="14"/>
  <c r="O89" i="14" s="1"/>
  <c r="M89" i="14"/>
  <c r="F89" i="14"/>
  <c r="P89" i="14" s="1"/>
  <c r="S94" i="14"/>
  <c r="T94" i="14" s="1"/>
  <c r="U94" i="14"/>
  <c r="V94" i="14" s="1"/>
  <c r="A94" i="14"/>
  <c r="F94" i="14"/>
  <c r="P94" i="14" s="1"/>
  <c r="E94" i="14"/>
  <c r="N94" i="14"/>
  <c r="O94" i="14" s="1"/>
  <c r="M94" i="14"/>
  <c r="D94" i="14"/>
  <c r="Q94" i="14" s="1"/>
  <c r="Y94" i="14"/>
  <c r="Z94" i="14" s="1"/>
  <c r="C94" i="14"/>
  <c r="W94" i="14"/>
  <c r="X94" i="14" s="1"/>
  <c r="B94" i="14"/>
  <c r="S99" i="14"/>
  <c r="T99" i="14" s="1"/>
  <c r="U99" i="14"/>
  <c r="V99" i="14" s="1"/>
  <c r="A99" i="14"/>
  <c r="W99" i="14"/>
  <c r="X99" i="14" s="1"/>
  <c r="F99" i="14"/>
  <c r="P99" i="14" s="1"/>
  <c r="Y99" i="14"/>
  <c r="Z99" i="14" s="1"/>
  <c r="M99" i="14"/>
  <c r="E99" i="14"/>
  <c r="D99" i="14"/>
  <c r="Q99" i="14" s="1"/>
  <c r="C99" i="14"/>
  <c r="B99" i="14"/>
  <c r="N99" i="14"/>
  <c r="O99" i="14" s="1"/>
  <c r="B104" i="14"/>
  <c r="U104" i="14"/>
  <c r="V104" i="14" s="1"/>
  <c r="M104" i="14"/>
  <c r="A104" i="14"/>
  <c r="E104" i="14"/>
  <c r="Y104" i="14"/>
  <c r="Z104" i="14" s="1"/>
  <c r="D104" i="14"/>
  <c r="Q104" i="14" s="1"/>
  <c r="W104" i="14"/>
  <c r="X104" i="14" s="1"/>
  <c r="C104" i="14"/>
  <c r="S104" i="14"/>
  <c r="T104" i="14" s="1"/>
  <c r="N104" i="14"/>
  <c r="O104" i="14" s="1"/>
  <c r="F104" i="14"/>
  <c r="P104" i="14" s="1"/>
  <c r="B109" i="14"/>
  <c r="F109" i="14"/>
  <c r="P109" i="14" s="1"/>
  <c r="N109" i="14"/>
  <c r="O109" i="14" s="1"/>
  <c r="Y109" i="14"/>
  <c r="Z109" i="14" s="1"/>
  <c r="S109" i="14"/>
  <c r="T109" i="14" s="1"/>
  <c r="C109" i="14"/>
  <c r="W109" i="14"/>
  <c r="X109" i="14" s="1"/>
  <c r="U109" i="14"/>
  <c r="V109" i="14" s="1"/>
  <c r="M109" i="14"/>
  <c r="E109" i="14"/>
  <c r="D109" i="14"/>
  <c r="Q109" i="14" s="1"/>
  <c r="A109" i="14"/>
  <c r="B114" i="14"/>
  <c r="U114" i="14"/>
  <c r="V114" i="14" s="1"/>
  <c r="A114" i="14"/>
  <c r="F114" i="14"/>
  <c r="P114" i="14" s="1"/>
  <c r="E114" i="14"/>
  <c r="S114" i="14"/>
  <c r="T114" i="14" s="1"/>
  <c r="N114" i="14"/>
  <c r="O114" i="14" s="1"/>
  <c r="M114" i="14"/>
  <c r="D114" i="14"/>
  <c r="Q114" i="14" s="1"/>
  <c r="C114" i="14"/>
  <c r="Y114" i="14"/>
  <c r="Z114" i="14" s="1"/>
  <c r="W114" i="14"/>
  <c r="X114" i="14" s="1"/>
  <c r="B119" i="14"/>
  <c r="U119" i="14"/>
  <c r="V119" i="14" s="1"/>
  <c r="A119" i="14"/>
  <c r="W119" i="14"/>
  <c r="X119" i="14" s="1"/>
  <c r="N119" i="14"/>
  <c r="O119" i="14" s="1"/>
  <c r="Y119" i="14"/>
  <c r="Z119" i="14" s="1"/>
  <c r="F119" i="14"/>
  <c r="P119" i="14" s="1"/>
  <c r="E119" i="14"/>
  <c r="S119" i="14"/>
  <c r="T119" i="14" s="1"/>
  <c r="D119" i="14"/>
  <c r="Q119" i="14" s="1"/>
  <c r="C119" i="14"/>
  <c r="M119" i="14"/>
  <c r="B124" i="14"/>
  <c r="U124" i="14"/>
  <c r="V124" i="14" s="1"/>
  <c r="A124" i="14"/>
  <c r="D124" i="14"/>
  <c r="Q124" i="14" s="1"/>
  <c r="C124" i="14"/>
  <c r="F124" i="14"/>
  <c r="P124" i="14" s="1"/>
  <c r="S124" i="14"/>
  <c r="T124" i="14" s="1"/>
  <c r="N124" i="14"/>
  <c r="O124" i="14" s="1"/>
  <c r="M124" i="14"/>
  <c r="Y124" i="14"/>
  <c r="Z124" i="14" s="1"/>
  <c r="W124" i="14"/>
  <c r="X124" i="14" s="1"/>
  <c r="E124" i="14"/>
  <c r="B129" i="14"/>
  <c r="U129" i="14"/>
  <c r="V129" i="14" s="1"/>
  <c r="A129" i="14"/>
  <c r="S129" i="14"/>
  <c r="T129" i="14" s="1"/>
  <c r="F129" i="14"/>
  <c r="P129" i="14" s="1"/>
  <c r="Y129" i="14"/>
  <c r="Z129" i="14" s="1"/>
  <c r="E129" i="14"/>
  <c r="W129" i="14"/>
  <c r="X129" i="14" s="1"/>
  <c r="D129" i="14"/>
  <c r="Q129" i="14" s="1"/>
  <c r="C129" i="14"/>
  <c r="N129" i="14"/>
  <c r="O129" i="14" s="1"/>
  <c r="M129" i="14"/>
  <c r="B134" i="14"/>
  <c r="U134" i="14"/>
  <c r="V134" i="14" s="1"/>
  <c r="K134" i="14"/>
  <c r="L134" i="14" s="1"/>
  <c r="A134" i="14"/>
  <c r="N134" i="14"/>
  <c r="O134" i="14" s="1"/>
  <c r="Y134" i="14"/>
  <c r="Z134" i="14" s="1"/>
  <c r="M134" i="14"/>
  <c r="D134" i="14"/>
  <c r="Q134" i="14" s="1"/>
  <c r="I134" i="14"/>
  <c r="J134" i="14" s="1"/>
  <c r="G134" i="14"/>
  <c r="H134" i="14" s="1"/>
  <c r="W134" i="14"/>
  <c r="X134" i="14" s="1"/>
  <c r="F134" i="14"/>
  <c r="P134" i="14" s="1"/>
  <c r="E134" i="14"/>
  <c r="S134" i="14"/>
  <c r="T134" i="14" s="1"/>
  <c r="C134" i="14"/>
  <c r="B139" i="14"/>
  <c r="U139" i="14"/>
  <c r="V139" i="14" s="1"/>
  <c r="A139" i="14"/>
  <c r="N139" i="14"/>
  <c r="O139" i="14" s="1"/>
  <c r="D139" i="14"/>
  <c r="Q139" i="14" s="1"/>
  <c r="M139" i="14"/>
  <c r="Y139" i="14"/>
  <c r="Z139" i="14" s="1"/>
  <c r="W139" i="14"/>
  <c r="X139" i="14" s="1"/>
  <c r="E139" i="14"/>
  <c r="S139" i="14"/>
  <c r="T139" i="14" s="1"/>
  <c r="F139" i="14"/>
  <c r="P139" i="14" s="1"/>
  <c r="C139" i="14"/>
  <c r="B144" i="14"/>
  <c r="U144" i="14"/>
  <c r="V144" i="14" s="1"/>
  <c r="K144" i="14"/>
  <c r="L144" i="14" s="1"/>
  <c r="A144" i="14"/>
  <c r="N144" i="14"/>
  <c r="O144" i="14" s="1"/>
  <c r="D144" i="14"/>
  <c r="Q144" i="14" s="1"/>
  <c r="C144" i="14"/>
  <c r="M144" i="14"/>
  <c r="Y144" i="14"/>
  <c r="Z144" i="14" s="1"/>
  <c r="W144" i="14"/>
  <c r="X144" i="14" s="1"/>
  <c r="G144" i="14"/>
  <c r="H144" i="14" s="1"/>
  <c r="S144" i="14"/>
  <c r="T144" i="14" s="1"/>
  <c r="F144" i="14"/>
  <c r="P144" i="14" s="1"/>
  <c r="E144" i="14"/>
  <c r="AE149" i="14"/>
  <c r="U149" i="14"/>
  <c r="K149" i="14"/>
  <c r="X149" i="14"/>
  <c r="M149" i="14"/>
  <c r="B149" i="14"/>
  <c r="AH149" i="14"/>
  <c r="W149" i="14"/>
  <c r="L149" i="14"/>
  <c r="A149" i="14"/>
  <c r="Z149" i="14"/>
  <c r="O149" i="14"/>
  <c r="D149" i="14"/>
  <c r="S149" i="14"/>
  <c r="E149" i="14"/>
  <c r="AG149" i="14"/>
  <c r="R149" i="14"/>
  <c r="C149" i="14"/>
  <c r="AF149" i="14"/>
  <c r="Q149" i="14"/>
  <c r="AD149" i="14"/>
  <c r="P149" i="14"/>
  <c r="AC149" i="14"/>
  <c r="N149" i="14"/>
  <c r="AB149" i="14"/>
  <c r="J149" i="14"/>
  <c r="AA149" i="14"/>
  <c r="I149" i="14"/>
  <c r="Y149" i="14"/>
  <c r="H149" i="14"/>
  <c r="V149" i="14"/>
  <c r="G149" i="14"/>
  <c r="T149" i="14"/>
  <c r="F149" i="14"/>
  <c r="AE154" i="14"/>
  <c r="U154" i="14"/>
  <c r="K154" i="14"/>
  <c r="A154" i="14"/>
  <c r="AF154" i="14"/>
  <c r="T154" i="14"/>
  <c r="I154" i="14"/>
  <c r="AD154" i="14"/>
  <c r="S154" i="14"/>
  <c r="H154" i="14"/>
  <c r="AH154" i="14"/>
  <c r="W154" i="14"/>
  <c r="L154" i="14"/>
  <c r="Y154" i="14"/>
  <c r="G154" i="14"/>
  <c r="X154" i="14"/>
  <c r="F154" i="14"/>
  <c r="V154" i="14"/>
  <c r="E154" i="14"/>
  <c r="R154" i="14"/>
  <c r="D154" i="14"/>
  <c r="Q154" i="14"/>
  <c r="C154" i="14"/>
  <c r="AG154" i="14"/>
  <c r="P154" i="14"/>
  <c r="B154" i="14"/>
  <c r="AC154" i="14"/>
  <c r="O154" i="14"/>
  <c r="AB154" i="14"/>
  <c r="N154" i="14"/>
  <c r="AA154" i="14"/>
  <c r="M154" i="14"/>
  <c r="Z154" i="14"/>
  <c r="J154" i="14"/>
  <c r="AE159" i="14"/>
  <c r="U159" i="14"/>
  <c r="K159" i="14"/>
  <c r="A159" i="14"/>
  <c r="AB159" i="14"/>
  <c r="Q159" i="14"/>
  <c r="F159" i="14"/>
  <c r="AA159" i="14"/>
  <c r="P159" i="14"/>
  <c r="E159" i="14"/>
  <c r="AD159" i="14"/>
  <c r="S159" i="14"/>
  <c r="H159" i="14"/>
  <c r="AC159" i="14"/>
  <c r="M159" i="14"/>
  <c r="Z159" i="14"/>
  <c r="L159" i="14"/>
  <c r="Y159" i="14"/>
  <c r="J159" i="14"/>
  <c r="X159" i="14"/>
  <c r="I159" i="14"/>
  <c r="W159" i="14"/>
  <c r="G159" i="14"/>
  <c r="V159" i="14"/>
  <c r="D159" i="14"/>
  <c r="T159" i="14"/>
  <c r="C159" i="14"/>
  <c r="AH159" i="14"/>
  <c r="R159" i="14"/>
  <c r="B159" i="14"/>
  <c r="AG159" i="14"/>
  <c r="O159" i="14"/>
  <c r="AF159" i="14"/>
  <c r="N159" i="14"/>
  <c r="AE164" i="14"/>
  <c r="U164" i="14"/>
  <c r="K164" i="14"/>
  <c r="A164" i="14"/>
  <c r="AD164" i="14"/>
  <c r="T164" i="14"/>
  <c r="J164" i="14"/>
  <c r="AC164" i="14"/>
  <c r="Q164" i="14"/>
  <c r="E164" i="14"/>
  <c r="AB164" i="14"/>
  <c r="P164" i="14"/>
  <c r="D164" i="14"/>
  <c r="AG164" i="14"/>
  <c r="S164" i="14"/>
  <c r="G164" i="14"/>
  <c r="O164" i="14"/>
  <c r="AH164" i="14"/>
  <c r="N164" i="14"/>
  <c r="AF164" i="14"/>
  <c r="M164" i="14"/>
  <c r="AA164" i="14"/>
  <c r="L164" i="14"/>
  <c r="Z164" i="14"/>
  <c r="I164" i="14"/>
  <c r="Y164" i="14"/>
  <c r="H164" i="14"/>
  <c r="X164" i="14"/>
  <c r="F164" i="14"/>
  <c r="W164" i="14"/>
  <c r="C164" i="14"/>
  <c r="V164" i="14"/>
  <c r="B164" i="14"/>
  <c r="R164" i="14"/>
  <c r="AE169" i="14"/>
  <c r="U169" i="14"/>
  <c r="K169" i="14"/>
  <c r="A169" i="14"/>
  <c r="AD169" i="14"/>
  <c r="T169" i="14"/>
  <c r="J169" i="14"/>
  <c r="W169" i="14"/>
  <c r="I169" i="14"/>
  <c r="AH169" i="14"/>
  <c r="V169" i="14"/>
  <c r="H169" i="14"/>
  <c r="AG169" i="14"/>
  <c r="AF169" i="14"/>
  <c r="R169" i="14"/>
  <c r="F169" i="14"/>
  <c r="Y169" i="14"/>
  <c r="M169" i="14"/>
  <c r="N169" i="14"/>
  <c r="AC169" i="14"/>
  <c r="L169" i="14"/>
  <c r="AB169" i="14"/>
  <c r="G169" i="14"/>
  <c r="AA169" i="14"/>
  <c r="E169" i="14"/>
  <c r="Z169" i="14"/>
  <c r="D169" i="14"/>
  <c r="X169" i="14"/>
  <c r="C169" i="14"/>
  <c r="S169" i="14"/>
  <c r="B169" i="14"/>
  <c r="Q169" i="14"/>
  <c r="P169" i="14"/>
  <c r="O169" i="14"/>
  <c r="AF174" i="14"/>
  <c r="V174" i="14"/>
  <c r="L174" i="14"/>
  <c r="B174" i="14"/>
  <c r="Y174" i="14"/>
  <c r="N174" i="14"/>
  <c r="C174" i="14"/>
  <c r="X174" i="14"/>
  <c r="M174" i="14"/>
  <c r="A174" i="14"/>
  <c r="AC174" i="14"/>
  <c r="P174" i="14"/>
  <c r="AB174" i="14"/>
  <c r="O174" i="14"/>
  <c r="AA174" i="14"/>
  <c r="K174" i="14"/>
  <c r="Z174" i="14"/>
  <c r="J174" i="14"/>
  <c r="AE174" i="14"/>
  <c r="R174" i="14"/>
  <c r="E174" i="14"/>
  <c r="AD174" i="14"/>
  <c r="D174" i="14"/>
  <c r="W174" i="14"/>
  <c r="U174" i="14"/>
  <c r="T174" i="14"/>
  <c r="S174" i="14"/>
  <c r="Q174" i="14"/>
  <c r="I174" i="14"/>
  <c r="H174" i="14"/>
  <c r="AH174" i="14"/>
  <c r="G174" i="14"/>
  <c r="AG174" i="14"/>
  <c r="F174" i="14"/>
  <c r="AF179" i="14"/>
  <c r="V179" i="14"/>
  <c r="L179" i="14"/>
  <c r="B179" i="14"/>
  <c r="Z179" i="14"/>
  <c r="O179" i="14"/>
  <c r="D179" i="14"/>
  <c r="X179" i="14"/>
  <c r="K179" i="14"/>
  <c r="W179" i="14"/>
  <c r="J179" i="14"/>
  <c r="AC179" i="14"/>
  <c r="N179" i="14"/>
  <c r="AB179" i="14"/>
  <c r="M179" i="14"/>
  <c r="AA179" i="14"/>
  <c r="I179" i="14"/>
  <c r="Y179" i="14"/>
  <c r="H179" i="14"/>
  <c r="U179" i="14"/>
  <c r="G179" i="14"/>
  <c r="AE179" i="14"/>
  <c r="Q179" i="14"/>
  <c r="A179" i="14"/>
  <c r="AD179" i="14"/>
  <c r="R179" i="14"/>
  <c r="P179" i="14"/>
  <c r="F179" i="14"/>
  <c r="E179" i="14"/>
  <c r="C179" i="14"/>
  <c r="AH179" i="14"/>
  <c r="AG179" i="14"/>
  <c r="T179" i="14"/>
  <c r="S179" i="14"/>
  <c r="AC184" i="14"/>
  <c r="S184" i="14"/>
  <c r="I184" i="14"/>
  <c r="AB184" i="14"/>
  <c r="Q184" i="14"/>
  <c r="F184" i="14"/>
  <c r="AA184" i="14"/>
  <c r="O184" i="14"/>
  <c r="C184" i="14"/>
  <c r="AF184" i="14"/>
  <c r="R184" i="14"/>
  <c r="D184" i="14"/>
  <c r="AE184" i="14"/>
  <c r="P184" i="14"/>
  <c r="B184" i="14"/>
  <c r="AD184" i="14"/>
  <c r="L184" i="14"/>
  <c r="Z184" i="14"/>
  <c r="K184" i="14"/>
  <c r="Y184" i="14"/>
  <c r="J184" i="14"/>
  <c r="X184" i="14"/>
  <c r="H184" i="14"/>
  <c r="W184" i="14"/>
  <c r="G184" i="14"/>
  <c r="U184" i="14"/>
  <c r="A184" i="14"/>
  <c r="T184" i="14"/>
  <c r="AH184" i="14"/>
  <c r="N184" i="14"/>
  <c r="AG184" i="14"/>
  <c r="M184" i="14"/>
  <c r="V184" i="14"/>
  <c r="E184" i="14"/>
  <c r="AC189" i="14"/>
  <c r="S189" i="14"/>
  <c r="I189" i="14"/>
  <c r="Y189" i="14"/>
  <c r="N189" i="14"/>
  <c r="C189" i="14"/>
  <c r="AE189" i="14"/>
  <c r="R189" i="14"/>
  <c r="F189" i="14"/>
  <c r="Z189" i="14"/>
  <c r="L189" i="14"/>
  <c r="X189" i="14"/>
  <c r="K189" i="14"/>
  <c r="AF189" i="14"/>
  <c r="O189" i="14"/>
  <c r="AD189" i="14"/>
  <c r="M189" i="14"/>
  <c r="AB189" i="14"/>
  <c r="J189" i="14"/>
  <c r="AA189" i="14"/>
  <c r="H189" i="14"/>
  <c r="W189" i="14"/>
  <c r="G189" i="14"/>
  <c r="U189" i="14"/>
  <c r="D189" i="14"/>
  <c r="T189" i="14"/>
  <c r="B189" i="14"/>
  <c r="AH189" i="14"/>
  <c r="Q189" i="14"/>
  <c r="A189" i="14"/>
  <c r="AG189" i="14"/>
  <c r="P189" i="14"/>
  <c r="V189" i="14"/>
  <c r="E189" i="14"/>
  <c r="AC194" i="14"/>
  <c r="S194" i="14"/>
  <c r="I194" i="14"/>
  <c r="AG194" i="14"/>
  <c r="V194" i="14"/>
  <c r="K194" i="14"/>
  <c r="Y194" i="14"/>
  <c r="N194" i="14"/>
  <c r="C194" i="14"/>
  <c r="AF194" i="14"/>
  <c r="R194" i="14"/>
  <c r="E194" i="14"/>
  <c r="AE194" i="14"/>
  <c r="P194" i="14"/>
  <c r="A194" i="14"/>
  <c r="AD194" i="14"/>
  <c r="O194" i="14"/>
  <c r="Z194" i="14"/>
  <c r="G194" i="14"/>
  <c r="X194" i="14"/>
  <c r="F194" i="14"/>
  <c r="W194" i="14"/>
  <c r="D194" i="14"/>
  <c r="U194" i="14"/>
  <c r="B194" i="14"/>
  <c r="T194" i="14"/>
  <c r="M194" i="14"/>
  <c r="AH194" i="14"/>
  <c r="L194" i="14"/>
  <c r="AB194" i="14"/>
  <c r="J194" i="14"/>
  <c r="AA194" i="14"/>
  <c r="H194" i="14"/>
  <c r="Q194" i="14"/>
  <c r="AC199" i="14"/>
  <c r="S199" i="14"/>
  <c r="I199" i="14"/>
  <c r="AD199" i="14"/>
  <c r="R199" i="14"/>
  <c r="G199" i="14"/>
  <c r="AG199" i="14"/>
  <c r="V199" i="14"/>
  <c r="K199" i="14"/>
  <c r="AB199" i="14"/>
  <c r="O199" i="14"/>
  <c r="B199" i="14"/>
  <c r="AF199" i="14"/>
  <c r="P199" i="14"/>
  <c r="A199" i="14"/>
  <c r="AE199" i="14"/>
  <c r="N199" i="14"/>
  <c r="AA199" i="14"/>
  <c r="M199" i="14"/>
  <c r="T199" i="14"/>
  <c r="D199" i="14"/>
  <c r="Z199" i="14"/>
  <c r="E199" i="14"/>
  <c r="Y199" i="14"/>
  <c r="C199" i="14"/>
  <c r="X199" i="14"/>
  <c r="W199" i="14"/>
  <c r="U199" i="14"/>
  <c r="L199" i="14"/>
  <c r="J199" i="14"/>
  <c r="H199" i="14"/>
  <c r="AH199" i="14"/>
  <c r="F199" i="14"/>
  <c r="Q199" i="14"/>
  <c r="E30" i="16"/>
  <c r="D15" i="11"/>
  <c r="P20" i="12"/>
  <c r="P25" i="12"/>
  <c r="P30" i="12"/>
  <c r="P35" i="12"/>
  <c r="P40" i="12"/>
  <c r="P45" i="12"/>
  <c r="P50" i="12"/>
  <c r="P55" i="12"/>
  <c r="P60" i="12"/>
  <c r="P65" i="12"/>
  <c r="P70" i="12"/>
  <c r="P75" i="12"/>
  <c r="C81" i="12"/>
  <c r="E83" i="12"/>
  <c r="D85" i="12"/>
  <c r="E87" i="12"/>
  <c r="E89" i="12"/>
  <c r="D91" i="12"/>
  <c r="E99" i="12"/>
  <c r="G4" i="13"/>
  <c r="H7" i="13"/>
  <c r="G9" i="13"/>
  <c r="Q12" i="13"/>
  <c r="G12" i="13"/>
  <c r="F12" i="13"/>
  <c r="E12" i="13"/>
  <c r="N12" i="13"/>
  <c r="D12" i="13"/>
  <c r="I12" i="13"/>
  <c r="N19" i="13"/>
  <c r="D19" i="13"/>
  <c r="Q19" i="13"/>
  <c r="F19" i="13"/>
  <c r="E19" i="13"/>
  <c r="C19" i="13"/>
  <c r="M19" i="13"/>
  <c r="B19" i="13"/>
  <c r="K19" i="13"/>
  <c r="H19" i="13"/>
  <c r="I20" i="13"/>
  <c r="T26" i="13"/>
  <c r="J26" i="13"/>
  <c r="R26" i="13"/>
  <c r="G26" i="13"/>
  <c r="Q26" i="13"/>
  <c r="F26" i="13"/>
  <c r="P26" i="13"/>
  <c r="E26" i="13"/>
  <c r="O26" i="13"/>
  <c r="D26" i="13"/>
  <c r="M26" i="13"/>
  <c r="B26" i="13"/>
  <c r="U26" i="13"/>
  <c r="I26" i="13"/>
  <c r="I27" i="13"/>
  <c r="L28" i="13"/>
  <c r="C191" i="7"/>
  <c r="C196" i="7"/>
  <c r="C201" i="7"/>
  <c r="G82" i="8"/>
  <c r="G120" i="13" s="1"/>
  <c r="M4" i="9"/>
  <c r="M9" i="9"/>
  <c r="M14" i="9"/>
  <c r="AD14" i="14" s="1"/>
  <c r="M19" i="9"/>
  <c r="P19" i="9" s="1"/>
  <c r="M24" i="9"/>
  <c r="P24" i="9" s="1"/>
  <c r="M29" i="9"/>
  <c r="P29" i="9" s="1"/>
  <c r="M34" i="9"/>
  <c r="AD34" i="14" s="1"/>
  <c r="M39" i="9"/>
  <c r="P39" i="9" s="1"/>
  <c r="M44" i="9"/>
  <c r="M49" i="9"/>
  <c r="O49" i="9" s="1"/>
  <c r="M54" i="9"/>
  <c r="P54" i="9" s="1"/>
  <c r="M59" i="9"/>
  <c r="P59" i="9" s="1"/>
  <c r="M64" i="9"/>
  <c r="AD64" i="14" s="1"/>
  <c r="M69" i="9"/>
  <c r="P69" i="9" s="1"/>
  <c r="M74" i="9"/>
  <c r="M79" i="9"/>
  <c r="M84" i="9"/>
  <c r="P84" i="9" s="1"/>
  <c r="M89" i="9"/>
  <c r="P89" i="9" s="1"/>
  <c r="M94" i="9"/>
  <c r="O94" i="9" s="1"/>
  <c r="M99" i="9"/>
  <c r="P99" i="9" s="1"/>
  <c r="M104" i="9"/>
  <c r="P104" i="9" s="1"/>
  <c r="M109" i="9"/>
  <c r="O109" i="9" s="1"/>
  <c r="M114" i="9"/>
  <c r="M119" i="9"/>
  <c r="AD119" i="14" s="1"/>
  <c r="M124" i="9"/>
  <c r="M129" i="9"/>
  <c r="P129" i="9" s="1"/>
  <c r="M134" i="9"/>
  <c r="AD134" i="14" s="1"/>
  <c r="M139" i="9"/>
  <c r="P139" i="9" s="1"/>
  <c r="M144" i="9"/>
  <c r="O144" i="9" s="1"/>
  <c r="D8" i="11"/>
  <c r="D9" i="11"/>
  <c r="D10" i="11"/>
  <c r="E108" i="12"/>
  <c r="B107" i="12"/>
  <c r="C104" i="12"/>
  <c r="D101" i="12"/>
  <c r="E98" i="12"/>
  <c r="D108" i="12"/>
  <c r="E105" i="12"/>
  <c r="B104" i="12"/>
  <c r="C101" i="12"/>
  <c r="D98" i="12"/>
  <c r="C110" i="12"/>
  <c r="D107" i="12"/>
  <c r="E104" i="12"/>
  <c r="B103" i="12"/>
  <c r="C100" i="12"/>
  <c r="L18" i="12"/>
  <c r="L23" i="12"/>
  <c r="L28" i="12"/>
  <c r="L33" i="12"/>
  <c r="L38" i="12"/>
  <c r="L43" i="12"/>
  <c r="L48" i="12"/>
  <c r="L53" i="12"/>
  <c r="L58" i="12"/>
  <c r="L63" i="12"/>
  <c r="L68" i="12"/>
  <c r="L73" i="12"/>
  <c r="D81" i="12"/>
  <c r="E85" i="12"/>
  <c r="B106" i="12"/>
  <c r="B110" i="12"/>
  <c r="H4" i="13"/>
  <c r="E8" i="13"/>
  <c r="N8" i="13"/>
  <c r="D8" i="13"/>
  <c r="Q8" i="13"/>
  <c r="G8" i="13"/>
  <c r="H9" i="13"/>
  <c r="B12" i="13"/>
  <c r="G19" i="13"/>
  <c r="C26" i="13"/>
  <c r="K27" i="13"/>
  <c r="N28" i="13"/>
  <c r="N14" i="14"/>
  <c r="O14" i="14" s="1"/>
  <c r="K6" i="13"/>
  <c r="K11" i="13"/>
  <c r="E14" i="13"/>
  <c r="K16" i="13"/>
  <c r="H21" i="13"/>
  <c r="I22" i="13"/>
  <c r="I23" i="13"/>
  <c r="I24" i="13"/>
  <c r="I25" i="13"/>
  <c r="L21" i="13"/>
  <c r="H22" i="13"/>
  <c r="L22" i="13"/>
  <c r="P23" i="13"/>
  <c r="S23" i="13" s="1"/>
  <c r="F23" i="13"/>
  <c r="L23" i="13"/>
  <c r="N24" i="13"/>
  <c r="D24" i="13"/>
  <c r="L24" i="13"/>
  <c r="V25" i="13"/>
  <c r="L25" i="13"/>
  <c r="B25" i="13"/>
  <c r="M25" i="13"/>
  <c r="C21" i="13"/>
  <c r="N21" i="13"/>
  <c r="U21" i="13" s="1"/>
  <c r="C22" i="13"/>
  <c r="N22" i="13"/>
  <c r="U22" i="13" s="1"/>
  <c r="C23" i="13"/>
  <c r="N23" i="13"/>
  <c r="U23" i="13" s="1"/>
  <c r="C24" i="13"/>
  <c r="O24" i="13"/>
  <c r="D25" i="13"/>
  <c r="O25" i="13"/>
  <c r="K14" i="13"/>
  <c r="D21" i="13"/>
  <c r="D22" i="13"/>
  <c r="D23" i="13"/>
  <c r="E24" i="13"/>
  <c r="P24" i="13"/>
  <c r="E25" i="13"/>
  <c r="P25" i="13"/>
  <c r="F21" i="11"/>
  <c r="O21" i="12"/>
  <c r="O26" i="12"/>
  <c r="O31" i="12"/>
  <c r="O36" i="12"/>
  <c r="O41" i="12"/>
  <c r="O46" i="12"/>
  <c r="O51" i="12"/>
  <c r="O56" i="12"/>
  <c r="O61" i="12"/>
  <c r="O66" i="12"/>
  <c r="O71" i="12"/>
  <c r="H6" i="13"/>
  <c r="H11" i="13"/>
  <c r="B14" i="13"/>
  <c r="L14" i="13"/>
  <c r="H16" i="13"/>
  <c r="E21" i="13"/>
  <c r="P21" i="13"/>
  <c r="S21" i="13" s="1"/>
  <c r="E22" i="13"/>
  <c r="P22" i="13"/>
  <c r="S22" i="13" s="1"/>
  <c r="E23" i="13"/>
  <c r="Q23" i="13"/>
  <c r="F24" i="13"/>
  <c r="Q24" i="13"/>
  <c r="F25" i="13"/>
  <c r="Q25" i="13"/>
  <c r="D16" i="11"/>
  <c r="H16" i="11" s="1"/>
  <c r="K5" i="13"/>
  <c r="I6" i="13"/>
  <c r="K10" i="13"/>
  <c r="I11" i="13"/>
  <c r="C14" i="13"/>
  <c r="K15" i="13"/>
  <c r="I16" i="13"/>
  <c r="F21" i="13"/>
  <c r="Q21" i="13"/>
  <c r="F22" i="13"/>
  <c r="Q22" i="13"/>
  <c r="G23" i="13"/>
  <c r="G24" i="13"/>
  <c r="R24" i="13"/>
  <c r="G25" i="13"/>
  <c r="R25" i="13"/>
  <c r="D8" i="15"/>
  <c r="D9" i="15"/>
  <c r="H21" i="17"/>
  <c r="I21" i="17" s="1"/>
  <c r="L21" i="17" s="1"/>
  <c r="C85" i="17"/>
  <c r="D4" i="17"/>
  <c r="H18" i="17"/>
  <c r="I18" i="17" s="1"/>
  <c r="L18" i="17" s="1"/>
  <c r="H53" i="17"/>
  <c r="I53" i="17" s="1"/>
  <c r="L53" i="17" s="1"/>
  <c r="H31" i="17"/>
  <c r="I31" i="17" s="1"/>
  <c r="L31" i="17" s="1"/>
  <c r="H48" i="17"/>
  <c r="I48" i="17" s="1"/>
  <c r="L48" i="17" s="1"/>
  <c r="H60" i="17"/>
  <c r="I60" i="17" s="1"/>
  <c r="L60" i="17" s="1"/>
  <c r="L64" i="17"/>
  <c r="H65" i="17"/>
  <c r="L73" i="17"/>
  <c r="H56" i="17"/>
  <c r="I56" i="17" s="1"/>
  <c r="L56" i="17" s="1"/>
  <c r="L74" i="17"/>
  <c r="H82" i="17"/>
  <c r="H51" i="17"/>
  <c r="I51" i="17" s="1"/>
  <c r="I69" i="17"/>
  <c r="L69" i="17"/>
  <c r="D4" i="15"/>
  <c r="H32" i="17"/>
  <c r="I32" i="17" s="1"/>
  <c r="L32" i="17" s="1"/>
  <c r="I57" i="17"/>
  <c r="L57" i="17" s="1"/>
  <c r="H77" i="17"/>
  <c r="I84" i="17"/>
  <c r="I68" i="17"/>
  <c r="I78" i="17"/>
  <c r="H61" i="17"/>
  <c r="I61" i="17" s="1"/>
  <c r="L61" i="17" s="1"/>
  <c r="H78" i="17"/>
  <c r="H64" i="17"/>
  <c r="H74" i="17"/>
  <c r="H73" i="17"/>
  <c r="N120" i="7" l="1"/>
  <c r="K120" i="14" s="1"/>
  <c r="L120" i="14" s="1"/>
  <c r="N189" i="7"/>
  <c r="I61" i="7"/>
  <c r="Q179" i="7"/>
  <c r="J90" i="7"/>
  <c r="G90" i="14" s="1"/>
  <c r="H90" i="14" s="1"/>
  <c r="I72" i="17"/>
  <c r="L65" i="17"/>
  <c r="I153" i="7"/>
  <c r="I70" i="7"/>
  <c r="I79" i="17"/>
  <c r="N168" i="7"/>
  <c r="J189" i="7"/>
  <c r="I14" i="7"/>
  <c r="Q15" i="7"/>
  <c r="I15" i="14" s="1"/>
  <c r="J15" i="14" s="1"/>
  <c r="N86" i="7"/>
  <c r="K86" i="14" s="1"/>
  <c r="L86" i="14" s="1"/>
  <c r="AD140" i="14"/>
  <c r="I166" i="7"/>
  <c r="N35" i="7"/>
  <c r="K35" i="14" s="1"/>
  <c r="L35" i="14" s="1"/>
  <c r="N14" i="7"/>
  <c r="K14" i="14" s="1"/>
  <c r="L14" i="14" s="1"/>
  <c r="N72" i="7"/>
  <c r="K72" i="14" s="1"/>
  <c r="L72" i="14" s="1"/>
  <c r="J115" i="7"/>
  <c r="G115" i="14" s="1"/>
  <c r="H115" i="14" s="1"/>
  <c r="Q103" i="7"/>
  <c r="I103" i="14" s="1"/>
  <c r="J103" i="14" s="1"/>
  <c r="J43" i="7"/>
  <c r="G43" i="14" s="1"/>
  <c r="H43" i="14" s="1"/>
  <c r="I122" i="7"/>
  <c r="I167" i="7"/>
  <c r="I47" i="7"/>
  <c r="J35" i="7"/>
  <c r="G35" i="14" s="1"/>
  <c r="H35" i="14" s="1"/>
  <c r="I76" i="17"/>
  <c r="L72" i="17"/>
  <c r="AD90" i="14"/>
  <c r="I36" i="7"/>
  <c r="J72" i="7"/>
  <c r="G72" i="14" s="1"/>
  <c r="H72" i="14" s="1"/>
  <c r="J117" i="7"/>
  <c r="G117" i="14" s="1"/>
  <c r="H117" i="14" s="1"/>
  <c r="N145" i="7"/>
  <c r="K145" i="14" s="1"/>
  <c r="L145" i="14" s="1"/>
  <c r="N112" i="7"/>
  <c r="K112" i="14" s="1"/>
  <c r="L112" i="14" s="1"/>
  <c r="I112" i="7"/>
  <c r="I120" i="7"/>
  <c r="I128" i="7"/>
  <c r="I134" i="7"/>
  <c r="Q53" i="7"/>
  <c r="I53" i="14" s="1"/>
  <c r="J53" i="14" s="1"/>
  <c r="J193" i="7"/>
  <c r="O91" i="9"/>
  <c r="O22" i="9"/>
  <c r="AD22" i="14"/>
  <c r="O36" i="9"/>
  <c r="P36" i="9"/>
  <c r="Q139" i="7"/>
  <c r="I139" i="14" s="1"/>
  <c r="J139" i="14" s="1"/>
  <c r="J139" i="7"/>
  <c r="G139" i="14" s="1"/>
  <c r="H139" i="14" s="1"/>
  <c r="I139" i="7"/>
  <c r="N139" i="7"/>
  <c r="K139" i="14" s="1"/>
  <c r="L139" i="14" s="1"/>
  <c r="N155" i="7"/>
  <c r="J155" i="7"/>
  <c r="I155" i="7"/>
  <c r="I88" i="7"/>
  <c r="N88" i="7"/>
  <c r="K88" i="14" s="1"/>
  <c r="L88" i="14" s="1"/>
  <c r="J88" i="7"/>
  <c r="G88" i="14" s="1"/>
  <c r="H88" i="14" s="1"/>
  <c r="Q88" i="7"/>
  <c r="I88" i="14" s="1"/>
  <c r="J88" i="14" s="1"/>
  <c r="Q109" i="7"/>
  <c r="I109" i="14" s="1"/>
  <c r="J109" i="14" s="1"/>
  <c r="N109" i="7"/>
  <c r="K109" i="14" s="1"/>
  <c r="L109" i="14" s="1"/>
  <c r="N49" i="7"/>
  <c r="K49" i="14" s="1"/>
  <c r="L49" i="14" s="1"/>
  <c r="Q49" i="7"/>
  <c r="I49" i="14" s="1"/>
  <c r="J49" i="14" s="1"/>
  <c r="Q171" i="7"/>
  <c r="N171" i="7"/>
  <c r="Q97" i="7"/>
  <c r="I97" i="14" s="1"/>
  <c r="J97" i="14" s="1"/>
  <c r="I97" i="7"/>
  <c r="J97" i="7"/>
  <c r="G97" i="14" s="1"/>
  <c r="H97" i="14" s="1"/>
  <c r="N97" i="7"/>
  <c r="K97" i="14" s="1"/>
  <c r="L97" i="14" s="1"/>
  <c r="N192" i="7"/>
  <c r="J192" i="7"/>
  <c r="Q192" i="7"/>
  <c r="J109" i="7"/>
  <c r="G109" i="14" s="1"/>
  <c r="H109" i="14" s="1"/>
  <c r="I171" i="7"/>
  <c r="I173" i="7"/>
  <c r="N116" i="7"/>
  <c r="K116" i="14" s="1"/>
  <c r="L116" i="14" s="1"/>
  <c r="J116" i="7"/>
  <c r="G116" i="14" s="1"/>
  <c r="H116" i="14" s="1"/>
  <c r="J6" i="7"/>
  <c r="G6" i="14" s="1"/>
  <c r="H6" i="14" s="1"/>
  <c r="I6" i="7"/>
  <c r="J143" i="7"/>
  <c r="G143" i="14" s="1"/>
  <c r="H143" i="14" s="1"/>
  <c r="Q143" i="7"/>
  <c r="I143" i="14" s="1"/>
  <c r="J143" i="14" s="1"/>
  <c r="I81" i="7"/>
  <c r="N81" i="7"/>
  <c r="K81" i="14" s="1"/>
  <c r="L81" i="14" s="1"/>
  <c r="Q58" i="7"/>
  <c r="I58" i="14" s="1"/>
  <c r="J58" i="14" s="1"/>
  <c r="J58" i="7"/>
  <c r="G58" i="14" s="1"/>
  <c r="H58" i="14" s="1"/>
  <c r="J94" i="7"/>
  <c r="G94" i="14" s="1"/>
  <c r="H94" i="14" s="1"/>
  <c r="N94" i="7"/>
  <c r="K94" i="14" s="1"/>
  <c r="L94" i="14" s="1"/>
  <c r="J32" i="7"/>
  <c r="G32" i="14" s="1"/>
  <c r="H32" i="14" s="1"/>
  <c r="Q32" i="7"/>
  <c r="I32" i="14" s="1"/>
  <c r="J32" i="14" s="1"/>
  <c r="I32" i="7"/>
  <c r="J114" i="7"/>
  <c r="G114" i="14" s="1"/>
  <c r="H114" i="14" s="1"/>
  <c r="I114" i="7"/>
  <c r="Q114" i="7"/>
  <c r="I114" i="14" s="1"/>
  <c r="J114" i="14" s="1"/>
  <c r="J135" i="7"/>
  <c r="G135" i="14" s="1"/>
  <c r="H135" i="14" s="1"/>
  <c r="I135" i="7"/>
  <c r="Q135" i="7"/>
  <c r="I135" i="14" s="1"/>
  <c r="J135" i="14" s="1"/>
  <c r="N135" i="7"/>
  <c r="K135" i="14" s="1"/>
  <c r="L135" i="14" s="1"/>
  <c r="AD66" i="14"/>
  <c r="P13" i="13"/>
  <c r="R13" i="13" s="1"/>
  <c r="S13" i="13" s="1"/>
  <c r="I58" i="7"/>
  <c r="J173" i="7"/>
  <c r="N51" i="7"/>
  <c r="K51" i="14" s="1"/>
  <c r="L51" i="14" s="1"/>
  <c r="Q51" i="7"/>
  <c r="I51" i="14" s="1"/>
  <c r="J51" i="14" s="1"/>
  <c r="J106" i="7"/>
  <c r="G106" i="14" s="1"/>
  <c r="H106" i="14" s="1"/>
  <c r="N106" i="7"/>
  <c r="K106" i="14" s="1"/>
  <c r="L106" i="14" s="1"/>
  <c r="Q106" i="7"/>
  <c r="I106" i="14" s="1"/>
  <c r="J106" i="14" s="1"/>
  <c r="J46" i="7"/>
  <c r="G46" i="14" s="1"/>
  <c r="H46" i="14" s="1"/>
  <c r="I46" i="7"/>
  <c r="Q6" i="7"/>
  <c r="I6" i="14" s="1"/>
  <c r="J6" i="14" s="1"/>
  <c r="I192" i="7"/>
  <c r="I70" i="17"/>
  <c r="H70" i="17"/>
  <c r="N114" i="7"/>
  <c r="K114" i="14" s="1"/>
  <c r="L114" i="14" s="1"/>
  <c r="Q127" i="7"/>
  <c r="I127" i="14" s="1"/>
  <c r="J127" i="14" s="1"/>
  <c r="N127" i="7"/>
  <c r="K127" i="14" s="1"/>
  <c r="L127" i="14" s="1"/>
  <c r="N32" i="7"/>
  <c r="K32" i="14" s="1"/>
  <c r="L32" i="14" s="1"/>
  <c r="N175" i="7"/>
  <c r="J175" i="7"/>
  <c r="Q175" i="7"/>
  <c r="I175" i="7"/>
  <c r="P86" i="9"/>
  <c r="AD86" i="14"/>
  <c r="I51" i="7"/>
  <c r="I94" i="7"/>
  <c r="P100" i="9"/>
  <c r="AD100" i="14"/>
  <c r="N46" i="7"/>
  <c r="K46" i="14" s="1"/>
  <c r="L46" i="14" s="1"/>
  <c r="Q155" i="7"/>
  <c r="Q186" i="7"/>
  <c r="N186" i="7"/>
  <c r="J186" i="7"/>
  <c r="I186" i="7"/>
  <c r="L68" i="17"/>
  <c r="P22" i="9"/>
  <c r="J171" i="7"/>
  <c r="I49" i="7"/>
  <c r="J89" i="7"/>
  <c r="G89" i="14" s="1"/>
  <c r="H89" i="14" s="1"/>
  <c r="H76" i="17"/>
  <c r="Q116" i="7"/>
  <c r="I116" i="14" s="1"/>
  <c r="J116" i="14" s="1"/>
  <c r="J49" i="7"/>
  <c r="G49" i="14" s="1"/>
  <c r="H49" i="14" s="1"/>
  <c r="N89" i="7"/>
  <c r="K89" i="14" s="1"/>
  <c r="L89" i="14" s="1"/>
  <c r="O140" i="9"/>
  <c r="AD72" i="14"/>
  <c r="J142" i="7"/>
  <c r="G142" i="14" s="1"/>
  <c r="H142" i="14" s="1"/>
  <c r="I9" i="7"/>
  <c r="N67" i="7"/>
  <c r="K67" i="14" s="1"/>
  <c r="L67" i="14" s="1"/>
  <c r="J161" i="7"/>
  <c r="Q23" i="7"/>
  <c r="I23" i="14" s="1"/>
  <c r="J23" i="14" s="1"/>
  <c r="Q93" i="7"/>
  <c r="I93" i="14" s="1"/>
  <c r="J93" i="14" s="1"/>
  <c r="I179" i="7"/>
  <c r="I156" i="7"/>
  <c r="Q194" i="7"/>
  <c r="J128" i="7"/>
  <c r="G128" i="14" s="1"/>
  <c r="H128" i="14" s="1"/>
  <c r="J71" i="7"/>
  <c r="G71" i="14" s="1"/>
  <c r="H71" i="14" s="1"/>
  <c r="I142" i="7"/>
  <c r="Q111" i="7"/>
  <c r="I111" i="14" s="1"/>
  <c r="J111" i="14" s="1"/>
  <c r="R111" i="14" s="1"/>
  <c r="Q24" i="7"/>
  <c r="I24" i="14" s="1"/>
  <c r="J24" i="14" s="1"/>
  <c r="I148" i="7"/>
  <c r="I68" i="7"/>
  <c r="I161" i="7"/>
  <c r="O96" i="9"/>
  <c r="O100" i="9"/>
  <c r="J200" i="7"/>
  <c r="N87" i="7"/>
  <c r="K87" i="14" s="1"/>
  <c r="L87" i="14" s="1"/>
  <c r="N84" i="7"/>
  <c r="K84" i="14" s="1"/>
  <c r="L84" i="14" s="1"/>
  <c r="I132" i="7"/>
  <c r="N132" i="7"/>
  <c r="K132" i="14" s="1"/>
  <c r="L132" i="14" s="1"/>
  <c r="Q151" i="7"/>
  <c r="AD15" i="14"/>
  <c r="J132" i="7"/>
  <c r="G132" i="14" s="1"/>
  <c r="H132" i="14" s="1"/>
  <c r="J9" i="7"/>
  <c r="G9" i="14" s="1"/>
  <c r="H9" i="14" s="1"/>
  <c r="I69" i="7"/>
  <c r="N156" i="7"/>
  <c r="J73" i="7"/>
  <c r="G73" i="14" s="1"/>
  <c r="H73" i="14" s="1"/>
  <c r="J156" i="7"/>
  <c r="J151" i="7"/>
  <c r="N130" i="7"/>
  <c r="K130" i="14" s="1"/>
  <c r="L130" i="14" s="1"/>
  <c r="O15" i="9"/>
  <c r="I182" i="7"/>
  <c r="I126" i="7"/>
  <c r="N78" i="7"/>
  <c r="K78" i="14" s="1"/>
  <c r="L78" i="14" s="1"/>
  <c r="J122" i="7"/>
  <c r="G122" i="14" s="1"/>
  <c r="H122" i="14" s="1"/>
  <c r="I33" i="7"/>
  <c r="Q9" i="7"/>
  <c r="I9" i="14" s="1"/>
  <c r="J9" i="14" s="1"/>
  <c r="I129" i="7"/>
  <c r="J69" i="7"/>
  <c r="G69" i="14" s="1"/>
  <c r="H69" i="14" s="1"/>
  <c r="J39" i="7"/>
  <c r="G39" i="14" s="1"/>
  <c r="H39" i="14" s="1"/>
  <c r="I59" i="7"/>
  <c r="J25" i="7"/>
  <c r="G25" i="14" s="1"/>
  <c r="H25" i="14" s="1"/>
  <c r="R25" i="14" s="1"/>
  <c r="N153" i="7"/>
  <c r="N73" i="7"/>
  <c r="K73" i="14" s="1"/>
  <c r="L73" i="14" s="1"/>
  <c r="I90" i="7"/>
  <c r="N71" i="7"/>
  <c r="K71" i="14" s="1"/>
  <c r="L71" i="14" s="1"/>
  <c r="I62" i="7"/>
  <c r="Q64" i="7"/>
  <c r="I64" i="14" s="1"/>
  <c r="J64" i="14" s="1"/>
  <c r="N64" i="7"/>
  <c r="K64" i="14" s="1"/>
  <c r="L64" i="14" s="1"/>
  <c r="N122" i="7"/>
  <c r="K122" i="14" s="1"/>
  <c r="L122" i="14" s="1"/>
  <c r="Q144" i="7"/>
  <c r="I144" i="14" s="1"/>
  <c r="J144" i="14" s="1"/>
  <c r="I64" i="7"/>
  <c r="AD97" i="14"/>
  <c r="I133" i="7"/>
  <c r="Q159" i="7"/>
  <c r="I160" i="7"/>
  <c r="J129" i="7"/>
  <c r="G129" i="14" s="1"/>
  <c r="H129" i="14" s="1"/>
  <c r="Q69" i="7"/>
  <c r="I69" i="14" s="1"/>
  <c r="J69" i="14" s="1"/>
  <c r="Q39" i="7"/>
  <c r="I39" i="14" s="1"/>
  <c r="J39" i="14" s="1"/>
  <c r="J59" i="7"/>
  <c r="G59" i="14" s="1"/>
  <c r="H59" i="14" s="1"/>
  <c r="I144" i="7"/>
  <c r="Q63" i="7"/>
  <c r="I63" i="14" s="1"/>
  <c r="J63" i="14" s="1"/>
  <c r="J63" i="7"/>
  <c r="G63" i="14" s="1"/>
  <c r="H63" i="14" s="1"/>
  <c r="I78" i="7"/>
  <c r="I185" i="7"/>
  <c r="N62" i="7"/>
  <c r="K62" i="14" s="1"/>
  <c r="L62" i="14" s="1"/>
  <c r="Q84" i="7"/>
  <c r="I84" i="14" s="1"/>
  <c r="J84" i="14" s="1"/>
  <c r="J202" i="7"/>
  <c r="J125" i="7"/>
  <c r="G125" i="14" s="1"/>
  <c r="H125" i="14" s="1"/>
  <c r="R125" i="14" s="1"/>
  <c r="J130" i="7"/>
  <c r="G130" i="14" s="1"/>
  <c r="H130" i="14" s="1"/>
  <c r="I197" i="7"/>
  <c r="Q126" i="7"/>
  <c r="I126" i="14" s="1"/>
  <c r="J126" i="14" s="1"/>
  <c r="I83" i="7"/>
  <c r="I23" i="7"/>
  <c r="I159" i="7"/>
  <c r="J160" i="7"/>
  <c r="Q190" i="7"/>
  <c r="I152" i="7"/>
  <c r="J23" i="7"/>
  <c r="G23" i="14" s="1"/>
  <c r="H23" i="14" s="1"/>
  <c r="Q78" i="7"/>
  <c r="I78" i="14" s="1"/>
  <c r="J78" i="14" s="1"/>
  <c r="J62" i="7"/>
  <c r="G62" i="14" s="1"/>
  <c r="H62" i="14" s="1"/>
  <c r="N194" i="7"/>
  <c r="Q42" i="7"/>
  <c r="I42" i="14" s="1"/>
  <c r="J42" i="14" s="1"/>
  <c r="R42" i="14" s="1"/>
  <c r="J28" i="7"/>
  <c r="G28" i="14" s="1"/>
  <c r="H28" i="14" s="1"/>
  <c r="R28" i="14" s="1"/>
  <c r="N202" i="7"/>
  <c r="I38" i="7"/>
  <c r="I84" i="7"/>
  <c r="I42" i="7"/>
  <c r="O45" i="9"/>
  <c r="D7" i="15"/>
  <c r="B13" i="18"/>
  <c r="I202" i="7"/>
  <c r="I28" i="7"/>
  <c r="O52" i="9"/>
  <c r="O123" i="9"/>
  <c r="L83" i="17"/>
  <c r="I77" i="17"/>
  <c r="D6" i="15"/>
  <c r="I83" i="17"/>
  <c r="Q152" i="7"/>
  <c r="L71" i="17"/>
  <c r="L79" i="17"/>
  <c r="P92" i="9"/>
  <c r="P111" i="9"/>
  <c r="Q16" i="13"/>
  <c r="R16" i="13" s="1"/>
  <c r="I127" i="7"/>
  <c r="O111" i="9"/>
  <c r="Q121" i="7"/>
  <c r="I121" i="14" s="1"/>
  <c r="J121" i="14" s="1"/>
  <c r="L70" i="17"/>
  <c r="I106" i="7"/>
  <c r="N199" i="7"/>
  <c r="I143" i="7"/>
  <c r="Q46" i="7"/>
  <c r="I46" i="14" s="1"/>
  <c r="J46" i="14" s="1"/>
  <c r="N195" i="7"/>
  <c r="J51" i="7"/>
  <c r="G51" i="14" s="1"/>
  <c r="H51" i="14" s="1"/>
  <c r="R51" i="14" s="1"/>
  <c r="Q94" i="7"/>
  <c r="I94" i="14" s="1"/>
  <c r="J94" i="14" s="1"/>
  <c r="I102" i="7"/>
  <c r="J195" i="7"/>
  <c r="L84" i="17"/>
  <c r="AD115" i="14"/>
  <c r="Q195" i="7"/>
  <c r="I48" i="7"/>
  <c r="J199" i="7"/>
  <c r="O115" i="9"/>
  <c r="J150" i="7"/>
  <c r="N143" i="7"/>
  <c r="K143" i="14" s="1"/>
  <c r="L143" i="14" s="1"/>
  <c r="I199" i="7"/>
  <c r="N76" i="7"/>
  <c r="K76" i="14" s="1"/>
  <c r="L76" i="14" s="1"/>
  <c r="R76" i="14" s="1"/>
  <c r="Q163" i="7"/>
  <c r="I121" i="7"/>
  <c r="Q113" i="7"/>
  <c r="I113" i="14" s="1"/>
  <c r="J113" i="14" s="1"/>
  <c r="J48" i="7"/>
  <c r="G48" i="14" s="1"/>
  <c r="H48" i="14" s="1"/>
  <c r="I163" i="7"/>
  <c r="J121" i="7"/>
  <c r="G121" i="14" s="1"/>
  <c r="H121" i="14" s="1"/>
  <c r="J113" i="7"/>
  <c r="G113" i="14" s="1"/>
  <c r="H113" i="14" s="1"/>
  <c r="N163" i="7"/>
  <c r="I71" i="17"/>
  <c r="J127" i="7"/>
  <c r="G127" i="14" s="1"/>
  <c r="H127" i="14" s="1"/>
  <c r="R127" i="14" s="1"/>
  <c r="J40" i="7"/>
  <c r="G40" i="14" s="1"/>
  <c r="H40" i="14" s="1"/>
  <c r="N90" i="7"/>
  <c r="K90" i="14" s="1"/>
  <c r="L90" i="14" s="1"/>
  <c r="R90" i="14" s="1"/>
  <c r="O98" i="9"/>
  <c r="AA145" i="14"/>
  <c r="P18" i="13"/>
  <c r="S18" i="13" s="1"/>
  <c r="F101" i="12"/>
  <c r="O63" i="9"/>
  <c r="F108" i="12"/>
  <c r="P17" i="13"/>
  <c r="U17" i="13" s="1"/>
  <c r="O85" i="9"/>
  <c r="Q173" i="7"/>
  <c r="O145" i="9"/>
  <c r="R145" i="14"/>
  <c r="F84" i="12"/>
  <c r="P103" i="9"/>
  <c r="P88" i="9"/>
  <c r="P113" i="9"/>
  <c r="P83" i="9"/>
  <c r="O120" i="9"/>
  <c r="P17" i="9"/>
  <c r="G13" i="11"/>
  <c r="C28" i="16" s="1"/>
  <c r="O83" i="9"/>
  <c r="P109" i="9"/>
  <c r="P132" i="9"/>
  <c r="F100" i="12"/>
  <c r="O66" i="9"/>
  <c r="O136" i="9"/>
  <c r="P122" i="9"/>
  <c r="O118" i="9"/>
  <c r="P94" i="9"/>
  <c r="P106" i="9"/>
  <c r="O58" i="9"/>
  <c r="P64" i="9"/>
  <c r="O104" i="9"/>
  <c r="P49" i="9"/>
  <c r="P143" i="9"/>
  <c r="L75" i="17"/>
  <c r="H67" i="17"/>
  <c r="N6" i="7"/>
  <c r="K6" i="14" s="1"/>
  <c r="L6" i="14" s="1"/>
  <c r="H75" i="17"/>
  <c r="L67" i="17"/>
  <c r="R23" i="13"/>
  <c r="O112" i="9"/>
  <c r="O10" i="9"/>
  <c r="AD11" i="14"/>
  <c r="AD112" i="14"/>
  <c r="P11" i="9"/>
  <c r="I111" i="7"/>
  <c r="Q31" i="7"/>
  <c r="I31" i="14" s="1"/>
  <c r="J31" i="14" s="1"/>
  <c r="R31" i="14" s="1"/>
  <c r="N170" i="7"/>
  <c r="D5" i="15"/>
  <c r="J170" i="7"/>
  <c r="N141" i="7"/>
  <c r="K141" i="14" s="1"/>
  <c r="L141" i="14" s="1"/>
  <c r="AD92" i="14"/>
  <c r="Q200" i="7"/>
  <c r="P19" i="13"/>
  <c r="U19" i="13" s="1"/>
  <c r="Q170" i="7"/>
  <c r="Q166" i="7"/>
  <c r="N166" i="7"/>
  <c r="J168" i="7"/>
  <c r="I168" i="7"/>
  <c r="I201" i="7"/>
  <c r="I184" i="7"/>
  <c r="N152" i="7"/>
  <c r="J194" i="7"/>
  <c r="F103" i="12"/>
  <c r="P66" i="9"/>
  <c r="Q81" i="7"/>
  <c r="I81" i="14" s="1"/>
  <c r="J81" i="14" s="1"/>
  <c r="J81" i="7"/>
  <c r="G81" i="14" s="1"/>
  <c r="H81" i="14" s="1"/>
  <c r="N201" i="7"/>
  <c r="Q4" i="7"/>
  <c r="I4" i="14" s="1"/>
  <c r="J4" i="14" s="1"/>
  <c r="N4" i="7"/>
  <c r="K4" i="14" s="1"/>
  <c r="L4" i="14" s="1"/>
  <c r="Q17" i="13"/>
  <c r="P131" i="9"/>
  <c r="F83" i="12"/>
  <c r="Q184" i="7"/>
  <c r="J54" i="7"/>
  <c r="G54" i="14" s="1"/>
  <c r="H54" i="14" s="1"/>
  <c r="Q54" i="7"/>
  <c r="I54" i="14" s="1"/>
  <c r="J54" i="14" s="1"/>
  <c r="N158" i="7"/>
  <c r="Q65" i="7"/>
  <c r="I65" i="14" s="1"/>
  <c r="J65" i="14" s="1"/>
  <c r="R65" i="14" s="1"/>
  <c r="N93" i="7"/>
  <c r="K93" i="14" s="1"/>
  <c r="L93" i="14" s="1"/>
  <c r="J169" i="7"/>
  <c r="N169" i="7"/>
  <c r="I169" i="7"/>
  <c r="Q18" i="7"/>
  <c r="I18" i="14" s="1"/>
  <c r="J18" i="14" s="1"/>
  <c r="I18" i="7"/>
  <c r="H66" i="17"/>
  <c r="P10" i="9"/>
  <c r="I71" i="7"/>
  <c r="N22" i="7"/>
  <c r="K22" i="14" s="1"/>
  <c r="L22" i="14" s="1"/>
  <c r="R22" i="14" s="1"/>
  <c r="I22" i="7"/>
  <c r="AA143" i="14"/>
  <c r="I82" i="17"/>
  <c r="L66" i="17"/>
  <c r="P81" i="9"/>
  <c r="O110" i="9"/>
  <c r="AD128" i="14"/>
  <c r="P91" i="9"/>
  <c r="O20" i="9"/>
  <c r="I104" i="7"/>
  <c r="AD69" i="14"/>
  <c r="O82" i="9"/>
  <c r="N104" i="7"/>
  <c r="K104" i="14" s="1"/>
  <c r="L104" i="14" s="1"/>
  <c r="P110" i="9"/>
  <c r="AD125" i="14"/>
  <c r="AA138" i="14"/>
  <c r="O125" i="9"/>
  <c r="AA111" i="14"/>
  <c r="AA88" i="14"/>
  <c r="AD8" i="14"/>
  <c r="R21" i="13"/>
  <c r="AD58" i="14"/>
  <c r="J16" i="7"/>
  <c r="G16" i="14" s="1"/>
  <c r="H16" i="14" s="1"/>
  <c r="N16" i="7"/>
  <c r="K16" i="14" s="1"/>
  <c r="L16" i="14" s="1"/>
  <c r="J20" i="13"/>
  <c r="V20" i="13" s="1"/>
  <c r="AA137" i="14"/>
  <c r="O13" i="9"/>
  <c r="I141" i="7"/>
  <c r="J141" i="7"/>
  <c r="G141" i="14" s="1"/>
  <c r="H141" i="14" s="1"/>
  <c r="O27" i="9"/>
  <c r="J56" i="7"/>
  <c r="G56" i="14" s="1"/>
  <c r="H56" i="14" s="1"/>
  <c r="N56" i="7"/>
  <c r="K56" i="14" s="1"/>
  <c r="L56" i="14" s="1"/>
  <c r="Q70" i="7"/>
  <c r="I70" i="14" s="1"/>
  <c r="J70" i="14" s="1"/>
  <c r="J70" i="7"/>
  <c r="G70" i="14" s="1"/>
  <c r="H70" i="14" s="1"/>
  <c r="AA25" i="14"/>
  <c r="AD33" i="14"/>
  <c r="N11" i="7"/>
  <c r="K11" i="14" s="1"/>
  <c r="L11" i="14" s="1"/>
  <c r="Q11" i="7"/>
  <c r="I11" i="14" s="1"/>
  <c r="J11" i="14" s="1"/>
  <c r="I11" i="7"/>
  <c r="Q104" i="7"/>
  <c r="I104" i="14" s="1"/>
  <c r="J104" i="14" s="1"/>
  <c r="J50" i="7"/>
  <c r="G50" i="14" s="1"/>
  <c r="H50" i="14" s="1"/>
  <c r="N50" i="7"/>
  <c r="K50" i="14" s="1"/>
  <c r="L50" i="14" s="1"/>
  <c r="Q118" i="7"/>
  <c r="I118" i="14" s="1"/>
  <c r="J118" i="14" s="1"/>
  <c r="J118" i="7"/>
  <c r="G118" i="14" s="1"/>
  <c r="H118" i="14" s="1"/>
  <c r="J44" i="7"/>
  <c r="G44" i="14" s="1"/>
  <c r="H44" i="14" s="1"/>
  <c r="Q44" i="7"/>
  <c r="I44" i="14" s="1"/>
  <c r="J44" i="14" s="1"/>
  <c r="R112" i="14"/>
  <c r="AD29" i="14"/>
  <c r="P31" i="9"/>
  <c r="P116" i="9"/>
  <c r="AA57" i="14"/>
  <c r="AA21" i="14"/>
  <c r="N101" i="7"/>
  <c r="K101" i="14" s="1"/>
  <c r="L101" i="14" s="1"/>
  <c r="Q101" i="7"/>
  <c r="I101" i="14" s="1"/>
  <c r="J101" i="14" s="1"/>
  <c r="J101" i="7"/>
  <c r="G101" i="14" s="1"/>
  <c r="H101" i="14" s="1"/>
  <c r="I101" i="7"/>
  <c r="J96" i="7"/>
  <c r="G96" i="14" s="1"/>
  <c r="H96" i="14" s="1"/>
  <c r="N96" i="7"/>
  <c r="K96" i="14" s="1"/>
  <c r="L96" i="14" s="1"/>
  <c r="AA119" i="14"/>
  <c r="AD118" i="14"/>
  <c r="P107" i="9"/>
  <c r="AD63" i="14"/>
  <c r="AA80" i="14"/>
  <c r="P32" i="9"/>
  <c r="I80" i="17"/>
  <c r="P12" i="13"/>
  <c r="S12" i="13" s="1"/>
  <c r="I81" i="17"/>
  <c r="J7" i="13"/>
  <c r="O7" i="13" s="1"/>
  <c r="AD53" i="14"/>
  <c r="O88" i="9"/>
  <c r="O17" i="9"/>
  <c r="I198" i="7"/>
  <c r="Q198" i="7"/>
  <c r="J198" i="7"/>
  <c r="L80" i="17"/>
  <c r="R115" i="14"/>
  <c r="R15" i="14"/>
  <c r="AA100" i="14"/>
  <c r="AA20" i="14"/>
  <c r="AD32" i="14"/>
  <c r="AA97" i="14"/>
  <c r="AA12" i="14"/>
  <c r="Q110" i="7"/>
  <c r="I110" i="14" s="1"/>
  <c r="J110" i="14" s="1"/>
  <c r="N110" i="7"/>
  <c r="K110" i="14" s="1"/>
  <c r="L110" i="14" s="1"/>
  <c r="J110" i="7"/>
  <c r="G110" i="14" s="1"/>
  <c r="H110" i="14" s="1"/>
  <c r="I110" i="7"/>
  <c r="R117" i="14"/>
  <c r="AA105" i="14"/>
  <c r="O33" i="9"/>
  <c r="H81" i="17"/>
  <c r="R20" i="13"/>
  <c r="AA65" i="14"/>
  <c r="R128" i="14"/>
  <c r="R120" i="14"/>
  <c r="R57" i="14"/>
  <c r="R119" i="14"/>
  <c r="AA40" i="14"/>
  <c r="AD113" i="14"/>
  <c r="AA8" i="14"/>
  <c r="AA52" i="14"/>
  <c r="AA112" i="14"/>
  <c r="AD55" i="14"/>
  <c r="R33" i="14"/>
  <c r="AA48" i="14"/>
  <c r="O89" i="9"/>
  <c r="AA122" i="14"/>
  <c r="R97" i="14"/>
  <c r="AD129" i="14"/>
  <c r="AA104" i="14"/>
  <c r="AA79" i="14"/>
  <c r="AA29" i="14"/>
  <c r="AA140" i="14"/>
  <c r="AA76" i="14"/>
  <c r="AA18" i="14"/>
  <c r="AA135" i="14"/>
  <c r="G78" i="13"/>
  <c r="Q7" i="13"/>
  <c r="AD82" i="14"/>
  <c r="R62" i="14"/>
  <c r="AA129" i="14"/>
  <c r="AA86" i="14"/>
  <c r="AA98" i="14"/>
  <c r="O39" i="9"/>
  <c r="R102" i="14"/>
  <c r="AA30" i="14"/>
  <c r="AA62" i="14"/>
  <c r="AA10" i="14"/>
  <c r="R129" i="14"/>
  <c r="R109" i="14"/>
  <c r="AA90" i="14"/>
  <c r="AA15" i="14"/>
  <c r="P95" i="9"/>
  <c r="O95" i="9"/>
  <c r="AD95" i="14"/>
  <c r="O5" i="9"/>
  <c r="AA114" i="14"/>
  <c r="C11" i="12"/>
  <c r="J14" i="13"/>
  <c r="T14" i="13" s="1"/>
  <c r="F102" i="12"/>
  <c r="AA94" i="14"/>
  <c r="R19" i="14"/>
  <c r="J9" i="13"/>
  <c r="T9" i="13" s="1"/>
  <c r="J17" i="13"/>
  <c r="AA133" i="14"/>
  <c r="AD77" i="14"/>
  <c r="AA132" i="14"/>
  <c r="R108" i="14"/>
  <c r="R32" i="14"/>
  <c r="R82" i="14"/>
  <c r="R7" i="14"/>
  <c r="AA7" i="14"/>
  <c r="AA38" i="14"/>
  <c r="R123" i="14"/>
  <c r="R37" i="14"/>
  <c r="R72" i="14"/>
  <c r="R84" i="14"/>
  <c r="F88" i="12"/>
  <c r="AA83" i="14"/>
  <c r="AD123" i="14"/>
  <c r="P60" i="9"/>
  <c r="AD60" i="14"/>
  <c r="AA5" i="14"/>
  <c r="AA49" i="14"/>
  <c r="P68" i="9"/>
  <c r="AD68" i="14"/>
  <c r="F91" i="12"/>
  <c r="F106" i="12"/>
  <c r="J13" i="13"/>
  <c r="O13" i="13" s="1"/>
  <c r="AD143" i="14"/>
  <c r="R86" i="14"/>
  <c r="R137" i="14"/>
  <c r="AA108" i="14"/>
  <c r="AA102" i="14"/>
  <c r="AD57" i="14"/>
  <c r="AA67" i="14"/>
  <c r="R99" i="14"/>
  <c r="AA109" i="14"/>
  <c r="AA34" i="14"/>
  <c r="R47" i="14"/>
  <c r="R133" i="14"/>
  <c r="R53" i="14"/>
  <c r="AA120" i="14"/>
  <c r="AD116" i="14"/>
  <c r="R66" i="14"/>
  <c r="O35" i="9"/>
  <c r="R124" i="14"/>
  <c r="R89" i="14"/>
  <c r="AA54" i="14"/>
  <c r="R68" i="14"/>
  <c r="AA130" i="14"/>
  <c r="J12" i="13"/>
  <c r="T12" i="13" s="1"/>
  <c r="P79" i="9"/>
  <c r="AD79" i="14"/>
  <c r="P8" i="13"/>
  <c r="R8" i="13" s="1"/>
  <c r="S8" i="13" s="1"/>
  <c r="F104" i="12"/>
  <c r="R74" i="14"/>
  <c r="AA64" i="14"/>
  <c r="AA28" i="14"/>
  <c r="AA31" i="14"/>
  <c r="AA70" i="14"/>
  <c r="AD45" i="14"/>
  <c r="AA123" i="14"/>
  <c r="AA116" i="14"/>
  <c r="AA58" i="14"/>
  <c r="AA33" i="14"/>
  <c r="AA17" i="14"/>
  <c r="J36" i="7"/>
  <c r="G36" i="14" s="1"/>
  <c r="H36" i="14" s="1"/>
  <c r="N36" i="7"/>
  <c r="K36" i="14" s="1"/>
  <c r="L36" i="14" s="1"/>
  <c r="AA69" i="14"/>
  <c r="AA9" i="14"/>
  <c r="AA26" i="14"/>
  <c r="AA81" i="14"/>
  <c r="O8" i="9"/>
  <c r="AA6" i="14"/>
  <c r="AA60" i="14"/>
  <c r="R85" i="14"/>
  <c r="C8" i="12"/>
  <c r="F82" i="12"/>
  <c r="D5" i="10"/>
  <c r="G5" i="10" s="1"/>
  <c r="B13" i="10" s="1"/>
  <c r="AD103" i="14"/>
  <c r="AA63" i="14"/>
  <c r="AD30" i="14"/>
  <c r="AA71" i="14"/>
  <c r="AA95" i="14"/>
  <c r="R35" i="14"/>
  <c r="AA91" i="14"/>
  <c r="AA124" i="14"/>
  <c r="AA144" i="14"/>
  <c r="R139" i="14"/>
  <c r="R114" i="14"/>
  <c r="R34" i="14"/>
  <c r="AA19" i="14"/>
  <c r="R9" i="14"/>
  <c r="R144" i="14"/>
  <c r="R79" i="14"/>
  <c r="AA134" i="14"/>
  <c r="AA139" i="14"/>
  <c r="R134" i="14"/>
  <c r="R64" i="14"/>
  <c r="AA115" i="14"/>
  <c r="AA89" i="14"/>
  <c r="AA24" i="14"/>
  <c r="R14" i="14"/>
  <c r="AA84" i="14"/>
  <c r="R49" i="14"/>
  <c r="AA39" i="14"/>
  <c r="AA14" i="14"/>
  <c r="P124" i="9"/>
  <c r="O124" i="9"/>
  <c r="P74" i="9"/>
  <c r="O74" i="9"/>
  <c r="AD74" i="14"/>
  <c r="AA99" i="14"/>
  <c r="AD84" i="14"/>
  <c r="H91" i="12"/>
  <c r="G91" i="12"/>
  <c r="G108" i="12"/>
  <c r="H108" i="12"/>
  <c r="R140" i="14"/>
  <c r="R142" i="14"/>
  <c r="R45" i="14"/>
  <c r="R77" i="14"/>
  <c r="R52" i="14"/>
  <c r="P34" i="9"/>
  <c r="D85" i="17"/>
  <c r="H4" i="17"/>
  <c r="I4" i="17" s="1"/>
  <c r="L4" i="17" s="1"/>
  <c r="P119" i="9"/>
  <c r="O119" i="9"/>
  <c r="P10" i="13"/>
  <c r="AD19" i="14"/>
  <c r="G10" i="11"/>
  <c r="C25" i="16" s="1"/>
  <c r="R94" i="14"/>
  <c r="AA59" i="14"/>
  <c r="AA4" i="14"/>
  <c r="F105" i="12"/>
  <c r="F87" i="12"/>
  <c r="F98" i="12"/>
  <c r="G88" i="12"/>
  <c r="H88" i="12"/>
  <c r="AA43" i="14"/>
  <c r="P138" i="9"/>
  <c r="O138" i="9"/>
  <c r="G14" i="11"/>
  <c r="C29" i="16" s="1"/>
  <c r="AD138" i="14"/>
  <c r="AA113" i="14"/>
  <c r="R130" i="14"/>
  <c r="AA75" i="14"/>
  <c r="R38" i="14"/>
  <c r="R106" i="14"/>
  <c r="R107" i="14"/>
  <c r="C6" i="12"/>
  <c r="C10" i="12"/>
  <c r="B9" i="12"/>
  <c r="C9" i="12"/>
  <c r="C7" i="12"/>
  <c r="H101" i="12"/>
  <c r="G101" i="12"/>
  <c r="B8" i="12"/>
  <c r="AD114" i="14"/>
  <c r="O114" i="9"/>
  <c r="D6" i="18"/>
  <c r="E6" i="18" s="1"/>
  <c r="O14" i="9"/>
  <c r="P14" i="9"/>
  <c r="AD109" i="14"/>
  <c r="AA74" i="14"/>
  <c r="B14" i="12"/>
  <c r="K29" i="13"/>
  <c r="C34" i="13"/>
  <c r="D34" i="13" s="1"/>
  <c r="AA118" i="14"/>
  <c r="AA110" i="14"/>
  <c r="R75" i="14"/>
  <c r="AA22" i="14"/>
  <c r="Q20" i="7"/>
  <c r="I20" i="14" s="1"/>
  <c r="J20" i="14" s="1"/>
  <c r="N20" i="7"/>
  <c r="K20" i="14" s="1"/>
  <c r="L20" i="14" s="1"/>
  <c r="J20" i="7"/>
  <c r="G20" i="14" s="1"/>
  <c r="H20" i="14" s="1"/>
  <c r="I20" i="7"/>
  <c r="J204" i="7"/>
  <c r="P127" i="9"/>
  <c r="O127" i="9"/>
  <c r="AD127" i="14"/>
  <c r="AA127" i="14"/>
  <c r="AA46" i="14"/>
  <c r="R95" i="14"/>
  <c r="AA42" i="14"/>
  <c r="F90" i="12"/>
  <c r="F99" i="12"/>
  <c r="P9" i="9"/>
  <c r="AD9" i="14"/>
  <c r="O9" i="9"/>
  <c r="AD124" i="14"/>
  <c r="AD94" i="14"/>
  <c r="AA44" i="14"/>
  <c r="H85" i="12"/>
  <c r="G85" i="12"/>
  <c r="H105" i="12"/>
  <c r="G105" i="12"/>
  <c r="C14" i="12"/>
  <c r="J18" i="13"/>
  <c r="AA51" i="14"/>
  <c r="R121" i="14"/>
  <c r="R103" i="14"/>
  <c r="AA36" i="14"/>
  <c r="AA55" i="14"/>
  <c r="R122" i="14"/>
  <c r="G21" i="11"/>
  <c r="H21" i="11" s="1"/>
  <c r="G22" i="11"/>
  <c r="H22" i="11" s="1"/>
  <c r="P4" i="9"/>
  <c r="O4" i="9"/>
  <c r="G5" i="11"/>
  <c r="C20" i="16" s="1"/>
  <c r="AD4" i="14"/>
  <c r="P5" i="13"/>
  <c r="AD59" i="14"/>
  <c r="R29" i="14"/>
  <c r="H82" i="12"/>
  <c r="G82" i="12"/>
  <c r="AA78" i="14"/>
  <c r="AA53" i="14"/>
  <c r="P73" i="9"/>
  <c r="AD73" i="14"/>
  <c r="O24" i="9"/>
  <c r="AA85" i="14"/>
  <c r="F85" i="12"/>
  <c r="F109" i="12"/>
  <c r="H100" i="12"/>
  <c r="G100" i="12"/>
  <c r="O99" i="9"/>
  <c r="D8" i="18"/>
  <c r="B18" i="18" s="1"/>
  <c r="H81" i="12"/>
  <c r="G81" i="12"/>
  <c r="AD144" i="14"/>
  <c r="AD104" i="14"/>
  <c r="B29" i="13"/>
  <c r="B10" i="12"/>
  <c r="K76" i="12"/>
  <c r="H92" i="12"/>
  <c r="G92" i="12"/>
  <c r="P93" i="9"/>
  <c r="P15" i="13"/>
  <c r="AD93" i="14"/>
  <c r="G15" i="11"/>
  <c r="C30" i="16" s="1"/>
  <c r="O93" i="9"/>
  <c r="R18" i="14"/>
  <c r="R61" i="14"/>
  <c r="R92" i="14"/>
  <c r="R13" i="14"/>
  <c r="AA32" i="14"/>
  <c r="R116" i="14"/>
  <c r="AA37" i="14"/>
  <c r="R67" i="14"/>
  <c r="R58" i="14"/>
  <c r="J21" i="13"/>
  <c r="H29" i="13"/>
  <c r="O44" i="9"/>
  <c r="AD44" i="14"/>
  <c r="P44" i="9"/>
  <c r="R59" i="14"/>
  <c r="L29" i="13"/>
  <c r="R43" i="14"/>
  <c r="R138" i="14"/>
  <c r="AA117" i="14"/>
  <c r="AB117" i="14" s="1"/>
  <c r="AA92" i="14"/>
  <c r="R46" i="14"/>
  <c r="G29" i="13"/>
  <c r="AD99" i="14"/>
  <c r="AD49" i="14"/>
  <c r="R24" i="14"/>
  <c r="H86" i="12"/>
  <c r="G86" i="12"/>
  <c r="C29" i="13"/>
  <c r="F107" i="12"/>
  <c r="R143" i="14"/>
  <c r="AB143" i="14" s="1"/>
  <c r="AA126" i="14"/>
  <c r="AA68" i="14"/>
  <c r="R40" i="14"/>
  <c r="R135" i="14"/>
  <c r="AA141" i="14"/>
  <c r="R136" i="14"/>
  <c r="AA103" i="14"/>
  <c r="R100" i="14"/>
  <c r="R83" i="14"/>
  <c r="AB83" i="14" s="1"/>
  <c r="AA72" i="14"/>
  <c r="O84" i="9"/>
  <c r="R88" i="14"/>
  <c r="P80" i="9"/>
  <c r="AD80" i="14"/>
  <c r="AA11" i="14"/>
  <c r="AA16" i="14"/>
  <c r="R131" i="14"/>
  <c r="AA107" i="14"/>
  <c r="R5" i="14"/>
  <c r="AB5" i="14" s="1"/>
  <c r="O134" i="9"/>
  <c r="P11" i="13"/>
  <c r="G11" i="11"/>
  <c r="C26" i="16" s="1"/>
  <c r="P134" i="9"/>
  <c r="G9" i="11"/>
  <c r="C24" i="16" s="1"/>
  <c r="O34" i="9"/>
  <c r="B7" i="12"/>
  <c r="H89" i="12"/>
  <c r="G89" i="12"/>
  <c r="P7" i="13"/>
  <c r="R7" i="13" s="1"/>
  <c r="G84" i="12"/>
  <c r="H84" i="12"/>
  <c r="I21" i="11"/>
  <c r="J21" i="11"/>
  <c r="J4" i="13"/>
  <c r="R126" i="14"/>
  <c r="AA93" i="14"/>
  <c r="AA125" i="14"/>
  <c r="P28" i="9"/>
  <c r="D6" i="10"/>
  <c r="F6" i="10" s="1"/>
  <c r="C12" i="10" s="1"/>
  <c r="P38" i="9"/>
  <c r="O38" i="9"/>
  <c r="AA13" i="14"/>
  <c r="R8" i="14"/>
  <c r="AB8" i="14" s="1"/>
  <c r="R48" i="14"/>
  <c r="R55" i="14"/>
  <c r="R87" i="14"/>
  <c r="R22" i="13"/>
  <c r="H104" i="12"/>
  <c r="G104" i="12"/>
  <c r="AD54" i="14"/>
  <c r="AD24" i="14"/>
  <c r="H109" i="12"/>
  <c r="G109" i="12"/>
  <c r="B6" i="12"/>
  <c r="F110" i="12"/>
  <c r="P43" i="9"/>
  <c r="O43" i="9"/>
  <c r="R26" i="14"/>
  <c r="P9" i="13"/>
  <c r="R9" i="13" s="1"/>
  <c r="L76" i="12"/>
  <c r="B11" i="12"/>
  <c r="F81" i="12"/>
  <c r="AA136" i="14"/>
  <c r="AA128" i="14"/>
  <c r="AA50" i="14"/>
  <c r="AD28" i="14"/>
  <c r="AA142" i="14"/>
  <c r="AA56" i="14"/>
  <c r="AA47" i="14"/>
  <c r="R98" i="14"/>
  <c r="AA45" i="14"/>
  <c r="AA27" i="14"/>
  <c r="R27" i="14"/>
  <c r="AA77" i="14"/>
  <c r="R73" i="14"/>
  <c r="O19" i="9"/>
  <c r="R105" i="14"/>
  <c r="H99" i="12"/>
  <c r="G99" i="12"/>
  <c r="H107" i="12"/>
  <c r="G107" i="12"/>
  <c r="AA61" i="14"/>
  <c r="D7" i="18"/>
  <c r="B17" i="18" s="1"/>
  <c r="C17" i="18" s="1"/>
  <c r="Q30" i="7"/>
  <c r="I30" i="14" s="1"/>
  <c r="J30" i="14" s="1"/>
  <c r="N30" i="7"/>
  <c r="K30" i="14" s="1"/>
  <c r="L30" i="14" s="1"/>
  <c r="J30" i="7"/>
  <c r="G30" i="14" s="1"/>
  <c r="H30" i="14" s="1"/>
  <c r="I30" i="7"/>
  <c r="AD70" i="14"/>
  <c r="P52" i="9"/>
  <c r="AD52" i="14"/>
  <c r="AA73" i="14"/>
  <c r="O128" i="9"/>
  <c r="Q11" i="13"/>
  <c r="R17" i="14"/>
  <c r="O117" i="9"/>
  <c r="AD7" i="14"/>
  <c r="J17" i="17"/>
  <c r="K17" i="17"/>
  <c r="K46" i="17"/>
  <c r="J46" i="17"/>
  <c r="K34" i="17"/>
  <c r="J34" i="17"/>
  <c r="H110" i="12"/>
  <c r="G110" i="12"/>
  <c r="J19" i="13"/>
  <c r="Q4" i="13"/>
  <c r="AD18" i="14"/>
  <c r="G102" i="12"/>
  <c r="H102" i="12"/>
  <c r="P142" i="9"/>
  <c r="O142" i="9"/>
  <c r="O129" i="9"/>
  <c r="C8" i="10"/>
  <c r="O48" i="9"/>
  <c r="P13" i="9"/>
  <c r="B19" i="18"/>
  <c r="C19" i="18" s="1"/>
  <c r="AD132" i="14"/>
  <c r="AD108" i="14"/>
  <c r="AD102" i="14"/>
  <c r="AA82" i="14"/>
  <c r="AB82" i="14" s="1"/>
  <c r="J6" i="13"/>
  <c r="O7" i="9"/>
  <c r="AA121" i="14"/>
  <c r="P133" i="9"/>
  <c r="AD133" i="14"/>
  <c r="G93" i="12"/>
  <c r="H93" i="12"/>
  <c r="Q80" i="7"/>
  <c r="I80" i="14" s="1"/>
  <c r="J80" i="14" s="1"/>
  <c r="N80" i="7"/>
  <c r="K80" i="14" s="1"/>
  <c r="L80" i="14" s="1"/>
  <c r="J80" i="7"/>
  <c r="G80" i="14" s="1"/>
  <c r="H80" i="14" s="1"/>
  <c r="I80" i="7"/>
  <c r="P85" i="9"/>
  <c r="O41" i="9"/>
  <c r="AA23" i="14"/>
  <c r="AA66" i="14"/>
  <c r="O133" i="9"/>
  <c r="AA131" i="14"/>
  <c r="J8" i="13"/>
  <c r="J10" i="13"/>
  <c r="J11" i="13"/>
  <c r="AD5" i="14"/>
  <c r="G85" i="17"/>
  <c r="J4" i="17"/>
  <c r="K4" i="17"/>
  <c r="J52" i="17"/>
  <c r="K52" i="17"/>
  <c r="G119" i="13"/>
  <c r="Q10" i="13"/>
  <c r="R10" i="13" s="1"/>
  <c r="AA41" i="14"/>
  <c r="AD41" i="14"/>
  <c r="R71" i="14"/>
  <c r="P35" i="9"/>
  <c r="J15" i="13"/>
  <c r="P14" i="13"/>
  <c r="B21" i="16"/>
  <c r="J6" i="11"/>
  <c r="D21" i="16" s="1"/>
  <c r="I6" i="11"/>
  <c r="L6" i="11" s="1"/>
  <c r="M6" i="11" s="1"/>
  <c r="D7" i="10"/>
  <c r="G7" i="10" s="1"/>
  <c r="K5" i="17"/>
  <c r="J5" i="17"/>
  <c r="B9" i="18"/>
  <c r="G89" i="13"/>
  <c r="Q6" i="13"/>
  <c r="Q91" i="7"/>
  <c r="I91" i="14" s="1"/>
  <c r="J91" i="14" s="1"/>
  <c r="N91" i="7"/>
  <c r="K91" i="14" s="1"/>
  <c r="L91" i="14" s="1"/>
  <c r="I91" i="7"/>
  <c r="J91" i="7"/>
  <c r="G91" i="14" s="1"/>
  <c r="H91" i="14" s="1"/>
  <c r="P23" i="9"/>
  <c r="AD23" i="14"/>
  <c r="P4" i="13"/>
  <c r="G18" i="11"/>
  <c r="C33" i="16" s="1"/>
  <c r="O122" i="9"/>
  <c r="AD122" i="14"/>
  <c r="I29" i="13"/>
  <c r="G8" i="11"/>
  <c r="C23" i="16" s="1"/>
  <c r="J22" i="13"/>
  <c r="G12" i="11"/>
  <c r="C27" i="16" s="1"/>
  <c r="K8" i="17"/>
  <c r="J8" i="17"/>
  <c r="K16" i="17"/>
  <c r="J16" i="17"/>
  <c r="J14" i="17"/>
  <c r="K14" i="17"/>
  <c r="H83" i="12"/>
  <c r="G83" i="12"/>
  <c r="G87" i="12"/>
  <c r="H87" i="12"/>
  <c r="N29" i="13"/>
  <c r="G98" i="12"/>
  <c r="H98" i="12"/>
  <c r="P78" i="9"/>
  <c r="AD78" i="14"/>
  <c r="AD117" i="14"/>
  <c r="Q60" i="7"/>
  <c r="I60" i="14" s="1"/>
  <c r="J60" i="14" s="1"/>
  <c r="N60" i="7"/>
  <c r="K60" i="14" s="1"/>
  <c r="L60" i="14" s="1"/>
  <c r="J60" i="7"/>
  <c r="G60" i="14" s="1"/>
  <c r="H60" i="14" s="1"/>
  <c r="I60" i="7"/>
  <c r="AD98" i="14"/>
  <c r="P27" i="9"/>
  <c r="G7" i="11"/>
  <c r="C22" i="16" s="1"/>
  <c r="Q21" i="7"/>
  <c r="I21" i="14" s="1"/>
  <c r="J21" i="14" s="1"/>
  <c r="N21" i="7"/>
  <c r="K21" i="14" s="1"/>
  <c r="L21" i="14" s="1"/>
  <c r="I21" i="7"/>
  <c r="J21" i="7"/>
  <c r="G21" i="14" s="1"/>
  <c r="H21" i="14" s="1"/>
  <c r="AA96" i="14"/>
  <c r="AD48" i="14"/>
  <c r="J22" i="11"/>
  <c r="I22" i="11"/>
  <c r="P67" i="9"/>
  <c r="AD67" i="14"/>
  <c r="B27" i="16"/>
  <c r="J12" i="11"/>
  <c r="D27" i="16" s="1"/>
  <c r="I12" i="11"/>
  <c r="L12" i="11" s="1"/>
  <c r="M12" i="11" s="1"/>
  <c r="J16" i="13"/>
  <c r="J23" i="13"/>
  <c r="P6" i="13"/>
  <c r="B31" i="16"/>
  <c r="L16" i="11"/>
  <c r="M16" i="11" s="1"/>
  <c r="J16" i="11"/>
  <c r="D31" i="16" s="1"/>
  <c r="I16" i="11"/>
  <c r="AA101" i="14"/>
  <c r="H7" i="10"/>
  <c r="E7" i="10"/>
  <c r="Q5" i="13"/>
  <c r="O116" i="9"/>
  <c r="AA35" i="14"/>
  <c r="AB35" i="14" s="1"/>
  <c r="O18" i="9"/>
  <c r="B19" i="16"/>
  <c r="J4" i="11"/>
  <c r="D19" i="16" s="1"/>
  <c r="I4" i="11"/>
  <c r="L4" i="11" s="1"/>
  <c r="M4" i="11" s="1"/>
  <c r="G19" i="11"/>
  <c r="C34" i="16" s="1"/>
  <c r="G4" i="11"/>
  <c r="C19" i="16" s="1"/>
  <c r="D29" i="13"/>
  <c r="G17" i="11"/>
  <c r="C32" i="16" s="1"/>
  <c r="B23" i="16"/>
  <c r="J8" i="11"/>
  <c r="D23" i="16" s="1"/>
  <c r="I8" i="11"/>
  <c r="L8" i="11" s="1"/>
  <c r="M8" i="11" s="1"/>
  <c r="C35" i="13"/>
  <c r="D35" i="13" s="1"/>
  <c r="M29" i="13"/>
  <c r="O81" i="9"/>
  <c r="B13" i="16"/>
  <c r="E6" i="10"/>
  <c r="C15" i="10" s="1"/>
  <c r="H6" i="10"/>
  <c r="C14" i="10" s="1"/>
  <c r="AD105" i="14"/>
  <c r="AA87" i="14"/>
  <c r="AD42" i="14"/>
  <c r="P57" i="9"/>
  <c r="F29" i="13"/>
  <c r="B24" i="16"/>
  <c r="J9" i="11"/>
  <c r="D24" i="16" s="1"/>
  <c r="I9" i="11"/>
  <c r="L9" i="11" s="1"/>
  <c r="M9" i="11" s="1"/>
  <c r="O12" i="9"/>
  <c r="AD12" i="14"/>
  <c r="H40" i="17"/>
  <c r="I40" i="17" s="1"/>
  <c r="L40" i="17" s="1"/>
  <c r="J25" i="17"/>
  <c r="K25" i="17"/>
  <c r="K27" i="17"/>
  <c r="J27" i="17"/>
  <c r="Q41" i="7"/>
  <c r="I41" i="14" s="1"/>
  <c r="J41" i="14" s="1"/>
  <c r="N41" i="7"/>
  <c r="K41" i="14" s="1"/>
  <c r="L41" i="14" s="1"/>
  <c r="I41" i="7"/>
  <c r="J41" i="7"/>
  <c r="G41" i="14" s="1"/>
  <c r="H41" i="14" s="1"/>
  <c r="AA106" i="14"/>
  <c r="D20" i="11"/>
  <c r="O42" i="9"/>
  <c r="B28" i="16"/>
  <c r="J13" i="11"/>
  <c r="D28" i="16" s="1"/>
  <c r="I13" i="11"/>
  <c r="L13" i="11" s="1"/>
  <c r="M13" i="11" s="1"/>
  <c r="B32" i="16"/>
  <c r="I17" i="11"/>
  <c r="L17" i="11" s="1"/>
  <c r="M17" i="11" s="1"/>
  <c r="J17" i="11"/>
  <c r="D32" i="16" s="1"/>
  <c r="O139" i="9"/>
  <c r="B30" i="16"/>
  <c r="J15" i="11"/>
  <c r="D30" i="16" s="1"/>
  <c r="I15" i="11"/>
  <c r="L15" i="11" s="1"/>
  <c r="M15" i="11" s="1"/>
  <c r="J18" i="17"/>
  <c r="K18" i="17"/>
  <c r="K24" i="17"/>
  <c r="J24" i="17"/>
  <c r="L29" i="17"/>
  <c r="K11" i="17"/>
  <c r="J11" i="17"/>
  <c r="K10" i="17"/>
  <c r="J10" i="17"/>
  <c r="K79" i="17"/>
  <c r="J79" i="17"/>
  <c r="J55" i="17"/>
  <c r="K55" i="17"/>
  <c r="K13" i="17"/>
  <c r="J13" i="17"/>
  <c r="L51" i="17"/>
  <c r="J32" i="17"/>
  <c r="K32" i="17"/>
  <c r="K80" i="17"/>
  <c r="J80" i="17"/>
  <c r="H26" i="17"/>
  <c r="I26" i="17" s="1"/>
  <c r="L26" i="17" s="1"/>
  <c r="J57" i="17"/>
  <c r="K57" i="17"/>
  <c r="K66" i="17"/>
  <c r="J66" i="17"/>
  <c r="J64" i="17"/>
  <c r="K64" i="17"/>
  <c r="K83" i="17"/>
  <c r="J83" i="17"/>
  <c r="K82" i="17"/>
  <c r="J82" i="17"/>
  <c r="K31" i="17"/>
  <c r="J31" i="17"/>
  <c r="K54" i="17"/>
  <c r="J54" i="17"/>
  <c r="K49" i="17"/>
  <c r="J49" i="17"/>
  <c r="J35" i="17"/>
  <c r="K35" i="17"/>
  <c r="K71" i="17"/>
  <c r="J71" i="17"/>
  <c r="J50" i="17"/>
  <c r="K50" i="17"/>
  <c r="K58" i="17"/>
  <c r="J58" i="17"/>
  <c r="K53" i="17"/>
  <c r="J53" i="17"/>
  <c r="K36" i="17"/>
  <c r="J36" i="17"/>
  <c r="K56" i="17"/>
  <c r="J56" i="17"/>
  <c r="K41" i="17"/>
  <c r="J41" i="17"/>
  <c r="L22" i="17"/>
  <c r="K20" i="17"/>
  <c r="J20" i="17"/>
  <c r="K28" i="17"/>
  <c r="J28" i="17"/>
  <c r="K65" i="17"/>
  <c r="J65" i="17"/>
  <c r="K23" i="17"/>
  <c r="J23" i="17"/>
  <c r="K9" i="17"/>
  <c r="J9" i="17"/>
  <c r="K37" i="17"/>
  <c r="J37" i="17"/>
  <c r="H45" i="17"/>
  <c r="I45" i="17" s="1"/>
  <c r="L45" i="17" s="1"/>
  <c r="J42" i="17"/>
  <c r="K42" i="17"/>
  <c r="K39" i="17"/>
  <c r="J39" i="17"/>
  <c r="J44" i="17"/>
  <c r="K44" i="17"/>
  <c r="K26" i="17"/>
  <c r="J26" i="17"/>
  <c r="J59" i="17"/>
  <c r="K59" i="17"/>
  <c r="K67" i="17"/>
  <c r="J67" i="17"/>
  <c r="K76" i="17"/>
  <c r="J76" i="17"/>
  <c r="J74" i="17"/>
  <c r="K74" i="17"/>
  <c r="C20" i="18"/>
  <c r="C13" i="18"/>
  <c r="R19" i="13"/>
  <c r="S19" i="13" s="1"/>
  <c r="AD139" i="14"/>
  <c r="AD89" i="14"/>
  <c r="AD39" i="14"/>
  <c r="H90" i="12"/>
  <c r="G90" i="12"/>
  <c r="E29" i="13"/>
  <c r="G103" i="12"/>
  <c r="H103" i="12"/>
  <c r="P76" i="12"/>
  <c r="O76" i="12"/>
  <c r="N76" i="12"/>
  <c r="C9" i="18"/>
  <c r="O131" i="9"/>
  <c r="G154" i="8"/>
  <c r="B20" i="16"/>
  <c r="J5" i="11"/>
  <c r="D20" i="16" s="1"/>
  <c r="I5" i="11"/>
  <c r="L5" i="11" s="1"/>
  <c r="M5" i="11" s="1"/>
  <c r="J5" i="13"/>
  <c r="B33" i="16"/>
  <c r="J18" i="11"/>
  <c r="D33" i="16" s="1"/>
  <c r="I18" i="11"/>
  <c r="L18" i="11" s="1"/>
  <c r="M18" i="11" s="1"/>
  <c r="G6" i="11"/>
  <c r="C21" i="16" s="1"/>
  <c r="B26" i="16"/>
  <c r="I11" i="11"/>
  <c r="L11" i="11" s="1"/>
  <c r="M11" i="11" s="1"/>
  <c r="J11" i="11"/>
  <c r="D26" i="16" s="1"/>
  <c r="Q10" i="7"/>
  <c r="I10" i="14" s="1"/>
  <c r="J10" i="14" s="1"/>
  <c r="N10" i="7"/>
  <c r="K10" i="14" s="1"/>
  <c r="L10" i="14" s="1"/>
  <c r="J10" i="7"/>
  <c r="G10" i="14" s="1"/>
  <c r="H10" i="14" s="1"/>
  <c r="I10" i="7"/>
  <c r="K21" i="17"/>
  <c r="J21" i="17"/>
  <c r="H10" i="17"/>
  <c r="I10" i="17" s="1"/>
  <c r="L10" i="17" s="1"/>
  <c r="J47" i="17"/>
  <c r="K47" i="17"/>
  <c r="J7" i="17"/>
  <c r="K7" i="17"/>
  <c r="K29" i="17"/>
  <c r="J29" i="17"/>
  <c r="K81" i="17"/>
  <c r="J81" i="17"/>
  <c r="K60" i="17"/>
  <c r="J60" i="17"/>
  <c r="K68" i="17"/>
  <c r="J68" i="17"/>
  <c r="K63" i="17"/>
  <c r="J63" i="17"/>
  <c r="K62" i="17"/>
  <c r="J62" i="17"/>
  <c r="J30" i="17"/>
  <c r="K30" i="17"/>
  <c r="J38" i="17"/>
  <c r="K38" i="17"/>
  <c r="K75" i="17"/>
  <c r="J75" i="17"/>
  <c r="K33" i="17"/>
  <c r="J33" i="17"/>
  <c r="K61" i="17"/>
  <c r="J61" i="17"/>
  <c r="J15" i="17"/>
  <c r="K15" i="17"/>
  <c r="E85" i="17"/>
  <c r="B14" i="18" s="1"/>
  <c r="C14" i="18" s="1"/>
  <c r="K69" i="17"/>
  <c r="J69" i="17"/>
  <c r="L46" i="17"/>
  <c r="K77" i="17"/>
  <c r="J77" i="17"/>
  <c r="J45" i="17"/>
  <c r="K45" i="17"/>
  <c r="J84" i="17"/>
  <c r="K84" i="17"/>
  <c r="L41" i="17"/>
  <c r="K19" i="17"/>
  <c r="J19" i="17"/>
  <c r="K51" i="17"/>
  <c r="J51" i="17"/>
  <c r="H8" i="17"/>
  <c r="I8" i="17" s="1"/>
  <c r="L8" i="17" s="1"/>
  <c r="K70" i="17"/>
  <c r="J70" i="17"/>
  <c r="K78" i="17"/>
  <c r="J78" i="17"/>
  <c r="K73" i="17"/>
  <c r="J73" i="17"/>
  <c r="K72" i="17"/>
  <c r="J72" i="17"/>
  <c r="B12" i="16"/>
  <c r="B8" i="10"/>
  <c r="F5" i="10"/>
  <c r="B12" i="10" s="1"/>
  <c r="H5" i="10"/>
  <c r="B14" i="10" s="1"/>
  <c r="E5" i="10"/>
  <c r="B15" i="10" s="1"/>
  <c r="AD120" i="14"/>
  <c r="B29" i="16"/>
  <c r="J14" i="11"/>
  <c r="D29" i="16" s="1"/>
  <c r="I14" i="11"/>
  <c r="L14" i="11" s="1"/>
  <c r="M14" i="11" s="1"/>
  <c r="B25" i="16"/>
  <c r="J10" i="11"/>
  <c r="D25" i="16" s="1"/>
  <c r="I10" i="11"/>
  <c r="L10" i="11" s="1"/>
  <c r="M10" i="11" s="1"/>
  <c r="B34" i="16"/>
  <c r="J19" i="11"/>
  <c r="D34" i="16" s="1"/>
  <c r="I19" i="11"/>
  <c r="L19" i="11" s="1"/>
  <c r="M19" i="11" s="1"/>
  <c r="B22" i="16"/>
  <c r="I7" i="11"/>
  <c r="L7" i="11" s="1"/>
  <c r="M7" i="11" s="1"/>
  <c r="J7" i="11"/>
  <c r="D22" i="16" s="1"/>
  <c r="Q12" i="7"/>
  <c r="I12" i="14" s="1"/>
  <c r="J12" i="14" s="1"/>
  <c r="J12" i="7"/>
  <c r="G12" i="14" s="1"/>
  <c r="H12" i="14" s="1"/>
  <c r="I12" i="7"/>
  <c r="N12" i="7"/>
  <c r="K12" i="14" s="1"/>
  <c r="L12" i="14" s="1"/>
  <c r="J12" i="17"/>
  <c r="K12" i="17"/>
  <c r="F85" i="17"/>
  <c r="J22" i="17"/>
  <c r="K22" i="17"/>
  <c r="J6" i="17"/>
  <c r="K6" i="17"/>
  <c r="J40" i="17"/>
  <c r="K40" i="17"/>
  <c r="K48" i="17"/>
  <c r="J48" i="17"/>
  <c r="H55" i="17"/>
  <c r="I55" i="17" s="1"/>
  <c r="L55" i="17" s="1"/>
  <c r="K43" i="17"/>
  <c r="J43" i="17"/>
  <c r="R63" i="14" l="1"/>
  <c r="AB66" i="14"/>
  <c r="R18" i="13"/>
  <c r="C18" i="18"/>
  <c r="R93" i="14"/>
  <c r="R23" i="14"/>
  <c r="AB48" i="14"/>
  <c r="R6" i="14"/>
  <c r="AB71" i="14"/>
  <c r="R113" i="14"/>
  <c r="AB113" i="14" s="1"/>
  <c r="AE113" i="14" s="1"/>
  <c r="AF113" i="14" s="1"/>
  <c r="AG113" i="14" s="1"/>
  <c r="AH113" i="14" s="1"/>
  <c r="AB138" i="14"/>
  <c r="R50" i="14"/>
  <c r="R69" i="14"/>
  <c r="AB98" i="14"/>
  <c r="R96" i="14"/>
  <c r="AB88" i="14"/>
  <c r="AB32" i="14"/>
  <c r="AE32" i="14" s="1"/>
  <c r="AF32" i="14" s="1"/>
  <c r="AG32" i="14" s="1"/>
  <c r="AH32" i="14" s="1"/>
  <c r="R5" i="13"/>
  <c r="R39" i="14"/>
  <c r="R132" i="14"/>
  <c r="AB132" i="14" s="1"/>
  <c r="AB116" i="14"/>
  <c r="AC116" i="14" s="1"/>
  <c r="AB25" i="14"/>
  <c r="AE25" i="14" s="1"/>
  <c r="AF25" i="14" s="1"/>
  <c r="AG25" i="14" s="1"/>
  <c r="AH25" i="14" s="1"/>
  <c r="AB100" i="14"/>
  <c r="R141" i="14"/>
  <c r="AB141" i="14" s="1"/>
  <c r="AB105" i="14"/>
  <c r="T20" i="13"/>
  <c r="R81" i="14"/>
  <c r="AB81" i="14" s="1"/>
  <c r="AB112" i="14"/>
  <c r="AE112" i="14" s="1"/>
  <c r="AF112" i="14" s="1"/>
  <c r="AG112" i="14" s="1"/>
  <c r="AH112" i="14" s="1"/>
  <c r="AB128" i="14"/>
  <c r="AC128" i="14" s="1"/>
  <c r="AB125" i="14"/>
  <c r="AE125" i="14" s="1"/>
  <c r="AF125" i="14" s="1"/>
  <c r="AG125" i="14" s="1"/>
  <c r="AH125" i="14" s="1"/>
  <c r="AB97" i="14"/>
  <c r="AC97" i="14" s="1"/>
  <c r="R104" i="14"/>
  <c r="AB104" i="14" s="1"/>
  <c r="AB90" i="14"/>
  <c r="R78" i="14"/>
  <c r="AB78" i="14" s="1"/>
  <c r="AC78" i="14" s="1"/>
  <c r="AB17" i="14"/>
  <c r="T7" i="13"/>
  <c r="AB29" i="14"/>
  <c r="AC29" i="14" s="1"/>
  <c r="O20" i="13"/>
  <c r="H13" i="11"/>
  <c r="R16" i="14"/>
  <c r="U13" i="13"/>
  <c r="R4" i="14"/>
  <c r="AB4" i="14" s="1"/>
  <c r="AB33" i="14"/>
  <c r="V13" i="13"/>
  <c r="D8" i="12"/>
  <c r="AB115" i="14"/>
  <c r="AE115" i="14" s="1"/>
  <c r="AF115" i="14" s="1"/>
  <c r="AG115" i="14" s="1"/>
  <c r="AH115" i="14" s="1"/>
  <c r="AB76" i="14"/>
  <c r="AC76" i="14" s="1"/>
  <c r="O12" i="13"/>
  <c r="R17" i="13"/>
  <c r="S17" i="13" s="1"/>
  <c r="AB72" i="14"/>
  <c r="AE72" i="14" s="1"/>
  <c r="AF72" i="14" s="1"/>
  <c r="AG72" i="14" s="1"/>
  <c r="AH72" i="14" s="1"/>
  <c r="AB145" i="14"/>
  <c r="AE145" i="14" s="1"/>
  <c r="AF145" i="14" s="1"/>
  <c r="AG145" i="14" s="1"/>
  <c r="AH145" i="14" s="1"/>
  <c r="AB40" i="14"/>
  <c r="AC40" i="14" s="1"/>
  <c r="AB37" i="14"/>
  <c r="AE37" i="14" s="1"/>
  <c r="AF37" i="14" s="1"/>
  <c r="AG37" i="14" s="1"/>
  <c r="AH37" i="14" s="1"/>
  <c r="R101" i="14"/>
  <c r="D11" i="12"/>
  <c r="AB69" i="14"/>
  <c r="AC69" i="14" s="1"/>
  <c r="AB68" i="14"/>
  <c r="AC68" i="14" s="1"/>
  <c r="AB120" i="14"/>
  <c r="AE120" i="14" s="1"/>
  <c r="AF120" i="14" s="1"/>
  <c r="AG120" i="14" s="1"/>
  <c r="AH120" i="14" s="1"/>
  <c r="AB102" i="14"/>
  <c r="AC102" i="14" s="1"/>
  <c r="H5" i="11"/>
  <c r="AB18" i="14"/>
  <c r="U12" i="13"/>
  <c r="AB119" i="14"/>
  <c r="AC119" i="14" s="1"/>
  <c r="AB79" i="14"/>
  <c r="AC79" i="14" s="1"/>
  <c r="AB135" i="14"/>
  <c r="AB67" i="14"/>
  <c r="AB28" i="14"/>
  <c r="AC28" i="14" s="1"/>
  <c r="AB95" i="14"/>
  <c r="AE95" i="14" s="1"/>
  <c r="AF95" i="14" s="1"/>
  <c r="AG95" i="14" s="1"/>
  <c r="AH95" i="14" s="1"/>
  <c r="AB111" i="14"/>
  <c r="AE111" i="14" s="1"/>
  <c r="AF111" i="14" s="1"/>
  <c r="AG111" i="14" s="1"/>
  <c r="AH111" i="14" s="1"/>
  <c r="AB22" i="14"/>
  <c r="AE22" i="14" s="1"/>
  <c r="AF22" i="14" s="1"/>
  <c r="AG22" i="14" s="1"/>
  <c r="AH22" i="14" s="1"/>
  <c r="AB53" i="14"/>
  <c r="AC53" i="14" s="1"/>
  <c r="AB137" i="14"/>
  <c r="AB124" i="14"/>
  <c r="AC124" i="14" s="1"/>
  <c r="O14" i="13"/>
  <c r="AB31" i="14"/>
  <c r="AB58" i="14"/>
  <c r="U8" i="13"/>
  <c r="AB43" i="14"/>
  <c r="AE43" i="14" s="1"/>
  <c r="AF43" i="14" s="1"/>
  <c r="AG43" i="14" s="1"/>
  <c r="AH43" i="14" s="1"/>
  <c r="AB114" i="14"/>
  <c r="AE114" i="14" s="1"/>
  <c r="AF114" i="14" s="1"/>
  <c r="AG114" i="14" s="1"/>
  <c r="AH114" i="14" s="1"/>
  <c r="R110" i="14"/>
  <c r="AB110" i="14" s="1"/>
  <c r="AB85" i="14"/>
  <c r="AE85" i="14" s="1"/>
  <c r="AF85" i="14" s="1"/>
  <c r="AG85" i="14" s="1"/>
  <c r="AH85" i="14" s="1"/>
  <c r="R54" i="14"/>
  <c r="AB54" i="14" s="1"/>
  <c r="AB38" i="14"/>
  <c r="AE38" i="14" s="1"/>
  <c r="AF38" i="14" s="1"/>
  <c r="AG38" i="14" s="1"/>
  <c r="AH38" i="14" s="1"/>
  <c r="AB62" i="14"/>
  <c r="AC62" i="14" s="1"/>
  <c r="R12" i="13"/>
  <c r="AB51" i="14"/>
  <c r="AC51" i="14" s="1"/>
  <c r="R56" i="14"/>
  <c r="AB56" i="14" s="1"/>
  <c r="AB50" i="14"/>
  <c r="AE50" i="14" s="1"/>
  <c r="AF50" i="14" s="1"/>
  <c r="AG50" i="14" s="1"/>
  <c r="AH50" i="14" s="1"/>
  <c r="AB127" i="14"/>
  <c r="AE127" i="14" s="1"/>
  <c r="AF127" i="14" s="1"/>
  <c r="AG127" i="14" s="1"/>
  <c r="AH127" i="14" s="1"/>
  <c r="AB15" i="14"/>
  <c r="AE15" i="14" s="1"/>
  <c r="AF15" i="14" s="1"/>
  <c r="AG15" i="14" s="1"/>
  <c r="AH15" i="14" s="1"/>
  <c r="AB130" i="14"/>
  <c r="AC130" i="14" s="1"/>
  <c r="AB140" i="14"/>
  <c r="AE140" i="14" s="1"/>
  <c r="AF140" i="14" s="1"/>
  <c r="AG140" i="14" s="1"/>
  <c r="AH140" i="14" s="1"/>
  <c r="R44" i="14"/>
  <c r="AB44" i="14" s="1"/>
  <c r="AB24" i="14"/>
  <c r="AC24" i="14" s="1"/>
  <c r="R70" i="14"/>
  <c r="AB70" i="14" s="1"/>
  <c r="AC70" i="14" s="1"/>
  <c r="R11" i="14"/>
  <c r="AB11" i="14" s="1"/>
  <c r="AC11" i="14" s="1"/>
  <c r="AB129" i="14"/>
  <c r="AC129" i="14" s="1"/>
  <c r="AB46" i="14"/>
  <c r="AE46" i="14" s="1"/>
  <c r="AF46" i="14" s="1"/>
  <c r="AG46" i="14" s="1"/>
  <c r="AH46" i="14" s="1"/>
  <c r="AB94" i="14"/>
  <c r="AE94" i="14" s="1"/>
  <c r="AF94" i="14" s="1"/>
  <c r="AG94" i="14" s="1"/>
  <c r="AH94" i="14" s="1"/>
  <c r="AB49" i="14"/>
  <c r="AE49" i="14" s="1"/>
  <c r="AF49" i="14" s="1"/>
  <c r="AG49" i="14" s="1"/>
  <c r="AH49" i="14" s="1"/>
  <c r="R36" i="14"/>
  <c r="AB36" i="14" s="1"/>
  <c r="R118" i="14"/>
  <c r="AB118" i="14" s="1"/>
  <c r="AB47" i="14"/>
  <c r="AE47" i="14" s="1"/>
  <c r="AF47" i="14" s="1"/>
  <c r="AG47" i="14" s="1"/>
  <c r="AH47" i="14" s="1"/>
  <c r="AB6" i="14"/>
  <c r="AE6" i="14" s="1"/>
  <c r="AF6" i="14" s="1"/>
  <c r="AG6" i="14" s="1"/>
  <c r="AH6" i="14" s="1"/>
  <c r="AB74" i="14"/>
  <c r="AC74" i="14" s="1"/>
  <c r="AB84" i="14"/>
  <c r="AC84" i="14" s="1"/>
  <c r="AB14" i="14"/>
  <c r="AE14" i="14" s="1"/>
  <c r="AF14" i="14" s="1"/>
  <c r="AG14" i="14" s="1"/>
  <c r="AH14" i="14" s="1"/>
  <c r="F7" i="10"/>
  <c r="AB26" i="14"/>
  <c r="AC26" i="14" s="1"/>
  <c r="AB122" i="14"/>
  <c r="AE122" i="14" s="1"/>
  <c r="AF122" i="14" s="1"/>
  <c r="AG122" i="14" s="1"/>
  <c r="AH122" i="14" s="1"/>
  <c r="AB57" i="14"/>
  <c r="AB52" i="14"/>
  <c r="AC52" i="14" s="1"/>
  <c r="AB99" i="14"/>
  <c r="AE99" i="14" s="1"/>
  <c r="AF99" i="14" s="1"/>
  <c r="AG99" i="14" s="1"/>
  <c r="AH99" i="14" s="1"/>
  <c r="O9" i="13"/>
  <c r="V9" i="13" s="1"/>
  <c r="AB9" i="14"/>
  <c r="AC9" i="14" s="1"/>
  <c r="AB86" i="14"/>
  <c r="AB19" i="14"/>
  <c r="AC19" i="14" s="1"/>
  <c r="AB123" i="14"/>
  <c r="AC123" i="14" s="1"/>
  <c r="AB65" i="14"/>
  <c r="AB109" i="14"/>
  <c r="AC109" i="14" s="1"/>
  <c r="AB139" i="14"/>
  <c r="AC139" i="14" s="1"/>
  <c r="AB63" i="14"/>
  <c r="H15" i="11"/>
  <c r="B15" i="18"/>
  <c r="C15" i="18" s="1"/>
  <c r="AB89" i="14"/>
  <c r="AE89" i="14" s="1"/>
  <c r="AF89" i="14" s="1"/>
  <c r="AG89" i="14" s="1"/>
  <c r="AH89" i="14" s="1"/>
  <c r="V14" i="13"/>
  <c r="AB64" i="14"/>
  <c r="AE64" i="14" s="1"/>
  <c r="AF64" i="14" s="1"/>
  <c r="AG64" i="14" s="1"/>
  <c r="AH64" i="14" s="1"/>
  <c r="AB133" i="14"/>
  <c r="AB42" i="14"/>
  <c r="AC42" i="14" s="1"/>
  <c r="AB13" i="14"/>
  <c r="AE13" i="14" s="1"/>
  <c r="AF13" i="14" s="1"/>
  <c r="AG13" i="14" s="1"/>
  <c r="AH13" i="14" s="1"/>
  <c r="D6" i="12"/>
  <c r="AB93" i="14"/>
  <c r="AC93" i="14" s="1"/>
  <c r="E7" i="18"/>
  <c r="D8" i="10"/>
  <c r="F8" i="18" s="1"/>
  <c r="V7" i="13"/>
  <c r="D9" i="12"/>
  <c r="AB7" i="14"/>
  <c r="AB55" i="14"/>
  <c r="AC55" i="14" s="1"/>
  <c r="T17" i="13"/>
  <c r="O17" i="13"/>
  <c r="AB144" i="14"/>
  <c r="AE144" i="14" s="1"/>
  <c r="AF144" i="14" s="1"/>
  <c r="AG144" i="14" s="1"/>
  <c r="AH144" i="14" s="1"/>
  <c r="AB134" i="14"/>
  <c r="AB108" i="14"/>
  <c r="H14" i="11"/>
  <c r="AB136" i="14"/>
  <c r="AC136" i="14" s="1"/>
  <c r="AB92" i="14"/>
  <c r="AE92" i="14" s="1"/>
  <c r="AF92" i="14" s="1"/>
  <c r="AG92" i="14" s="1"/>
  <c r="AH92" i="14" s="1"/>
  <c r="R20" i="14"/>
  <c r="AB20" i="14" s="1"/>
  <c r="AE20" i="14" s="1"/>
  <c r="AF20" i="14" s="1"/>
  <c r="AG20" i="14" s="1"/>
  <c r="AH20" i="14" s="1"/>
  <c r="T13" i="13"/>
  <c r="I204" i="7"/>
  <c r="R11" i="13"/>
  <c r="AB59" i="14"/>
  <c r="AC59" i="14" s="1"/>
  <c r="D10" i="12"/>
  <c r="AB34" i="14"/>
  <c r="AE34" i="14" s="1"/>
  <c r="AF34" i="14" s="1"/>
  <c r="AG34" i="14" s="1"/>
  <c r="AH34" i="14" s="1"/>
  <c r="AE35" i="14"/>
  <c r="AF35" i="14" s="1"/>
  <c r="AG35" i="14" s="1"/>
  <c r="AH35" i="14" s="1"/>
  <c r="AC35" i="14"/>
  <c r="AE82" i="14"/>
  <c r="AF82" i="14" s="1"/>
  <c r="AG82" i="14" s="1"/>
  <c r="AH82" i="14" s="1"/>
  <c r="AC82" i="14"/>
  <c r="AE117" i="14"/>
  <c r="AF117" i="14" s="1"/>
  <c r="AG117" i="14" s="1"/>
  <c r="AH117" i="14" s="1"/>
  <c r="AC117" i="14"/>
  <c r="AC115" i="14"/>
  <c r="D93" i="17"/>
  <c r="B90" i="17"/>
  <c r="D92" i="17"/>
  <c r="C92" i="17"/>
  <c r="D90" i="17"/>
  <c r="B92" i="17"/>
  <c r="C90" i="17"/>
  <c r="C93" i="17"/>
  <c r="D91" i="17"/>
  <c r="B93" i="17"/>
  <c r="C91" i="17"/>
  <c r="D89" i="17"/>
  <c r="B91" i="17"/>
  <c r="C89" i="17"/>
  <c r="B89" i="17"/>
  <c r="R12" i="14"/>
  <c r="AB12" i="14" s="1"/>
  <c r="H6" i="11"/>
  <c r="R91" i="14"/>
  <c r="AB91" i="14" s="1"/>
  <c r="C33" i="13"/>
  <c r="D33" i="13" s="1"/>
  <c r="J29" i="13"/>
  <c r="T4" i="13"/>
  <c r="O4" i="13"/>
  <c r="D7" i="12"/>
  <c r="B12" i="12"/>
  <c r="B13" i="12"/>
  <c r="AE24" i="14"/>
  <c r="AF24" i="14" s="1"/>
  <c r="AG24" i="14" s="1"/>
  <c r="AH24" i="14" s="1"/>
  <c r="AE138" i="14"/>
  <c r="AF138" i="14" s="1"/>
  <c r="AG138" i="14" s="1"/>
  <c r="AH138" i="14" s="1"/>
  <c r="AC138" i="14"/>
  <c r="AC25" i="14"/>
  <c r="D14" i="12"/>
  <c r="D14" i="10"/>
  <c r="E14" i="10"/>
  <c r="R21" i="14"/>
  <c r="AB21" i="14" s="1"/>
  <c r="G6" i="10"/>
  <c r="C13" i="10" s="1"/>
  <c r="D13" i="10" s="1"/>
  <c r="T11" i="13"/>
  <c r="O11" i="13"/>
  <c r="Q29" i="13"/>
  <c r="R4" i="13"/>
  <c r="S4" i="13" s="1"/>
  <c r="H19" i="11"/>
  <c r="E8" i="18"/>
  <c r="H9" i="11"/>
  <c r="AB121" i="14"/>
  <c r="C12" i="12"/>
  <c r="C13" i="12"/>
  <c r="AE124" i="14"/>
  <c r="AF124" i="14" s="1"/>
  <c r="AG124" i="14" s="1"/>
  <c r="AH124" i="14" s="1"/>
  <c r="AB39" i="14"/>
  <c r="T10" i="13"/>
  <c r="O10" i="13"/>
  <c r="V10" i="13" s="1"/>
  <c r="R80" i="14"/>
  <c r="AB80" i="14" s="1"/>
  <c r="O6" i="13"/>
  <c r="T6" i="13"/>
  <c r="B8" i="16"/>
  <c r="T19" i="13"/>
  <c r="O19" i="13"/>
  <c r="V19" i="13" s="1"/>
  <c r="AB73" i="14"/>
  <c r="S9" i="13"/>
  <c r="U9" i="13"/>
  <c r="AB87" i="14"/>
  <c r="T8" i="13"/>
  <c r="O8" i="13"/>
  <c r="V8" i="13" s="1"/>
  <c r="AC83" i="14"/>
  <c r="AE83" i="14"/>
  <c r="AF83" i="14" s="1"/>
  <c r="AG83" i="14" s="1"/>
  <c r="AH83" i="14" s="1"/>
  <c r="AC66" i="14"/>
  <c r="AE66" i="14"/>
  <c r="AF66" i="14" s="1"/>
  <c r="AG66" i="14" s="1"/>
  <c r="AH66" i="14" s="1"/>
  <c r="U15" i="13"/>
  <c r="S5" i="13"/>
  <c r="U5" i="13"/>
  <c r="O18" i="13"/>
  <c r="V18" i="13" s="1"/>
  <c r="T18" i="13"/>
  <c r="AE62" i="14"/>
  <c r="AF62" i="14" s="1"/>
  <c r="AG62" i="14" s="1"/>
  <c r="AH62" i="14" s="1"/>
  <c r="R6" i="13"/>
  <c r="H4" i="11"/>
  <c r="AE17" i="14"/>
  <c r="AF17" i="14" s="1"/>
  <c r="AG17" i="14" s="1"/>
  <c r="AH17" i="14" s="1"/>
  <c r="AC17" i="14"/>
  <c r="AB27" i="14"/>
  <c r="V21" i="13"/>
  <c r="O21" i="13"/>
  <c r="T21" i="13"/>
  <c r="H11" i="11"/>
  <c r="AD204" i="14"/>
  <c r="AB75" i="14"/>
  <c r="AE69" i="14"/>
  <c r="AF69" i="14" s="1"/>
  <c r="AG69" i="14" s="1"/>
  <c r="AH69" i="14" s="1"/>
  <c r="D15" i="10"/>
  <c r="E15" i="10"/>
  <c r="U6" i="13"/>
  <c r="S11" i="13"/>
  <c r="U11" i="13"/>
  <c r="AE100" i="14"/>
  <c r="AF100" i="14" s="1"/>
  <c r="AG100" i="14" s="1"/>
  <c r="AH100" i="14" s="1"/>
  <c r="AC100" i="14"/>
  <c r="AC143" i="14"/>
  <c r="AE143" i="14"/>
  <c r="AF143" i="14" s="1"/>
  <c r="AG143" i="14" s="1"/>
  <c r="AH143" i="14" s="1"/>
  <c r="AE116" i="14"/>
  <c r="AF116" i="14" s="1"/>
  <c r="AG116" i="14" s="1"/>
  <c r="AH116" i="14" s="1"/>
  <c r="AE33" i="14"/>
  <c r="AF33" i="14" s="1"/>
  <c r="AG33" i="14" s="1"/>
  <c r="AH33" i="14" s="1"/>
  <c r="AC33" i="14"/>
  <c r="D9" i="18"/>
  <c r="B16" i="18"/>
  <c r="C16" i="18" s="1"/>
  <c r="AE130" i="14"/>
  <c r="AF130" i="14" s="1"/>
  <c r="AG130" i="14" s="1"/>
  <c r="AH130" i="14" s="1"/>
  <c r="S10" i="13"/>
  <c r="U10" i="13"/>
  <c r="AE52" i="14"/>
  <c r="AF52" i="14" s="1"/>
  <c r="AG52" i="14" s="1"/>
  <c r="AH52" i="14" s="1"/>
  <c r="AE84" i="14"/>
  <c r="AF84" i="14" s="1"/>
  <c r="AG84" i="14" s="1"/>
  <c r="AH84" i="14" s="1"/>
  <c r="P29" i="13"/>
  <c r="U4" i="13"/>
  <c r="S14" i="13"/>
  <c r="R14" i="13"/>
  <c r="U14" i="13"/>
  <c r="AE48" i="14"/>
  <c r="AF48" i="14" s="1"/>
  <c r="AG48" i="14" s="1"/>
  <c r="AH48" i="14" s="1"/>
  <c r="AC48" i="14"/>
  <c r="E12" i="10"/>
  <c r="D12" i="10"/>
  <c r="H17" i="11"/>
  <c r="H12" i="11"/>
  <c r="T15" i="13"/>
  <c r="O15" i="13"/>
  <c r="H7" i="11"/>
  <c r="AB96" i="14"/>
  <c r="S7" i="13"/>
  <c r="AE59" i="14"/>
  <c r="AF59" i="14" s="1"/>
  <c r="AG59" i="14" s="1"/>
  <c r="AH59" i="14" s="1"/>
  <c r="AB61" i="14"/>
  <c r="H10" i="11"/>
  <c r="AC95" i="14"/>
  <c r="AB101" i="14"/>
  <c r="AB107" i="14"/>
  <c r="AB77" i="14"/>
  <c r="AE65" i="14"/>
  <c r="AF65" i="14" s="1"/>
  <c r="AG65" i="14" s="1"/>
  <c r="AH65" i="14" s="1"/>
  <c r="AC65" i="14"/>
  <c r="B6" i="16"/>
  <c r="H8" i="10"/>
  <c r="B9" i="16" s="1"/>
  <c r="E8" i="10"/>
  <c r="R10" i="14"/>
  <c r="AB10" i="14" s="1"/>
  <c r="R41" i="14"/>
  <c r="AB41" i="14" s="1"/>
  <c r="V23" i="13"/>
  <c r="O23" i="13"/>
  <c r="T23" i="13"/>
  <c r="R15" i="13"/>
  <c r="AE98" i="14"/>
  <c r="AF98" i="14" s="1"/>
  <c r="AG98" i="14" s="1"/>
  <c r="AH98" i="14" s="1"/>
  <c r="AC98" i="14"/>
  <c r="AE93" i="14"/>
  <c r="AF93" i="14" s="1"/>
  <c r="AG93" i="14" s="1"/>
  <c r="AH93" i="14" s="1"/>
  <c r="AE5" i="14"/>
  <c r="AF5" i="14" s="1"/>
  <c r="AG5" i="14" s="1"/>
  <c r="AH5" i="14" s="1"/>
  <c r="AC5" i="14"/>
  <c r="AC88" i="14"/>
  <c r="AE88" i="14"/>
  <c r="AF88" i="14" s="1"/>
  <c r="AG88" i="14" s="1"/>
  <c r="AH88" i="14" s="1"/>
  <c r="AE136" i="14"/>
  <c r="AF136" i="14" s="1"/>
  <c r="AG136" i="14" s="1"/>
  <c r="AH136" i="14" s="1"/>
  <c r="U7" i="13"/>
  <c r="H8" i="11"/>
  <c r="AE90" i="14"/>
  <c r="AF90" i="14" s="1"/>
  <c r="AG90" i="14" s="1"/>
  <c r="AH90" i="14" s="1"/>
  <c r="AC90" i="14"/>
  <c r="AB16" i="14"/>
  <c r="AB23" i="14"/>
  <c r="AB45" i="14"/>
  <c r="AC134" i="14"/>
  <c r="AE134" i="14"/>
  <c r="AF134" i="14" s="1"/>
  <c r="AG134" i="14" s="1"/>
  <c r="AH134" i="14" s="1"/>
  <c r="AE19" i="14"/>
  <c r="AF19" i="14" s="1"/>
  <c r="AG19" i="14" s="1"/>
  <c r="AH19" i="14" s="1"/>
  <c r="T16" i="13"/>
  <c r="O16" i="13"/>
  <c r="V16" i="13"/>
  <c r="AE31" i="14"/>
  <c r="AF31" i="14" s="1"/>
  <c r="AG31" i="14" s="1"/>
  <c r="AH31" i="14" s="1"/>
  <c r="AC31" i="14"/>
  <c r="AC8" i="14"/>
  <c r="AE8" i="14"/>
  <c r="AF8" i="14" s="1"/>
  <c r="AG8" i="14" s="1"/>
  <c r="AH8" i="14" s="1"/>
  <c r="AE102" i="14"/>
  <c r="AF102" i="14" s="1"/>
  <c r="AG102" i="14" s="1"/>
  <c r="AH102" i="14" s="1"/>
  <c r="AE58" i="14"/>
  <c r="AF58" i="14" s="1"/>
  <c r="AG58" i="14" s="1"/>
  <c r="AH58" i="14" s="1"/>
  <c r="AC58" i="14"/>
  <c r="AC112" i="14"/>
  <c r="G20" i="11"/>
  <c r="C35" i="16" s="1"/>
  <c r="AB106" i="14"/>
  <c r="AA204" i="14"/>
  <c r="AE79" i="14"/>
  <c r="AF79" i="14" s="1"/>
  <c r="AG79" i="14" s="1"/>
  <c r="AH79" i="14" s="1"/>
  <c r="AE9" i="14"/>
  <c r="AF9" i="14" s="1"/>
  <c r="AG9" i="14" s="1"/>
  <c r="AH9" i="14" s="1"/>
  <c r="T5" i="13"/>
  <c r="O5" i="13"/>
  <c r="V5" i="13" s="1"/>
  <c r="R60" i="14"/>
  <c r="AB60" i="14" s="1"/>
  <c r="V22" i="13"/>
  <c r="T22" i="13"/>
  <c r="O22" i="13"/>
  <c r="AE71" i="14"/>
  <c r="AF71" i="14" s="1"/>
  <c r="AG71" i="14" s="1"/>
  <c r="AH71" i="14" s="1"/>
  <c r="AC71" i="14"/>
  <c r="D23" i="11"/>
  <c r="R30" i="14"/>
  <c r="AB30" i="14" s="1"/>
  <c r="AC105" i="14"/>
  <c r="AE105" i="14"/>
  <c r="AF105" i="14" s="1"/>
  <c r="AG105" i="14" s="1"/>
  <c r="AH105" i="14" s="1"/>
  <c r="AB126" i="14"/>
  <c r="G204" i="14"/>
  <c r="AB131" i="14"/>
  <c r="AC135" i="14"/>
  <c r="AE135" i="14"/>
  <c r="AF135" i="14" s="1"/>
  <c r="AG135" i="14" s="1"/>
  <c r="AH135" i="14" s="1"/>
  <c r="AE67" i="14"/>
  <c r="AF67" i="14" s="1"/>
  <c r="AG67" i="14" s="1"/>
  <c r="AH67" i="14" s="1"/>
  <c r="AC67" i="14"/>
  <c r="AC18" i="14"/>
  <c r="AE18" i="14"/>
  <c r="AF18" i="14" s="1"/>
  <c r="AG18" i="14" s="1"/>
  <c r="AH18" i="14" s="1"/>
  <c r="AB103" i="14"/>
  <c r="H85" i="17"/>
  <c r="I85" i="17" s="1"/>
  <c r="AB142" i="14"/>
  <c r="AE137" i="14"/>
  <c r="AF137" i="14" s="1"/>
  <c r="AG137" i="14" s="1"/>
  <c r="AH137" i="14" s="1"/>
  <c r="AC137" i="14"/>
  <c r="AC122" i="14" l="1"/>
  <c r="AC20" i="14"/>
  <c r="AC6" i="14"/>
  <c r="AE109" i="14"/>
  <c r="AF109" i="14" s="1"/>
  <c r="AG109" i="14" s="1"/>
  <c r="AH109" i="14" s="1"/>
  <c r="AC32" i="14"/>
  <c r="AC125" i="14"/>
  <c r="AC50" i="14"/>
  <c r="AC46" i="14"/>
  <c r="AE53" i="14"/>
  <c r="AF53" i="14" s="1"/>
  <c r="AG53" i="14" s="1"/>
  <c r="AH53" i="14" s="1"/>
  <c r="AC14" i="14"/>
  <c r="AE132" i="14"/>
  <c r="AF132" i="14" s="1"/>
  <c r="AG132" i="14" s="1"/>
  <c r="AH132" i="14" s="1"/>
  <c r="AC132" i="14"/>
  <c r="AC127" i="14"/>
  <c r="AE29" i="14"/>
  <c r="AF29" i="14" s="1"/>
  <c r="AG29" i="14" s="1"/>
  <c r="AH29" i="14" s="1"/>
  <c r="AE123" i="14"/>
  <c r="AF123" i="14" s="1"/>
  <c r="AG123" i="14" s="1"/>
  <c r="AH123" i="14" s="1"/>
  <c r="AC43" i="14"/>
  <c r="AE119" i="14"/>
  <c r="AF119" i="14" s="1"/>
  <c r="AG119" i="14" s="1"/>
  <c r="AH119" i="14" s="1"/>
  <c r="AE128" i="14"/>
  <c r="AF128" i="14" s="1"/>
  <c r="AG128" i="14" s="1"/>
  <c r="AH128" i="14" s="1"/>
  <c r="AC140" i="14"/>
  <c r="AC141" i="14"/>
  <c r="AE141" i="14"/>
  <c r="AF141" i="14" s="1"/>
  <c r="AG141" i="14" s="1"/>
  <c r="AH141" i="14" s="1"/>
  <c r="V12" i="13"/>
  <c r="AC114" i="14"/>
  <c r="AC81" i="14"/>
  <c r="AE81" i="14"/>
  <c r="AF81" i="14" s="1"/>
  <c r="AG81" i="14" s="1"/>
  <c r="AH81" i="14" s="1"/>
  <c r="AC144" i="14"/>
  <c r="V17" i="13"/>
  <c r="AE97" i="14"/>
  <c r="AF97" i="14" s="1"/>
  <c r="AG97" i="14" s="1"/>
  <c r="AH97" i="14" s="1"/>
  <c r="AE129" i="14"/>
  <c r="AF129" i="14" s="1"/>
  <c r="AG129" i="14" s="1"/>
  <c r="AH129" i="14" s="1"/>
  <c r="AC4" i="14"/>
  <c r="AE4" i="14"/>
  <c r="AF4" i="14" s="1"/>
  <c r="AG4" i="14" s="1"/>
  <c r="AE139" i="14"/>
  <c r="AF139" i="14" s="1"/>
  <c r="AG139" i="14" s="1"/>
  <c r="AH139" i="14" s="1"/>
  <c r="AC94" i="14"/>
  <c r="AC85" i="14"/>
  <c r="AC104" i="14"/>
  <c r="AE104" i="14"/>
  <c r="AF104" i="14" s="1"/>
  <c r="AG104" i="14" s="1"/>
  <c r="AH104" i="14" s="1"/>
  <c r="AC64" i="14"/>
  <c r="AC37" i="14"/>
  <c r="AC22" i="14"/>
  <c r="AE40" i="14"/>
  <c r="AF40" i="14" s="1"/>
  <c r="AG40" i="14" s="1"/>
  <c r="AH40" i="14" s="1"/>
  <c r="AC49" i="14"/>
  <c r="AE70" i="14"/>
  <c r="AF70" i="14" s="1"/>
  <c r="AG70" i="14" s="1"/>
  <c r="AH70" i="14" s="1"/>
  <c r="AC34" i="14"/>
  <c r="F8" i="10"/>
  <c r="AE68" i="14"/>
  <c r="AF68" i="14" s="1"/>
  <c r="AG68" i="14" s="1"/>
  <c r="AH68" i="14" s="1"/>
  <c r="AC145" i="14"/>
  <c r="AC72" i="14"/>
  <c r="AC15" i="14"/>
  <c r="AE76" i="14"/>
  <c r="AF76" i="14" s="1"/>
  <c r="AG76" i="14" s="1"/>
  <c r="AH76" i="14" s="1"/>
  <c r="AC120" i="14"/>
  <c r="AE26" i="14"/>
  <c r="AF26" i="14" s="1"/>
  <c r="AG26" i="14" s="1"/>
  <c r="AH26" i="14" s="1"/>
  <c r="AC111" i="14"/>
  <c r="AE28" i="14"/>
  <c r="AF28" i="14" s="1"/>
  <c r="AG28" i="14" s="1"/>
  <c r="AH28" i="14" s="1"/>
  <c r="AC99" i="14"/>
  <c r="AE78" i="14"/>
  <c r="AF78" i="14" s="1"/>
  <c r="AG78" i="14" s="1"/>
  <c r="AH78" i="14" s="1"/>
  <c r="AE74" i="14"/>
  <c r="AF74" i="14" s="1"/>
  <c r="AG74" i="14" s="1"/>
  <c r="AH74" i="14" s="1"/>
  <c r="F7" i="18"/>
  <c r="AE51" i="14"/>
  <c r="AF51" i="14" s="1"/>
  <c r="AG51" i="14" s="1"/>
  <c r="AH51" i="14" s="1"/>
  <c r="F9" i="18"/>
  <c r="AE55" i="14"/>
  <c r="AF55" i="14" s="1"/>
  <c r="AG55" i="14" s="1"/>
  <c r="AH55" i="14" s="1"/>
  <c r="AC92" i="14"/>
  <c r="AC38" i="14"/>
  <c r="V11" i="13"/>
  <c r="AC113" i="14"/>
  <c r="AE36" i="14"/>
  <c r="AF36" i="14" s="1"/>
  <c r="AG36" i="14" s="1"/>
  <c r="AH36" i="14" s="1"/>
  <c r="AC36" i="14"/>
  <c r="AC47" i="14"/>
  <c r="AC56" i="14"/>
  <c r="AE56" i="14"/>
  <c r="AF56" i="14" s="1"/>
  <c r="AG56" i="14" s="1"/>
  <c r="AH56" i="14" s="1"/>
  <c r="AC13" i="14"/>
  <c r="AC54" i="14"/>
  <c r="AE54" i="14"/>
  <c r="AF54" i="14" s="1"/>
  <c r="AG54" i="14" s="1"/>
  <c r="AH54" i="14" s="1"/>
  <c r="AE110" i="14"/>
  <c r="AF110" i="14" s="1"/>
  <c r="AG110" i="14" s="1"/>
  <c r="AH110" i="14" s="1"/>
  <c r="AC110" i="14"/>
  <c r="AE42" i="14"/>
  <c r="AF42" i="14" s="1"/>
  <c r="AG42" i="14" s="1"/>
  <c r="AH42" i="14" s="1"/>
  <c r="F6" i="18"/>
  <c r="B7" i="16"/>
  <c r="AE118" i="14"/>
  <c r="AF118" i="14" s="1"/>
  <c r="AG118" i="14" s="1"/>
  <c r="AH118" i="14" s="1"/>
  <c r="AC118" i="14"/>
  <c r="AC44" i="14"/>
  <c r="AE44" i="14"/>
  <c r="AF44" i="14" s="1"/>
  <c r="AG44" i="14" s="1"/>
  <c r="AH44" i="14" s="1"/>
  <c r="AE11" i="14"/>
  <c r="AF11" i="14" s="1"/>
  <c r="AG11" i="14" s="1"/>
  <c r="AH11" i="14" s="1"/>
  <c r="V6" i="13"/>
  <c r="G8" i="10"/>
  <c r="E5" i="15" s="1"/>
  <c r="F5" i="15" s="1"/>
  <c r="G5" i="15" s="1"/>
  <c r="H5" i="15" s="1"/>
  <c r="AE57" i="14"/>
  <c r="AF57" i="14" s="1"/>
  <c r="AG57" i="14" s="1"/>
  <c r="AH57" i="14" s="1"/>
  <c r="AC57" i="14"/>
  <c r="AC86" i="14"/>
  <c r="AE86" i="14"/>
  <c r="AF86" i="14" s="1"/>
  <c r="AG86" i="14" s="1"/>
  <c r="AH86" i="14" s="1"/>
  <c r="E9" i="18"/>
  <c r="AC89" i="14"/>
  <c r="S6" i="13"/>
  <c r="AC63" i="14"/>
  <c r="AE63" i="14"/>
  <c r="AF63" i="14" s="1"/>
  <c r="AG63" i="14" s="1"/>
  <c r="AH63" i="14" s="1"/>
  <c r="E13" i="10"/>
  <c r="AE133" i="14"/>
  <c r="AF133" i="14" s="1"/>
  <c r="AG133" i="14" s="1"/>
  <c r="AH133" i="14" s="1"/>
  <c r="AC133" i="14"/>
  <c r="AE7" i="14"/>
  <c r="AF7" i="14" s="1"/>
  <c r="AG7" i="14" s="1"/>
  <c r="AH7" i="14" s="1"/>
  <c r="AC7" i="14"/>
  <c r="H20" i="11"/>
  <c r="R204" i="14"/>
  <c r="B14" i="16" s="1"/>
  <c r="AC108" i="14"/>
  <c r="AE108" i="14"/>
  <c r="AF108" i="14" s="1"/>
  <c r="AG108" i="14" s="1"/>
  <c r="AH108" i="14" s="1"/>
  <c r="V15" i="13"/>
  <c r="S15" i="13"/>
  <c r="AE21" i="14"/>
  <c r="AF21" i="14" s="1"/>
  <c r="AG21" i="14" s="1"/>
  <c r="AH21" i="14" s="1"/>
  <c r="AC21" i="14"/>
  <c r="D12" i="12"/>
  <c r="D13" i="12"/>
  <c r="AC91" i="14"/>
  <c r="AE91" i="14"/>
  <c r="AF91" i="14" s="1"/>
  <c r="AG91" i="14" s="1"/>
  <c r="AH91" i="14" s="1"/>
  <c r="AC87" i="14"/>
  <c r="AE87" i="14"/>
  <c r="AF87" i="14" s="1"/>
  <c r="AG87" i="14" s="1"/>
  <c r="AH87" i="14" s="1"/>
  <c r="AC121" i="14"/>
  <c r="AE121" i="14"/>
  <c r="AF121" i="14" s="1"/>
  <c r="AG121" i="14" s="1"/>
  <c r="AH121" i="14" s="1"/>
  <c r="O29" i="13"/>
  <c r="C36" i="13"/>
  <c r="D36" i="13" s="1"/>
  <c r="B21" i="18"/>
  <c r="C21" i="18" s="1"/>
  <c r="AC75" i="14"/>
  <c r="AE75" i="14"/>
  <c r="AF75" i="14" s="1"/>
  <c r="AG75" i="14" s="1"/>
  <c r="AH75" i="14" s="1"/>
  <c r="AE27" i="14"/>
  <c r="AF27" i="14" s="1"/>
  <c r="AG27" i="14" s="1"/>
  <c r="AH27" i="14" s="1"/>
  <c r="AC27" i="14"/>
  <c r="R29" i="13"/>
  <c r="T29" i="13"/>
  <c r="AE12" i="14"/>
  <c r="AF12" i="14" s="1"/>
  <c r="AG12" i="14" s="1"/>
  <c r="AH12" i="14" s="1"/>
  <c r="AC12" i="14"/>
  <c r="AC142" i="14"/>
  <c r="AE142" i="14"/>
  <c r="AF142" i="14" s="1"/>
  <c r="AG142" i="14" s="1"/>
  <c r="AH142" i="14" s="1"/>
  <c r="AE80" i="14"/>
  <c r="AF80" i="14" s="1"/>
  <c r="AG80" i="14" s="1"/>
  <c r="AH80" i="14" s="1"/>
  <c r="AC80" i="14"/>
  <c r="V4" i="13"/>
  <c r="G92" i="17"/>
  <c r="F92" i="17"/>
  <c r="E92" i="17"/>
  <c r="AC16" i="14"/>
  <c r="AE16" i="14"/>
  <c r="AF16" i="14" s="1"/>
  <c r="AG16" i="14" s="1"/>
  <c r="AH16" i="14" s="1"/>
  <c r="AE45" i="14"/>
  <c r="AF45" i="14" s="1"/>
  <c r="AG45" i="14" s="1"/>
  <c r="AH45" i="14" s="1"/>
  <c r="AC45" i="14"/>
  <c r="AE73" i="14"/>
  <c r="AF73" i="14" s="1"/>
  <c r="AG73" i="14" s="1"/>
  <c r="AH73" i="14" s="1"/>
  <c r="AC73" i="14"/>
  <c r="G89" i="17"/>
  <c r="F89" i="17"/>
  <c r="E89" i="17"/>
  <c r="AE126" i="14"/>
  <c r="AF126" i="14" s="1"/>
  <c r="AG126" i="14" s="1"/>
  <c r="AH126" i="14" s="1"/>
  <c r="AC126" i="14"/>
  <c r="AE60" i="14"/>
  <c r="AF60" i="14" s="1"/>
  <c r="AG60" i="14" s="1"/>
  <c r="AH60" i="14" s="1"/>
  <c r="AC60" i="14"/>
  <c r="F91" i="17"/>
  <c r="G91" i="17"/>
  <c r="E91" i="17"/>
  <c r="AE23" i="14"/>
  <c r="AF23" i="14" s="1"/>
  <c r="AG23" i="14" s="1"/>
  <c r="AH23" i="14" s="1"/>
  <c r="AC23" i="14"/>
  <c r="G90" i="17"/>
  <c r="F90" i="17"/>
  <c r="E90" i="17"/>
  <c r="AC131" i="14"/>
  <c r="AE131" i="14"/>
  <c r="AF131" i="14" s="1"/>
  <c r="AG131" i="14" s="1"/>
  <c r="AH131" i="14" s="1"/>
  <c r="AC103" i="14"/>
  <c r="AE103" i="14"/>
  <c r="AF103" i="14" s="1"/>
  <c r="AG103" i="14" s="1"/>
  <c r="AH103" i="14" s="1"/>
  <c r="AC106" i="14"/>
  <c r="AE106" i="14"/>
  <c r="AF106" i="14" s="1"/>
  <c r="AG106" i="14" s="1"/>
  <c r="AH106" i="14" s="1"/>
  <c r="AC41" i="14"/>
  <c r="AE41" i="14"/>
  <c r="AF41" i="14" s="1"/>
  <c r="AG41" i="14" s="1"/>
  <c r="AH41" i="14" s="1"/>
  <c r="AC77" i="14"/>
  <c r="AE77" i="14"/>
  <c r="AF77" i="14" s="1"/>
  <c r="AG77" i="14" s="1"/>
  <c r="AH77" i="14" s="1"/>
  <c r="AE107" i="14"/>
  <c r="AF107" i="14" s="1"/>
  <c r="AG107" i="14" s="1"/>
  <c r="AH107" i="14" s="1"/>
  <c r="AC107" i="14"/>
  <c r="AB204" i="14"/>
  <c r="AC61" i="14"/>
  <c r="AE61" i="14"/>
  <c r="AF61" i="14" s="1"/>
  <c r="AG61" i="14" s="1"/>
  <c r="AH61" i="14" s="1"/>
  <c r="AE30" i="14"/>
  <c r="AF30" i="14" s="1"/>
  <c r="AG30" i="14" s="1"/>
  <c r="AH30" i="14" s="1"/>
  <c r="AC30" i="14"/>
  <c r="AC10" i="14"/>
  <c r="AE10" i="14"/>
  <c r="AF10" i="14" s="1"/>
  <c r="AG10" i="14" s="1"/>
  <c r="AH10" i="14" s="1"/>
  <c r="AE101" i="14"/>
  <c r="AF101" i="14" s="1"/>
  <c r="AG101" i="14" s="1"/>
  <c r="AH101" i="14" s="1"/>
  <c r="AC101" i="14"/>
  <c r="AC96" i="14"/>
  <c r="AE96" i="14"/>
  <c r="AF96" i="14" s="1"/>
  <c r="AG96" i="14" s="1"/>
  <c r="AH96" i="14" s="1"/>
  <c r="U29" i="13"/>
  <c r="AC39" i="14"/>
  <c r="AE39" i="14"/>
  <c r="AF39" i="14" s="1"/>
  <c r="AG39" i="14" s="1"/>
  <c r="AH39" i="14" s="1"/>
  <c r="G93" i="17"/>
  <c r="F93" i="17"/>
  <c r="E93" i="17"/>
  <c r="E6" i="15" l="1"/>
  <c r="F6" i="15" s="1"/>
  <c r="G6" i="15" s="1"/>
  <c r="H6" i="15" s="1"/>
  <c r="B11" i="16"/>
  <c r="E4" i="15"/>
  <c r="F4" i="15" s="1"/>
  <c r="G4" i="15" s="1"/>
  <c r="H4" i="15" s="1"/>
  <c r="E8" i="15"/>
  <c r="F8" i="15" s="1"/>
  <c r="G8" i="15" s="1"/>
  <c r="H8" i="15" s="1"/>
  <c r="E7" i="15"/>
  <c r="F7" i="15" s="1"/>
  <c r="G7" i="15" s="1"/>
  <c r="H7" i="15" s="1"/>
  <c r="E9" i="15"/>
  <c r="F9" i="15" s="1"/>
  <c r="G9" i="15" s="1"/>
  <c r="H9" i="15" s="1"/>
  <c r="C37" i="13"/>
  <c r="D37" i="13" s="1"/>
  <c r="S29" i="13"/>
  <c r="E209" i="14"/>
  <c r="B211" i="14"/>
  <c r="F210" i="14"/>
  <c r="C212" i="14"/>
  <c r="D209" i="14"/>
  <c r="F208" i="14"/>
  <c r="C209" i="14"/>
  <c r="D210" i="14"/>
  <c r="D212" i="14"/>
  <c r="D211" i="14"/>
  <c r="E210" i="14"/>
  <c r="B209" i="14"/>
  <c r="B208" i="14"/>
  <c r="E212" i="14"/>
  <c r="B210" i="14"/>
  <c r="F212" i="14"/>
  <c r="D208" i="14"/>
  <c r="B212" i="14"/>
  <c r="C210" i="14"/>
  <c r="E208" i="14"/>
  <c r="E211" i="14"/>
  <c r="C211" i="14"/>
  <c r="AG204" i="14"/>
  <c r="AH4" i="14"/>
  <c r="C208" i="14"/>
  <c r="F209" i="14"/>
  <c r="AF204" i="14"/>
  <c r="B213" i="14" l="1"/>
  <c r="AH204" i="14"/>
  <c r="F211" i="14"/>
  <c r="F213" i="14" s="1"/>
  <c r="E213" i="14"/>
</calcChain>
</file>

<file path=xl/sharedStrings.xml><?xml version="1.0" encoding="utf-8"?>
<sst xmlns="http://schemas.openxmlformats.org/spreadsheetml/2006/main" count="3437" uniqueCount="1069">
  <si>
    <t>CLOUDIT AUTOMATION &amp; ACCOUNTING SERVICES LLC</t>
  </si>
  <si>
    <t>System Settings — Change yellow cells to update all calculations</t>
  </si>
  <si>
    <t>GENERAL SETTINGS</t>
  </si>
  <si>
    <t>Parameter</t>
  </si>
  <si>
    <t>Value</t>
  </si>
  <si>
    <t>Unit</t>
  </si>
  <si>
    <t>Notes</t>
  </si>
  <si>
    <t>Standard Working Hours/Month</t>
  </si>
  <si>
    <t>Hours</t>
  </si>
  <si>
    <t>22 days × 8 hrs</t>
  </si>
  <si>
    <t>Working Days/Month</t>
  </si>
  <si>
    <t>Days</t>
  </si>
  <si>
    <t>INR to USD Conversion Rate</t>
  </si>
  <si>
    <t>INR/USD</t>
  </si>
  <si>
    <t>Change this when rate changes</t>
  </si>
  <si>
    <t>Period</t>
  </si>
  <si>
    <t>Jan 2026</t>
  </si>
  <si>
    <t>Update each month</t>
  </si>
  <si>
    <t>UTILIZATION THRESHOLDS</t>
  </si>
  <si>
    <t>High Utilization (Green)</t>
  </si>
  <si>
    <t>%</t>
  </si>
  <si>
    <t>Above this = overloaded/optimal</t>
  </si>
  <si>
    <t>Medium Utilization (Yellow)</t>
  </si>
  <si>
    <t>Between this and High = review</t>
  </si>
  <si>
    <t>Low Utilization (Red)</t>
  </si>
  <si>
    <t>Below this = underutilized</t>
  </si>
  <si>
    <t>INCREMENT SCORING WEIGHTS</t>
  </si>
  <si>
    <t>Dimension</t>
  </si>
  <si>
    <t>Weight</t>
  </si>
  <si>
    <t>Max Score</t>
  </si>
  <si>
    <t>Utilization Score</t>
  </si>
  <si>
    <t>Billable hours / standard hours</t>
  </si>
  <si>
    <t>Client Profitability</t>
  </si>
  <si>
    <t>Revenue vs cost of clients served</t>
  </si>
  <si>
    <t>Efficiency Score</t>
  </si>
  <si>
    <t>Work Composer accuracy</t>
  </si>
  <si>
    <t>Tenure &amp; Loyalty</t>
  </si>
  <si>
    <t>Years of service</t>
  </si>
  <si>
    <t>Designation &amp; Responsibility</t>
  </si>
  <si>
    <t>Role complexity</t>
  </si>
  <si>
    <t>Revenue per Head</t>
  </si>
  <si>
    <t>Billing / employee cost</t>
  </si>
  <si>
    <t>Total</t>
  </si>
  <si>
    <t>Must equal 100% / 100</t>
  </si>
  <si>
    <t>INCREMENT SLAB PERCENTAGES (v2)</t>
  </si>
  <si>
    <t>Slab</t>
  </si>
  <si>
    <t>Increment %</t>
  </si>
  <si>
    <t>Score Range</t>
  </si>
  <si>
    <t>Scoring Model</t>
  </si>
  <si>
    <t>Historical 60% + Future 40%</t>
  </si>
  <si>
    <t>Exceptional</t>
  </si>
  <si>
    <t>Score 85-100 → 17.5%</t>
  </si>
  <si>
    <t>High Performer</t>
  </si>
  <si>
    <t>Score 70-84 → 12%</t>
  </si>
  <si>
    <t>Meets Expectations</t>
  </si>
  <si>
    <t>Score 50-69 → 7.5%</t>
  </si>
  <si>
    <t>Below Expectations</t>
  </si>
  <si>
    <t>Score 30-49 → 3%</t>
  </si>
  <si>
    <t>Underperformer</t>
  </si>
  <si>
    <t>Score 0-29 → 0%</t>
  </si>
  <si>
    <t>PASTE YOUR TIMELOG DATA HERE</t>
  </si>
  <si>
    <t>Instructions: Copy-paste from your timelog export. Keep headers in Row 3. Max 200 employees.</t>
  </si>
  <si>
    <t>ID</t>
  </si>
  <si>
    <t>Employee Name</t>
  </si>
  <si>
    <t>Employee ID</t>
  </si>
  <si>
    <t>Reporting Manager</t>
  </si>
  <si>
    <t>Controller</t>
  </si>
  <si>
    <t>Employment Type</t>
  </si>
  <si>
    <t>Designation</t>
  </si>
  <si>
    <t>Department</t>
  </si>
  <si>
    <t>Total Hours</t>
  </si>
  <si>
    <t>Billable Hours</t>
  </si>
  <si>
    <t>Approved Hours</t>
  </si>
  <si>
    <t>Work Composer Time</t>
  </si>
  <si>
    <t>WC Diff Hours</t>
  </si>
  <si>
    <t>WC Percentage</t>
  </si>
  <si>
    <t>Last Updated</t>
  </si>
  <si>
    <t>406 CONSULTING LLC</t>
  </si>
  <si>
    <t>4P TAXES LLC</t>
  </si>
  <si>
    <t>AB CAPSTONE GROUP</t>
  </si>
  <si>
    <t>ABACUS BUSINESS SOLUTIONS, LLC</t>
  </si>
  <si>
    <t>ACE CPA</t>
  </si>
  <si>
    <t>ACT NOW FINANCIAL SERVICES, LLC</t>
  </si>
  <si>
    <t>ACTION ACCOUNTING</t>
  </si>
  <si>
    <t>AMI US HOLDING INC.</t>
  </si>
  <si>
    <t>ANCIENT CITY ACCOUNTING LLC</t>
  </si>
  <si>
    <t>BEAM ACCOUNTING INC</t>
  </si>
  <si>
    <t>BORISTAX INC</t>
  </si>
  <si>
    <t>BRADLEY FINANCIAL SERVICES LLC</t>
  </si>
  <si>
    <t>BRIGHTSKIES BUSINESS SERVICES, LLC</t>
  </si>
  <si>
    <t>BUSINESS NAVIGATORS LLC</t>
  </si>
  <si>
    <t>CASCFO Advisory- United States</t>
  </si>
  <si>
    <t>CENTURION TAX AND ACCOUNTING</t>
  </si>
  <si>
    <t>CHRIS WHALEN CPA, LLC</t>
  </si>
  <si>
    <t>CLARK FINANCIALS</t>
  </si>
  <si>
    <t>CLOUDIT</t>
  </si>
  <si>
    <t>COHEN AND ASSOCIATES</t>
  </si>
  <si>
    <t>DOR BUSINESS GROUP LLC</t>
  </si>
  <si>
    <t>EVERMORE FINANCIAL SERVICES LLC</t>
  </si>
  <si>
    <t>Fleming Accounting Solutions</t>
  </si>
  <si>
    <t>FULL COMPLIANCE, LLC</t>
  </si>
  <si>
    <t>H J EDWARDS</t>
  </si>
  <si>
    <t>HELLO ACCOUNTAX</t>
  </si>
  <si>
    <t>HIA TAX</t>
  </si>
  <si>
    <t>IAM ACCOUNTING LLC</t>
  </si>
  <si>
    <t>INNOVATIVE CONSULTING &amp; SOLUTIONS, LLC</t>
  </si>
  <si>
    <t>INVENT WEALTH, CPA</t>
  </si>
  <si>
    <t>jmWILLIAMS, CPA, LLP</t>
  </si>
  <si>
    <t>JOHNSON &amp; ROBINSON LLC</t>
  </si>
  <si>
    <t>LEANCORP ACCOUNTING</t>
  </si>
  <si>
    <t>LIFETIME FUNDING, LLC</t>
  </si>
  <si>
    <t>MAINSPRING SOLUTIONS</t>
  </si>
  <si>
    <t>MARTIN D. EISENSTEIN, CPA</t>
  </si>
  <si>
    <t>MATHESON &amp; ASSOCIATES</t>
  </si>
  <si>
    <t>MCFADDEN ACCOUNTING</t>
  </si>
  <si>
    <t>MEJIA &amp; ASSOCIATES, INC.</t>
  </si>
  <si>
    <t>MERAKI ACCOUNTING &amp; TAX LLC</t>
  </si>
  <si>
    <t>NATIONAL TAX CENTERS, LLC</t>
  </si>
  <si>
    <t>NEW AGE IRON WORKS, INC.</t>
  </si>
  <si>
    <t>NEWELL TAYLOR CPA</t>
  </si>
  <si>
    <t>NUMBER NUTTZ CONSULTING</t>
  </si>
  <si>
    <t>ONE KOSMOS, INC.</t>
  </si>
  <si>
    <t>PORCHEA &amp; LOTT ACCOUNTING</t>
  </si>
  <si>
    <t>PROVISION ACCOUNTING SOLUTIONS</t>
  </si>
  <si>
    <t>PW ADVISORS LLC</t>
  </si>
  <si>
    <t>RATHEL’S ACCOUNTING SERVICE, INC</t>
  </si>
  <si>
    <t>ROSEN KUSLANSKY CPA PC</t>
  </si>
  <si>
    <t>RRAW CPA LLP</t>
  </si>
  <si>
    <t>RTW XXACT ENTERPRISES, LLC</t>
  </si>
  <si>
    <t>SFSG BILLING PROJECT</t>
  </si>
  <si>
    <t>SMALLHOLD INC</t>
  </si>
  <si>
    <t>SOUTH FLORIDA SECURITY GROUP</t>
  </si>
  <si>
    <t>TAX GEEK LLC</t>
  </si>
  <si>
    <t>THE PROFIT SCALE THRIVE</t>
  </si>
  <si>
    <t>THE TAX CUTTERY</t>
  </si>
  <si>
    <t>THINKING MAPS, INC.</t>
  </si>
  <si>
    <t>TREE OF LIFE FUNDING INC</t>
  </si>
  <si>
    <t>TRI SCAPES</t>
  </si>
  <si>
    <t>WB MORROW</t>
  </si>
  <si>
    <t>WE ARE QUADRANT</t>
  </si>
  <si>
    <t>WIGGS CPA TAX &amp; ACCOUNTING</t>
  </si>
  <si>
    <t>XPERT BOOKKEEPING LLC</t>
  </si>
  <si>
    <t>Total Firms Hours</t>
  </si>
  <si>
    <t>Ankit</t>
  </si>
  <si>
    <t>CAS-IH_1070</t>
  </si>
  <si>
    <t>Jasleen.D</t>
  </si>
  <si>
    <t>In-house</t>
  </si>
  <si>
    <t>Associate</t>
  </si>
  <si>
    <t>Accounting</t>
  </si>
  <si>
    <t>100%</t>
  </si>
  <si>
    <t>1.83%</t>
  </si>
  <si>
    <t>03/02/2026</t>
  </si>
  <si>
    <t>Astha.D</t>
  </si>
  <si>
    <t>CAS-IH_1092</t>
  </si>
  <si>
    <t>Anshul Ohri</t>
  </si>
  <si>
    <t>3.01%</t>
  </si>
  <si>
    <t>Pragati.S</t>
  </si>
  <si>
    <t>CAS-IH_1105</t>
  </si>
  <si>
    <t>Asst. Team Lead</t>
  </si>
  <si>
    <t>--</t>
  </si>
  <si>
    <t>Anshul.O</t>
  </si>
  <si>
    <t>CAS-IH_1109</t>
  </si>
  <si>
    <t>Team Lead</t>
  </si>
  <si>
    <t>20.66%</t>
  </si>
  <si>
    <t>Shefali.B</t>
  </si>
  <si>
    <t>CAS-IH_1122</t>
  </si>
  <si>
    <t>Sandesh.H</t>
  </si>
  <si>
    <t>CAS-IH_1149</t>
  </si>
  <si>
    <t>Robin.S</t>
  </si>
  <si>
    <t>CAS-IH_1162</t>
  </si>
  <si>
    <t>Remote</t>
  </si>
  <si>
    <t>Vijet.B</t>
  </si>
  <si>
    <t>CAS-RR_2371</t>
  </si>
  <si>
    <t>Somya.B</t>
  </si>
  <si>
    <t>CAS-IH_1169</t>
  </si>
  <si>
    <t>Retainer</t>
  </si>
  <si>
    <t>Sr. Associate</t>
  </si>
  <si>
    <t>Jyoti</t>
  </si>
  <si>
    <t>CAS-IH_1037</t>
  </si>
  <si>
    <t>Andrew Jindal</t>
  </si>
  <si>
    <t>Accounting, Business Tax, VA</t>
  </si>
  <si>
    <t>02/27/2026</t>
  </si>
  <si>
    <t>Vini</t>
  </si>
  <si>
    <t>CAS-IH_1018</t>
  </si>
  <si>
    <t>HR</t>
  </si>
  <si>
    <t>03/03/2026</t>
  </si>
  <si>
    <t>Asmita</t>
  </si>
  <si>
    <t>CAS-IH_1049</t>
  </si>
  <si>
    <t>Accounting, Business Tax</t>
  </si>
  <si>
    <t>12.91%</t>
  </si>
  <si>
    <t>Nikita</t>
  </si>
  <si>
    <t>CAS-IH_1041</t>
  </si>
  <si>
    <t>Accounting, Business Tax, VA, L&amp;D</t>
  </si>
  <si>
    <t>02/26/2026</t>
  </si>
  <si>
    <t>Ayushi</t>
  </si>
  <si>
    <t>CAS-IH_1051</t>
  </si>
  <si>
    <t>Asst. Controller</t>
  </si>
  <si>
    <t>Shefali</t>
  </si>
  <si>
    <t>CAS-IH_1065</t>
  </si>
  <si>
    <t>Nikita Shah</t>
  </si>
  <si>
    <t>Rashi</t>
  </si>
  <si>
    <t>CAS-IH_1077</t>
  </si>
  <si>
    <t>Vinita Dagar</t>
  </si>
  <si>
    <t>Asst. Manager</t>
  </si>
  <si>
    <t>Gaganjot</t>
  </si>
  <si>
    <t>CAS-IH_1159</t>
  </si>
  <si>
    <t>Robin</t>
  </si>
  <si>
    <t>CAS-IH_1005</t>
  </si>
  <si>
    <t>98.18%</t>
  </si>
  <si>
    <t>Nishu</t>
  </si>
  <si>
    <t>CAS-IH_1038</t>
  </si>
  <si>
    <t>Pinky</t>
  </si>
  <si>
    <t>CAS-RT_2045</t>
  </si>
  <si>
    <t>Manager</t>
  </si>
  <si>
    <t>Preety</t>
  </si>
  <si>
    <t>CAS-IH_1056</t>
  </si>
  <si>
    <t>Urvashi</t>
  </si>
  <si>
    <t>CAS-RT_2063</t>
  </si>
  <si>
    <t>Melita</t>
  </si>
  <si>
    <t>CAS-IH_1046</t>
  </si>
  <si>
    <t>Smriti Shah</t>
  </si>
  <si>
    <t>Individual Tax</t>
  </si>
  <si>
    <t>Bhawna</t>
  </si>
  <si>
    <t>CAS-RR_2077</t>
  </si>
  <si>
    <t>Anand</t>
  </si>
  <si>
    <t>CAS-RT_2078</t>
  </si>
  <si>
    <t>0.83%</t>
  </si>
  <si>
    <t>Shivani</t>
  </si>
  <si>
    <t>CAS-RT_2102</t>
  </si>
  <si>
    <t>Sreeja</t>
  </si>
  <si>
    <t>CAS-RT_2108</t>
  </si>
  <si>
    <t>Divya.M</t>
  </si>
  <si>
    <t>CAS-RT_2113</t>
  </si>
  <si>
    <t>0.7%</t>
  </si>
  <si>
    <t>02/25/2026</t>
  </si>
  <si>
    <t>Kritika</t>
  </si>
  <si>
    <t>CAS-IH_1102</t>
  </si>
  <si>
    <t>Sachi Mazumdar</t>
  </si>
  <si>
    <t>FP&amp;A</t>
  </si>
  <si>
    <t>85.28%</t>
  </si>
  <si>
    <t>Abhilash</t>
  </si>
  <si>
    <t>CAS-IH_1061</t>
  </si>
  <si>
    <t>46.63%</t>
  </si>
  <si>
    <t>Kavita</t>
  </si>
  <si>
    <t>CAS-IH_1108</t>
  </si>
  <si>
    <t>Sakshi</t>
  </si>
  <si>
    <t>CAS-IH_1078</t>
  </si>
  <si>
    <t>Suhani</t>
  </si>
  <si>
    <t>CAS-RR_2370</t>
  </si>
  <si>
    <t>Shradha</t>
  </si>
  <si>
    <t>CAS-IH_1082</t>
  </si>
  <si>
    <t>97.16%</t>
  </si>
  <si>
    <t>Ridhi.G</t>
  </si>
  <si>
    <t>CAS-IH_1146</t>
  </si>
  <si>
    <t>Bhairavi.M</t>
  </si>
  <si>
    <t>CAS-IH_1160</t>
  </si>
  <si>
    <t>90.3%</t>
  </si>
  <si>
    <t>9.93%</t>
  </si>
  <si>
    <t>Ujjwal.J</t>
  </si>
  <si>
    <t>CAS-IH_1150</t>
  </si>
  <si>
    <t>99.02%</t>
  </si>
  <si>
    <t>Sukhmeen.K</t>
  </si>
  <si>
    <t>CAS-RR_2253</t>
  </si>
  <si>
    <t>Tanisha.J</t>
  </si>
  <si>
    <t>CAS-IH_1111</t>
  </si>
  <si>
    <t>Disha.M</t>
  </si>
  <si>
    <t>CAS-IH_1113</t>
  </si>
  <si>
    <t>Smriti.S</t>
  </si>
  <si>
    <t>CAS-IH_1114</t>
  </si>
  <si>
    <t>Ammie</t>
  </si>
  <si>
    <t>Muhammad.S</t>
  </si>
  <si>
    <t>CAS-RT_2283</t>
  </si>
  <si>
    <t>82.68%</t>
  </si>
  <si>
    <t>Farheen.K</t>
  </si>
  <si>
    <t>CAS-RT_2296</t>
  </si>
  <si>
    <t>85.36%</t>
  </si>
  <si>
    <t>13.74%</t>
  </si>
  <si>
    <t>Vaibhav.A</t>
  </si>
  <si>
    <t>CAS-IH_1120</t>
  </si>
  <si>
    <t>90%</t>
  </si>
  <si>
    <t>Shikha.A</t>
  </si>
  <si>
    <t>CAS-IH_1123</t>
  </si>
  <si>
    <t>Rupesh.A</t>
  </si>
  <si>
    <t>CAS-IH_1124</t>
  </si>
  <si>
    <t>Sr. Manager</t>
  </si>
  <si>
    <t>Deepika.B</t>
  </si>
  <si>
    <t>CAS-IH_1126</t>
  </si>
  <si>
    <t>27.86%</t>
  </si>
  <si>
    <t>Vandana.M</t>
  </si>
  <si>
    <t>CAS-IH_1127</t>
  </si>
  <si>
    <t>Shikha.AG</t>
  </si>
  <si>
    <t>CAS-RT_2319</t>
  </si>
  <si>
    <t>Falguni.M</t>
  </si>
  <si>
    <t>CAS-RT_2324</t>
  </si>
  <si>
    <t>Business Tax</t>
  </si>
  <si>
    <t>18.66%</t>
  </si>
  <si>
    <t>Saumil.M</t>
  </si>
  <si>
    <t>CAS-RT_2332</t>
  </si>
  <si>
    <t>90.16%</t>
  </si>
  <si>
    <t>Seemu.A</t>
  </si>
  <si>
    <t>CAS-RT_2335</t>
  </si>
  <si>
    <t>Kanica.P</t>
  </si>
  <si>
    <t>CAS-RT_2340</t>
  </si>
  <si>
    <t>CAS-IH_1137</t>
  </si>
  <si>
    <t>Sr. Controller</t>
  </si>
  <si>
    <t>Individual Tax, Business Tax</t>
  </si>
  <si>
    <t>130.59%</t>
  </si>
  <si>
    <t>Pranjali.M</t>
  </si>
  <si>
    <t>CAS-RT_2349</t>
  </si>
  <si>
    <t>97.6%</t>
  </si>
  <si>
    <t>Shikha.S</t>
  </si>
  <si>
    <t>CAS-RT_2351</t>
  </si>
  <si>
    <t>Rutu.G</t>
  </si>
  <si>
    <t>CAS-RT_2359</t>
  </si>
  <si>
    <t>95.68%</t>
  </si>
  <si>
    <t>Sachi</t>
  </si>
  <si>
    <t>CAS-IH_1003</t>
  </si>
  <si>
    <t>Sam</t>
  </si>
  <si>
    <t>Coo</t>
  </si>
  <si>
    <t>Aishwarya.V</t>
  </si>
  <si>
    <t>CAS-RR_2374</t>
  </si>
  <si>
    <t>99.74%</t>
  </si>
  <si>
    <t>14.41%</t>
  </si>
  <si>
    <t>Tejas.P</t>
  </si>
  <si>
    <t>CAS-RT_2367</t>
  </si>
  <si>
    <t>Priyam.B</t>
  </si>
  <si>
    <t>CAS-RT_2361</t>
  </si>
  <si>
    <t>Jaya.L</t>
  </si>
  <si>
    <t>CAS-IH_1151</t>
  </si>
  <si>
    <t>Sarah</t>
  </si>
  <si>
    <t>Accounting, L&amp;D</t>
  </si>
  <si>
    <t>89.57%</t>
  </si>
  <si>
    <t>Ayushi.B</t>
  </si>
  <si>
    <t>CAS-RT_2369</t>
  </si>
  <si>
    <t>93.48%</t>
  </si>
  <si>
    <t>5.52%</t>
  </si>
  <si>
    <t>Akanksha.V</t>
  </si>
  <si>
    <t>CAS-IH_1144</t>
  </si>
  <si>
    <t>68.42%</t>
  </si>
  <si>
    <t>02/23/2026</t>
  </si>
  <si>
    <t>Teja.R</t>
  </si>
  <si>
    <t>CAS-RT_2372</t>
  </si>
  <si>
    <t>Upasana</t>
  </si>
  <si>
    <t>CAS-RT_2373</t>
  </si>
  <si>
    <t>Scarlett.C</t>
  </si>
  <si>
    <t>CAS-RT_2374</t>
  </si>
  <si>
    <t>Namya.S</t>
  </si>
  <si>
    <t>99.99%</t>
  </si>
  <si>
    <t>Alan</t>
  </si>
  <si>
    <t>CAS-IH_1148</t>
  </si>
  <si>
    <t>Project Manager (S/W)</t>
  </si>
  <si>
    <t>IT</t>
  </si>
  <si>
    <t>Farheen.F</t>
  </si>
  <si>
    <t>CAS-RT_2375</t>
  </si>
  <si>
    <t>1.41%</t>
  </si>
  <si>
    <t>Megha.J</t>
  </si>
  <si>
    <t>CAS-RT_2376</t>
  </si>
  <si>
    <t>02/16/2026</t>
  </si>
  <si>
    <t>Prachi.G</t>
  </si>
  <si>
    <t>CAS-IH_1161</t>
  </si>
  <si>
    <t>Itee.S</t>
  </si>
  <si>
    <t>CAS-RT_2382</t>
  </si>
  <si>
    <t>88.91%</t>
  </si>
  <si>
    <t>Anushka.G</t>
  </si>
  <si>
    <t>CAS-RT_2383</t>
  </si>
  <si>
    <t>8.82%</t>
  </si>
  <si>
    <t>Priyanka.M</t>
  </si>
  <si>
    <t>CAS-RT_2384</t>
  </si>
  <si>
    <t>84%</t>
  </si>
  <si>
    <t>Raj.B</t>
  </si>
  <si>
    <t>CAS-RT_2385</t>
  </si>
  <si>
    <t>Chhavi.S</t>
  </si>
  <si>
    <t>CAS-RT_2386</t>
  </si>
  <si>
    <t>Accounting, VA</t>
  </si>
  <si>
    <t>6.34%</t>
  </si>
  <si>
    <t>Surbhi.A</t>
  </si>
  <si>
    <t>CAS-RT_2390</t>
  </si>
  <si>
    <t>Jatin.S</t>
  </si>
  <si>
    <t>CAS-IH_1165</t>
  </si>
  <si>
    <t>74.73%</t>
  </si>
  <si>
    <t>Angela</t>
  </si>
  <si>
    <t>CASUS-IH_002</t>
  </si>
  <si>
    <t>Marketing</t>
  </si>
  <si>
    <t>Harsh.G</t>
  </si>
  <si>
    <t>CAS-RT_2392</t>
  </si>
  <si>
    <t>CAS-IH_1166</t>
  </si>
  <si>
    <t>Kashish.B</t>
  </si>
  <si>
    <t>CAS-RT_2393</t>
  </si>
  <si>
    <t>94.55%</t>
  </si>
  <si>
    <t>Amishi.S</t>
  </si>
  <si>
    <t>CAS-RT_2396</t>
  </si>
  <si>
    <t>1.36%</t>
  </si>
  <si>
    <t>Harsh.V</t>
  </si>
  <si>
    <t>CAS-RR_2372</t>
  </si>
  <si>
    <t>84.2%</t>
  </si>
  <si>
    <t>24.71%</t>
  </si>
  <si>
    <t>Ash</t>
  </si>
  <si>
    <t>Anshika.B</t>
  </si>
  <si>
    <t>CASCFO-IH-004</t>
  </si>
  <si>
    <t>Monika.M</t>
  </si>
  <si>
    <t>94.97%</t>
  </si>
  <si>
    <t>35%</t>
  </si>
  <si>
    <t>Deepak</t>
  </si>
  <si>
    <t>CASCFO-IH-005</t>
  </si>
  <si>
    <t>Akhilesh Sirvi</t>
  </si>
  <si>
    <t>HR, IT</t>
  </si>
  <si>
    <t>Simran.</t>
  </si>
  <si>
    <t>CAS-RT_2401</t>
  </si>
  <si>
    <t>Marta</t>
  </si>
  <si>
    <t>CASUS-IH_003</t>
  </si>
  <si>
    <t>Sakshi.M</t>
  </si>
  <si>
    <t>CAS-IH_1170</t>
  </si>
  <si>
    <t>Prachi Guglani</t>
  </si>
  <si>
    <t>Accounting, FP&amp;A</t>
  </si>
  <si>
    <t>89.47%</t>
  </si>
  <si>
    <t>Tracey.G</t>
  </si>
  <si>
    <t>CASCFO****</t>
  </si>
  <si>
    <t>Accounting, Individual Tax, Business Tax, VA</t>
  </si>
  <si>
    <t>Khushboo.S</t>
  </si>
  <si>
    <t>CAS-IH_1171</t>
  </si>
  <si>
    <t>Prerna.G</t>
  </si>
  <si>
    <t>CAS-RT_2402</t>
  </si>
  <si>
    <t>74.87%</t>
  </si>
  <si>
    <t>CASCFO-IH-007</t>
  </si>
  <si>
    <t>84.81%</t>
  </si>
  <si>
    <t>Richa.A</t>
  </si>
  <si>
    <t>CAS-RT_2403</t>
  </si>
  <si>
    <t>80.23%</t>
  </si>
  <si>
    <t>brandon</t>
  </si>
  <si>
    <t>CASUS-IH_004</t>
  </si>
  <si>
    <t>Ankita.S</t>
  </si>
  <si>
    <t>CAS-RT_2404</t>
  </si>
  <si>
    <t>2.37%</t>
  </si>
  <si>
    <t>Garima.B</t>
  </si>
  <si>
    <t>CAS-RT_2406</t>
  </si>
  <si>
    <t>3.66%</t>
  </si>
  <si>
    <t>Priyanka.P</t>
  </si>
  <si>
    <t>CAS-RT_2407</t>
  </si>
  <si>
    <t>Sakshi Bansal</t>
  </si>
  <si>
    <t>94.96%</t>
  </si>
  <si>
    <t>Jyoti.U</t>
  </si>
  <si>
    <t>CAS-RT_2408</t>
  </si>
  <si>
    <t>Rajvi.S</t>
  </si>
  <si>
    <t>CAS-RT_2409</t>
  </si>
  <si>
    <t>Ankit Gupta</t>
  </si>
  <si>
    <t>Komal.G</t>
  </si>
  <si>
    <t>CAS-RT_2411</t>
  </si>
  <si>
    <t>Swati.S</t>
  </si>
  <si>
    <t>CAS-RT_2412</t>
  </si>
  <si>
    <t>Neha.S</t>
  </si>
  <si>
    <t>CAS-RT_2413</t>
  </si>
  <si>
    <t>Navneet.S</t>
  </si>
  <si>
    <t>CAS-RT_2414</t>
  </si>
  <si>
    <t>Ishita.M</t>
  </si>
  <si>
    <t>CAS-IH_1173</t>
  </si>
  <si>
    <t>Arya.N</t>
  </si>
  <si>
    <t>CAS-IH_1174</t>
  </si>
  <si>
    <t>2.27%</t>
  </si>
  <si>
    <t>Gaorav.C</t>
  </si>
  <si>
    <t>CAS-IH_1176</t>
  </si>
  <si>
    <t>12.03%</t>
  </si>
  <si>
    <t>Isha.M</t>
  </si>
  <si>
    <t>CAS-RT_2415</t>
  </si>
  <si>
    <t>25.64%</t>
  </si>
  <si>
    <t>Aravind.J</t>
  </si>
  <si>
    <t>CAS-RT_2417</t>
  </si>
  <si>
    <t>Archana.K</t>
  </si>
  <si>
    <t>CAS-RT_2418</t>
  </si>
  <si>
    <t>Jinali.S</t>
  </si>
  <si>
    <t>CAS-RT_2419</t>
  </si>
  <si>
    <t>Snehal</t>
  </si>
  <si>
    <t>CAS-IH_1177</t>
  </si>
  <si>
    <t>Tithi Gandhi</t>
  </si>
  <si>
    <t>86.12%</t>
  </si>
  <si>
    <t>Sukhdeep.K</t>
  </si>
  <si>
    <t>CAS-IH_1178</t>
  </si>
  <si>
    <t>85.65%</t>
  </si>
  <si>
    <t>Anjali.J</t>
  </si>
  <si>
    <t>CAS-RT_2420</t>
  </si>
  <si>
    <t>18.55%</t>
  </si>
  <si>
    <t>Pallavi.A</t>
  </si>
  <si>
    <t>CAS-RT_2421</t>
  </si>
  <si>
    <t>Twinkle.C</t>
  </si>
  <si>
    <t>CAS-RT_2422</t>
  </si>
  <si>
    <t>Prabhleen.K</t>
  </si>
  <si>
    <t>CAS-RT_2423</t>
  </si>
  <si>
    <t>Bhupendra.S</t>
  </si>
  <si>
    <t>CAS-RT_2425</t>
  </si>
  <si>
    <t>Priya.S</t>
  </si>
  <si>
    <t>CAS-RT_2426</t>
  </si>
  <si>
    <t>Kanika.G</t>
  </si>
  <si>
    <t>CAS-IH_1179</t>
  </si>
  <si>
    <t>Hema.S</t>
  </si>
  <si>
    <t>CAS-RT_2427</t>
  </si>
  <si>
    <t>95.89%</t>
  </si>
  <si>
    <t>59.55%</t>
  </si>
  <si>
    <t>Binny.S</t>
  </si>
  <si>
    <t>CAS-IH_1181</t>
  </si>
  <si>
    <t>44.42%</t>
  </si>
  <si>
    <t>Shivani.S</t>
  </si>
  <si>
    <t>CAS-IH_1180</t>
  </si>
  <si>
    <t>89.74%</t>
  </si>
  <si>
    <t>Nikunj.K</t>
  </si>
  <si>
    <t>CAS-IH_1182</t>
  </si>
  <si>
    <t>Full Stack Developer</t>
  </si>
  <si>
    <t>90.85%</t>
  </si>
  <si>
    <t>Alisha.A</t>
  </si>
  <si>
    <t>CAS-RT_2428</t>
  </si>
  <si>
    <t>84.77%</t>
  </si>
  <si>
    <t>Tavishi.S</t>
  </si>
  <si>
    <t>CAS-RT_2429</t>
  </si>
  <si>
    <t>Lithika.B</t>
  </si>
  <si>
    <t>CAS-RT_2430</t>
  </si>
  <si>
    <t>86.47%</t>
  </si>
  <si>
    <t>Tithi.G</t>
  </si>
  <si>
    <t>CAS-IH_1183</t>
  </si>
  <si>
    <t>Isha.G</t>
  </si>
  <si>
    <t>CAS-RR_2431</t>
  </si>
  <si>
    <t>171.19%</t>
  </si>
  <si>
    <t>Shubham.S</t>
  </si>
  <si>
    <t>CAS-RT_2432</t>
  </si>
  <si>
    <t>Tanushree.G</t>
  </si>
  <si>
    <t>CAS-RT_2433</t>
  </si>
  <si>
    <t>Syed.M</t>
  </si>
  <si>
    <t>CAS-RT_2434</t>
  </si>
  <si>
    <t>Biswajit.D</t>
  </si>
  <si>
    <t>CAS-RT_2435</t>
  </si>
  <si>
    <t>Ayush.G</t>
  </si>
  <si>
    <t>CAS-IH_1186</t>
  </si>
  <si>
    <t>Aman.J</t>
  </si>
  <si>
    <t>CAS-RT_2436</t>
  </si>
  <si>
    <t>0.9%</t>
  </si>
  <si>
    <t>Matt.H</t>
  </si>
  <si>
    <t>CASUS-IH_005</t>
  </si>
  <si>
    <t>60%</t>
  </si>
  <si>
    <t>Puja.G</t>
  </si>
  <si>
    <t>CAS-IH_1187</t>
  </si>
  <si>
    <t>Keily.S</t>
  </si>
  <si>
    <t>CASUS-IH_006</t>
  </si>
  <si>
    <t>75%</t>
  </si>
  <si>
    <t>Bhavana.T</t>
  </si>
  <si>
    <t>CAS-IH_1188</t>
  </si>
  <si>
    <t>Shubhanshi.A</t>
  </si>
  <si>
    <t>CAS-IH_1190</t>
  </si>
  <si>
    <t>TOTAL</t>
  </si>
  <si>
    <t>4.27%</t>
  </si>
  <si>
    <t>PASTE YOUR SALARY REGISTER HERE</t>
  </si>
  <si>
    <t>Instructions: Copy-paste monthly salary register. Keep headers in Row 3. Employee Number must match Timelog Employee ID.</t>
  </si>
  <si>
    <t>Employee Number</t>
  </si>
  <si>
    <t>Employee Type</t>
  </si>
  <si>
    <t>Basic</t>
  </si>
  <si>
    <t>Basic Pay</t>
  </si>
  <si>
    <t>House Rent Allowance</t>
  </si>
  <si>
    <t>Conveyance Allowance</t>
  </si>
  <si>
    <t>Variable Incentive</t>
  </si>
  <si>
    <t>Fixed Allowance</t>
  </si>
  <si>
    <t>Hourly Professional Fees</t>
  </si>
  <si>
    <t>Variable Pay</t>
  </si>
  <si>
    <t>Bonus</t>
  </si>
  <si>
    <t>Reimbursement</t>
  </si>
  <si>
    <t>Gross Pay</t>
  </si>
  <si>
    <t>Income Tax</t>
  </si>
  <si>
    <t>Tax on Income</t>
  </si>
  <si>
    <t>Surcharge</t>
  </si>
  <si>
    <t>Cess</t>
  </si>
  <si>
    <t>Total Income Tax</t>
  </si>
  <si>
    <t>Withheld Salary</t>
  </si>
  <si>
    <t>Business Expense Reimbursements</t>
  </si>
  <si>
    <t>Net Pay</t>
  </si>
  <si>
    <t>Rajesh Gujrati</t>
  </si>
  <si>
    <t>employee</t>
  </si>
  <si>
    <t>Nishu Sharma</t>
  </si>
  <si>
    <t>Melita Dias</t>
  </si>
  <si>
    <t>Asmita Mandan</t>
  </si>
  <si>
    <t>Preety Soni</t>
  </si>
  <si>
    <t>Jillela Abhilash</t>
  </si>
  <si>
    <t>Shefali Mantri</t>
  </si>
  <si>
    <t>Rashi Varshney</t>
  </si>
  <si>
    <t>Shradha Jain</t>
  </si>
  <si>
    <t>Astha Dhanotiya</t>
  </si>
  <si>
    <t>Kritika Dhingra</t>
  </si>
  <si>
    <t>Pragati Sharma</t>
  </si>
  <si>
    <t>Kavita Karnani</t>
  </si>
  <si>
    <t>Tanisha Jaiswal</t>
  </si>
  <si>
    <t>Disha Mandiratta</t>
  </si>
  <si>
    <t>CAS-IH_1116</t>
  </si>
  <si>
    <t>Peeusha Bajaj</t>
  </si>
  <si>
    <t>Shefali Bansal</t>
  </si>
  <si>
    <t>VAIBHAV AGARWAL</t>
  </si>
  <si>
    <t>SHIKHA AGARWAL</t>
  </si>
  <si>
    <t>RUPESH AGRAWAL</t>
  </si>
  <si>
    <t>Deepika Baddam</t>
  </si>
  <si>
    <t>Vandana Mehra</t>
  </si>
  <si>
    <t>Amardeep Kaur</t>
  </si>
  <si>
    <t>Ridhi</t>
  </si>
  <si>
    <t>Akanksha Vyas</t>
  </si>
  <si>
    <t>Sandesh HS</t>
  </si>
  <si>
    <t>Ujjwal</t>
  </si>
  <si>
    <t>Jaya Lahoti</t>
  </si>
  <si>
    <t>Gaganjot Kaur</t>
  </si>
  <si>
    <t>Bhairavi Mistry</t>
  </si>
  <si>
    <t>Robin Sain</t>
  </si>
  <si>
    <t>Jatin Sharma</t>
  </si>
  <si>
    <t>Namya Setia</t>
  </si>
  <si>
    <t>Somya Bajaj</t>
  </si>
  <si>
    <t>Sakshi Mehta</t>
  </si>
  <si>
    <t>Khushboo Soni</t>
  </si>
  <si>
    <t>CAS-IH_1172</t>
  </si>
  <si>
    <t>Payal Deshmukh</t>
  </si>
  <si>
    <t>JYOTI GUPTA</t>
  </si>
  <si>
    <t>contractor</t>
  </si>
  <si>
    <t>Ishita Maheshwari</t>
  </si>
  <si>
    <t>Arya Narayanan</t>
  </si>
  <si>
    <t>CAS-IH_1175</t>
  </si>
  <si>
    <t>Chandan Malpani</t>
  </si>
  <si>
    <t>Gaorav Chauhan</t>
  </si>
  <si>
    <t>Sukhdeep Kaur</t>
  </si>
  <si>
    <t>Kanika Gogia</t>
  </si>
  <si>
    <t>CAS-IH_1106</t>
  </si>
  <si>
    <t>Prasanta Das</t>
  </si>
  <si>
    <t>CAS-IH_1184</t>
  </si>
  <si>
    <t>Mohan Kumar</t>
  </si>
  <si>
    <t>Nikita Shail Shah</t>
  </si>
  <si>
    <t>CAS-IH_1069</t>
  </si>
  <si>
    <t>JASLEEN DASWAL</t>
  </si>
  <si>
    <t>Ayushi Gupta</t>
  </si>
  <si>
    <t>Snehal Kothari</t>
  </si>
  <si>
    <t>CAS-IH_01037</t>
  </si>
  <si>
    <t>Kripika Kher</t>
  </si>
  <si>
    <t>Pinky Sitlani</t>
  </si>
  <si>
    <t>Urvashi Kapur</t>
  </si>
  <si>
    <t>Anand Kumar Reddy</t>
  </si>
  <si>
    <t>Shivani Shah</t>
  </si>
  <si>
    <t>Musku Sreeja Reddy</t>
  </si>
  <si>
    <t>Divya Madnani</t>
  </si>
  <si>
    <t>Muhammad Suhail</t>
  </si>
  <si>
    <t>Farheen Khan</t>
  </si>
  <si>
    <t>Falguni Mandavia</t>
  </si>
  <si>
    <t>Saumil Macwan</t>
  </si>
  <si>
    <t>Seemu Agrawal</t>
  </si>
  <si>
    <t>Kanica Parikh</t>
  </si>
  <si>
    <t>Pranjali Mehta</t>
  </si>
  <si>
    <t>Shikha Sharma</t>
  </si>
  <si>
    <t>Rutu Gandhi</t>
  </si>
  <si>
    <t>Priyam Bhatter</t>
  </si>
  <si>
    <t>Tejas Parmar</t>
  </si>
  <si>
    <t>Ayushi Balyan</t>
  </si>
  <si>
    <t>Teja Rani</t>
  </si>
  <si>
    <t>Scarlett Cardoza</t>
  </si>
  <si>
    <t>Farheen Fatma</t>
  </si>
  <si>
    <t>Megha Joshi</t>
  </si>
  <si>
    <t>Itee Sushman</t>
  </si>
  <si>
    <t>Anushka Gautam</t>
  </si>
  <si>
    <t>Priyanka Manchanda</t>
  </si>
  <si>
    <t>Raj Bhanushali</t>
  </si>
  <si>
    <t>Chhavi Sharma</t>
  </si>
  <si>
    <t>Surbhi Agrawal</t>
  </si>
  <si>
    <t>Harsh Gulwani</t>
  </si>
  <si>
    <t>Kashish Bablani</t>
  </si>
  <si>
    <t>CAS-RT_2395</t>
  </si>
  <si>
    <t>Bhavika Kakkar</t>
  </si>
  <si>
    <t>Amishi Sharma</t>
  </si>
  <si>
    <t>CAS-RT_2398</t>
  </si>
  <si>
    <t>Ashima Aggarwal</t>
  </si>
  <si>
    <t>Simran Singhal</t>
  </si>
  <si>
    <t>Prerna Gauba</t>
  </si>
  <si>
    <t>Richa Agarwal</t>
  </si>
  <si>
    <t>Ankita Solanki</t>
  </si>
  <si>
    <t>CAS-RT_2405</t>
  </si>
  <si>
    <t>Neha Neelak</t>
  </si>
  <si>
    <t>Garima Bhandari</t>
  </si>
  <si>
    <t>Priyanka Puran</t>
  </si>
  <si>
    <t>Jyoti Upadhyay</t>
  </si>
  <si>
    <t>Rajvi Shah</t>
  </si>
  <si>
    <t>Komal Ghai</t>
  </si>
  <si>
    <t>Swati Jaiswal</t>
  </si>
  <si>
    <t>Neha Singh</t>
  </si>
  <si>
    <t>Anu Goyal</t>
  </si>
  <si>
    <t>Sukhmeen Kaur</t>
  </si>
  <si>
    <t>Suhani Bapna</t>
  </si>
  <si>
    <t>Vijet Bhat</t>
  </si>
  <si>
    <t>Aishwarya V</t>
  </si>
  <si>
    <t>Harsh Varshney</t>
  </si>
  <si>
    <t>Navneet Sharma</t>
  </si>
  <si>
    <t>Anjali Jain</t>
  </si>
  <si>
    <t>Twinkle Chauhan</t>
  </si>
  <si>
    <t>Prabhleen Kaur</t>
  </si>
  <si>
    <t>CAS-RT_2424</t>
  </si>
  <si>
    <t>Simran Kaur</t>
  </si>
  <si>
    <t>Priya Sinha</t>
  </si>
  <si>
    <t>Shikha Agrawal</t>
  </si>
  <si>
    <t>ENTER CLIENT BILLING HERE</t>
  </si>
  <si>
    <t>Instructions: Enter billing in USD. INR auto-calculates using conversion rate from Settings. Max 100 clients.</t>
  </si>
  <si>
    <t>Project code from Worksheet</t>
  </si>
  <si>
    <t>S.No</t>
  </si>
  <si>
    <t>Client Name</t>
  </si>
  <si>
    <t>Service(s)</t>
  </si>
  <si>
    <t>Billing USD (Monthly)</t>
  </si>
  <si>
    <t>Billing INR (Auto)</t>
  </si>
  <si>
    <t>Conversion Rate →</t>
  </si>
  <si>
    <t>Project Code</t>
  </si>
  <si>
    <t>Contract Hrs</t>
  </si>
  <si>
    <t># End Clients</t>
  </si>
  <si>
    <t>Firm Status</t>
  </si>
  <si>
    <t>Ammie, Jyoti</t>
  </si>
  <si>
    <t>Acctg, B.Tax, I.Tax, VA</t>
  </si>
  <si>
    <t>CAS 102</t>
  </si>
  <si>
    <t>In Progress</t>
  </si>
  <si>
    <t>CAS 103</t>
  </si>
  <si>
    <t>Active</t>
  </si>
  <si>
    <t>CAS 115</t>
  </si>
  <si>
    <t>SOUTH FLORIDA SECURITY GROUP- Billing</t>
  </si>
  <si>
    <t>CAS 118</t>
  </si>
  <si>
    <t>CAS 123</t>
  </si>
  <si>
    <t>AB CAPSTONE</t>
  </si>
  <si>
    <t>CAS 134</t>
  </si>
  <si>
    <t>jmWILLIAMS, CPA LLP</t>
  </si>
  <si>
    <t>B.Tax, I.Tax</t>
  </si>
  <si>
    <t>CAS 139</t>
  </si>
  <si>
    <t>MARTIN EINSTEIN</t>
  </si>
  <si>
    <t>Ammie, Jyoti, Nikita</t>
  </si>
  <si>
    <t>CAS 144</t>
  </si>
  <si>
    <t>CAS 149</t>
  </si>
  <si>
    <t>Ammie, Nikita</t>
  </si>
  <si>
    <t>Acctg, I.Tax</t>
  </si>
  <si>
    <t>CAS 153</t>
  </si>
  <si>
    <t>TREE OF LIFE FUNDING</t>
  </si>
  <si>
    <t>CAS 161</t>
  </si>
  <si>
    <t>CAS 162</t>
  </si>
  <si>
    <t>Ammie, Jasleen.D, Jyoti</t>
  </si>
  <si>
    <t>Acctg, B.Tax, I.Tax</t>
  </si>
  <si>
    <t>CAS 114</t>
  </si>
  <si>
    <t>ACT NOW FINANCIAL SERVICES</t>
  </si>
  <si>
    <t>CAS 169</t>
  </si>
  <si>
    <t>CAS 170</t>
  </si>
  <si>
    <t>CAS 172</t>
  </si>
  <si>
    <t>CAS 175</t>
  </si>
  <si>
    <t>CAS 178</t>
  </si>
  <si>
    <t>CAS 193</t>
  </si>
  <si>
    <t>CAS 199</t>
  </si>
  <si>
    <t>IAM ACCOUNTING</t>
  </si>
  <si>
    <t>CAS 202</t>
  </si>
  <si>
    <t>CAS 204</t>
  </si>
  <si>
    <t>RTWXXACT</t>
  </si>
  <si>
    <t>CAS 208</t>
  </si>
  <si>
    <t>BORISMTAX INC</t>
  </si>
  <si>
    <t>CAS 214</t>
  </si>
  <si>
    <t>LASTMILE DELIVERY</t>
  </si>
  <si>
    <t>CAS 216</t>
  </si>
  <si>
    <t>CAS 219</t>
  </si>
  <si>
    <t>WEAREQUADRANT</t>
  </si>
  <si>
    <t>Ayushi, Nikita</t>
  </si>
  <si>
    <t>CAS 220</t>
  </si>
  <si>
    <t>CAS 163</t>
  </si>
  <si>
    <t>CAS 222</t>
  </si>
  <si>
    <t>AMI HOLDING</t>
  </si>
  <si>
    <t>Sachi, Vinita</t>
  </si>
  <si>
    <t>FP&amp;A, HR</t>
  </si>
  <si>
    <t>CAS 223</t>
  </si>
  <si>
    <t>Finished</t>
  </si>
  <si>
    <t>CAS 226</t>
  </si>
  <si>
    <t>CAS 229</t>
  </si>
  <si>
    <t>CAS 230</t>
  </si>
  <si>
    <t>CAS 231</t>
  </si>
  <si>
    <t>CAS 234</t>
  </si>
  <si>
    <t>CAS 236</t>
  </si>
  <si>
    <t>CAS 238</t>
  </si>
  <si>
    <t>CAS 240</t>
  </si>
  <si>
    <t>CAS 241</t>
  </si>
  <si>
    <t>CAS 243</t>
  </si>
  <si>
    <t>CAS 246</t>
  </si>
  <si>
    <t>CAS 253</t>
  </si>
  <si>
    <t>TRI SCAPES LLC</t>
  </si>
  <si>
    <t>Ayushi, Prachi</t>
  </si>
  <si>
    <t>CAS 256</t>
  </si>
  <si>
    <t>CAS 257</t>
  </si>
  <si>
    <t>CAS 258</t>
  </si>
  <si>
    <t>CAS 259</t>
  </si>
  <si>
    <t>CAS 261</t>
  </si>
  <si>
    <t>CAS 262</t>
  </si>
  <si>
    <t>CAS 264</t>
  </si>
  <si>
    <t>CAS 266</t>
  </si>
  <si>
    <t>CAS 267</t>
  </si>
  <si>
    <t>CAS 268</t>
  </si>
  <si>
    <t>CAS 265</t>
  </si>
  <si>
    <t>CAS 269</t>
  </si>
  <si>
    <t>Tithi</t>
  </si>
  <si>
    <t>CAS 270</t>
  </si>
  <si>
    <t>FLEMING ACCOUNTING SOLUTIONS</t>
  </si>
  <si>
    <t>Ammie, Jyoti, Snehal</t>
  </si>
  <si>
    <t>CAS 271</t>
  </si>
  <si>
    <t>DEDICATED BOOKS LLC</t>
  </si>
  <si>
    <t>CAS 273</t>
  </si>
  <si>
    <t>CAS 272</t>
  </si>
  <si>
    <t>CAS 260</t>
  </si>
  <si>
    <t>CAS 275</t>
  </si>
  <si>
    <t>CLIENT-SERVICE MAPPING (Seats Allocation)</t>
  </si>
  <si>
    <t>Instructions: Enter which services each client uses and how many seats (FTEs allocated).</t>
  </si>
  <si>
    <t>Service</t>
  </si>
  <si>
    <t>Seats Allocated</t>
  </si>
  <si>
    <t>Status</t>
  </si>
  <si>
    <t>ACTIVE</t>
  </si>
  <si>
    <t>VA</t>
  </si>
  <si>
    <t>LAST MILE DELIVERY GROUP</t>
  </si>
  <si>
    <t>RATHEL'S ACCOUNTING SERVICE, INC</t>
  </si>
  <si>
    <t>EMPLOYEE-CLIENT HOURS MAPPING (AUTO-GENERATED)</t>
  </si>
  <si>
    <t>Formula-driven from ① Timelog Input. Each row = one employee × one client combination with hours &gt; 0.</t>
  </si>
  <si>
    <t>Hours on Client</t>
  </si>
  <si>
    <t>Is Overhead?</t>
  </si>
  <si>
    <t>Emp Hourly Rate (₹) AUTO</t>
  </si>
  <si>
    <t>ANNUAL PERFORMANCE SUMMARY — Last 12 Months (INPUT)</t>
  </si>
  <si>
    <t>Paste your 12-month aggregated data per employee here. GREEN cells = your input. GRAY cells = auto-calculated from your data.</t>
  </si>
  <si>
    <t>Emp Type</t>
  </si>
  <si>
    <t>Total Hours
(12 Months)</t>
  </si>
  <si>
    <t>Billable Hours
(12 Months)</t>
  </si>
  <si>
    <t>Non-Billable
Hours</t>
  </si>
  <si>
    <t>Avg Monthly
Utilization %</t>
  </si>
  <si>
    <t># Clients
Served</t>
  </si>
  <si>
    <t>Avg Client
Satisfaction
(1-5)</t>
  </si>
  <si>
    <t>Revenue Generated
(₹ 12-Month)</t>
  </si>
  <si>
    <t>Revenue/Hour
(₹) AUTO</t>
  </si>
  <si>
    <t># Tasks
Completed</t>
  </si>
  <si>
    <t># Errors/
Rework</t>
  </si>
  <si>
    <t>Accuracy %
AUTO</t>
  </si>
  <si>
    <t>Tenure
(Months)</t>
  </si>
  <si>
    <t>TOTALS</t>
  </si>
  <si>
    <t>CONTROLLER → CPA FIRM MAPPING (INPUT)</t>
  </si>
  <si>
    <t>Paste your controller-to-CPA-firm assignments here. One row = one controller managing one firm's service. Updates Controller Team Analysis automatically.</t>
  </si>
  <si>
    <t>Controller Name</t>
  </si>
  <si>
    <t>CPA Firm Name</t>
  </si>
  <si>
    <t>Service Type</t>
  </si>
  <si>
    <t>Seats</t>
  </si>
  <si>
    <t>Billing USD (Auto)</t>
  </si>
  <si>
    <t>Revenue/Seat (Auto)</t>
  </si>
  <si>
    <t>EMPLOYEE MASTER — Auto-Generated from Timelog + Salary Inputs</t>
  </si>
  <si>
    <t>DO NOT EDIT — This sheet auto-updates when you change Timelog or Salary input sheets</t>
  </si>
  <si>
    <t>Standard Hours</t>
  </si>
  <si>
    <t>Utilization %</t>
  </si>
  <si>
    <t>Gross Pay (₹)</t>
  </si>
  <si>
    <t>Hourly Prof. Fee (₹)</t>
  </si>
  <si>
    <t>Effective Hourly Rate (₹)</t>
  </si>
  <si>
    <t>Cost/Billable Hr (₹)</t>
  </si>
  <si>
    <t>UTILIZATION DASHBOARD — Auto-Calculated</t>
  </si>
  <si>
    <t>All data pulls from Employee Master which pulls from your input sheets</t>
  </si>
  <si>
    <t>SUMMARY BY EMPLOYMENT TYPE</t>
  </si>
  <si>
    <t>Headcount</t>
  </si>
  <si>
    <t>Total Billable Hrs</t>
  </si>
  <si>
    <t>Total Gross Pay (₹)</t>
  </si>
  <si>
    <t>Avg Hrs/Person</t>
  </si>
  <si>
    <t>Avg Pay/Person (₹)</t>
  </si>
  <si>
    <t>Avg Utilization %</t>
  </si>
  <si>
    <t>COST EFFECTIVENESS: IN-HOUSE vs REMOTE</t>
  </si>
  <si>
    <t>Metric</t>
  </si>
  <si>
    <t>In-House</t>
  </si>
  <si>
    <t>Difference</t>
  </si>
  <si>
    <t>Which is Better?</t>
  </si>
  <si>
    <t>Insight</t>
  </si>
  <si>
    <t>Avg Monthly Cost/Person (₹)</t>
  </si>
  <si>
    <t>Lower cost = better value</t>
  </si>
  <si>
    <t>Cost per Billable Hour (₹)</t>
  </si>
  <si>
    <t>Most critical efficiency metric</t>
  </si>
  <si>
    <t>Higher = more productive</t>
  </si>
  <si>
    <t>Avg Billable Hrs/Person</t>
  </si>
  <si>
    <t>More hours = more output</t>
  </si>
  <si>
    <t>CONTROLLER PERFORMANCE — Auto-Calculated</t>
  </si>
  <si>
    <t>Aggregates from Employee Master | Change timelog/salary data → this updates automatically</t>
  </si>
  <si>
    <t>Ctrl Own Total Hrs</t>
  </si>
  <si>
    <t>Ctrl Own Billable Hrs</t>
  </si>
  <si>
    <t>Total Team Cost (₹)</t>
  </si>
  <si>
    <t>Team Utilization %</t>
  </si>
  <si>
    <t># Clients</t>
  </si>
  <si>
    <t>Health Status</t>
  </si>
  <si>
    <t>Director Action</t>
  </si>
  <si>
    <t>Unassigned / Self-Managed</t>
  </si>
  <si>
    <t>UNASSIGNED</t>
  </si>
  <si>
    <t>Assign controllers</t>
  </si>
  <si>
    <t>GRAND TOTAL</t>
  </si>
  <si>
    <t>Reconciliation Check</t>
  </si>
  <si>
    <t>IN-HOUSE &amp; RETAINER CAPACITY REPORT</t>
  </si>
  <si>
    <t>Fixed-Cost Employee Availability &amp; Utilization Analysis</t>
  </si>
  <si>
    <t>CAPACITY SUMMARY</t>
  </si>
  <si>
    <t>Total Employees</t>
  </si>
  <si>
    <t>Standard Hours (Total)</t>
  </si>
  <si>
    <t>Total Hours Worked</t>
  </si>
  <si>
    <t>Non-Billable Hours</t>
  </si>
  <si>
    <t>Available Hours (Unused)</t>
  </si>
  <si>
    <t>Capacity Utilization %</t>
  </si>
  <si>
    <t>Billable Utilization %</t>
  </si>
  <si>
    <t>Total Salary Cost (₹)</t>
  </si>
  <si>
    <t>EMPLOYEE DETAIL</t>
  </si>
  <si>
    <t>Standard Hrs</t>
  </si>
  <si>
    <t>Total Hrs Worked</t>
  </si>
  <si>
    <t>Billable Hrs</t>
  </si>
  <si>
    <t>Non-Billable Hrs</t>
  </si>
  <si>
    <t>Available Hrs</t>
  </si>
  <si>
    <t>Capacity Util %</t>
  </si>
  <si>
    <t>Billable Util %</t>
  </si>
  <si>
    <t>Hourly Cost (₹)</t>
  </si>
  <si>
    <t>DEPARTMENT-WISE CAPACITY BREAKDOWN</t>
  </si>
  <si>
    <t>Employees</t>
  </si>
  <si>
    <t>Total Worked</t>
  </si>
  <si>
    <t>CONTROLLER-WISE CAPACITY BREAKDOWN</t>
  </si>
  <si>
    <t>CONTROLLER TEAM ANALYSIS — 100% Formula-Driven (Auto-updates from Input Sheets)</t>
  </si>
  <si>
    <t>All data auto-calculates from: Employee Master (team composition) | ⑦ Controller-Firm Map (CPA firms &amp; seats) | ③ Billing Input (revenue). Change input data → this sheet updates automatically.</t>
  </si>
  <si>
    <t>Associates</t>
  </si>
  <si>
    <t>Sr.
Associates</t>
  </si>
  <si>
    <t>Asst.
Team Lead</t>
  </si>
  <si>
    <t>Team
Leads</t>
  </si>
  <si>
    <t>Asst.
Managers</t>
  </si>
  <si>
    <t>Managers</t>
  </si>
  <si>
    <t>Sr.
Managers</t>
  </si>
  <si>
    <t>Asst.
Controllers</t>
  </si>
  <si>
    <t>Total
Team</t>
  </si>
  <si>
    <t># CPA Firms
(Assigned)</t>
  </si>
  <si>
    <t># Firm-Service
Combos</t>
  </si>
  <si>
    <t>Total
Seats</t>
  </si>
  <si>
    <t>Team Billable
Hours</t>
  </si>
  <si>
    <t>Team Util %</t>
  </si>
  <si>
    <t>Team Cost
(₹/Month)</t>
  </si>
  <si>
    <t>Billing INR
(Auto)</t>
  </si>
  <si>
    <t>Profit/Loss
(₹)</t>
  </si>
  <si>
    <t>ROI %</t>
  </si>
  <si>
    <t>Avg Hrs/
Person</t>
  </si>
  <si>
    <t>Cost/Billable
Hr (₹)</t>
  </si>
  <si>
    <t>Health
Status</t>
  </si>
  <si>
    <t>TOTAL / AVERAGE</t>
  </si>
  <si>
    <t>SPAN OF CONTROL BENCHMARKS</t>
  </si>
  <si>
    <t>Recommended</t>
  </si>
  <si>
    <t>Current (Auto)</t>
  </si>
  <si>
    <t>Avg Team Size</t>
  </si>
  <si>
    <t>8-12</t>
  </si>
  <si>
    <t>Direct reports per controller</t>
  </si>
  <si>
    <t>Avg # CPA Firms/Controller</t>
  </si>
  <si>
    <t>8-15</t>
  </si>
  <si>
    <t>Assigned firm count</t>
  </si>
  <si>
    <t>Avg Seats/Controller</t>
  </si>
  <si>
    <t>10-20</t>
  </si>
  <si>
    <t>Workload proxy</t>
  </si>
  <si>
    <t>Company Avg Utilization</t>
  </si>
  <si>
    <t>≥75%</t>
  </si>
  <si>
    <t>Billable ÷ available hours</t>
  </si>
  <si>
    <t>Company Avg ROI</t>
  </si>
  <si>
    <t>≥30%</t>
  </si>
  <si>
    <t>Profit ÷ team cost</t>
  </si>
  <si>
    <t>CONTROLLER → CPA FIRM DETAIL (from ⑦ Controller-Firm Map)</t>
  </si>
  <si>
    <t>CPA Firm</t>
  </si>
  <si>
    <t>Billing USD</t>
  </si>
  <si>
    <t>Billing INR</t>
  </si>
  <si>
    <t>Revenue/Seat</t>
  </si>
  <si>
    <t>INCREMENT CALCULATOR v2 — 12-Month Actuals + Future Expectations</t>
  </si>
  <si>
    <t>GRAY = auto from 12-month data  |  YELLOW = Director inputs (rate 1-5)  |  Historical 60% + Future 40% = Total Score → Increment %</t>
  </si>
  <si>
    <t>Avg Utilization
(12M) %</t>
  </si>
  <si>
    <t>Utilization
Score (0-15)</t>
  </si>
  <si>
    <t>Accuracy %
(12M)</t>
  </si>
  <si>
    <t>Quality
Score (0-10)</t>
  </si>
  <si>
    <t>Revenue/Hr
(₹)</t>
  </si>
  <si>
    <t>Productivity
Score (0-10)</t>
  </si>
  <si>
    <t>Client Sat.
(1-5)</t>
  </si>
  <si>
    <t>Client
Score (0-10)</t>
  </si>
  <si>
    <t>Tenure
Score (0-5)</t>
  </si>
  <si>
    <t>Designation
Score (0-10)</t>
  </si>
  <si>
    <t>HISTORICAL
SCORE (0-60)</t>
  </si>
  <si>
    <t>Skill Growth
Potential
(1-5)</t>
  </si>
  <si>
    <t>Skill Growth
Score (0-10)</t>
  </si>
  <si>
    <t>Leadership
Readiness
(1-5)</t>
  </si>
  <si>
    <t>Leadership
Score (0-10)</t>
  </si>
  <si>
    <t>Client Relationship
Strength
(1-5)</t>
  </si>
  <si>
    <t>Client Rel.
Score (0-10)</t>
  </si>
  <si>
    <t>Retention
Risk
(1-5)</t>
  </si>
  <si>
    <t>Retention
Score (0-10)</t>
  </si>
  <si>
    <t>FUTURE
SCORE (0-40)</t>
  </si>
  <si>
    <t>TOTAL
SCORE (0-100)</t>
  </si>
  <si>
    <t>Increment
Slab</t>
  </si>
  <si>
    <t>Current
Gross (₹)</t>
  </si>
  <si>
    <t>New Gross (₹)</t>
  </si>
  <si>
    <t>Monthly
Increase (₹)</t>
  </si>
  <si>
    <t>Annual
Impact (₹)</t>
  </si>
  <si>
    <t>TOTALS / AVERAGES</t>
  </si>
  <si>
    <t>INCREMENT DISTRIBUTION SUMMARY</t>
  </si>
  <si>
    <t># Employees</t>
  </si>
  <si>
    <t>Avg Score</t>
  </si>
  <si>
    <t>Avg Increment %</t>
  </si>
  <si>
    <t>Total Monthly Cost (₹)</t>
  </si>
  <si>
    <t>Total Annual Cost (₹)</t>
  </si>
  <si>
    <t>Exceptional (85-100)</t>
  </si>
  <si>
    <t>High Performer (70-84)</t>
  </si>
  <si>
    <t>Meets Expectations (50-69)</t>
  </si>
  <si>
    <t>Below Expectations (30-49)</t>
  </si>
  <si>
    <t>Underperformer (&lt;30)</t>
  </si>
  <si>
    <t>SERVICE-WISE ANALYSIS — Auto-Calculated</t>
  </si>
  <si>
    <t>Total Seats</t>
  </si>
  <si>
    <t># Active Clients</t>
  </si>
  <si>
    <t>Est. Revenue (₹)</t>
  </si>
  <si>
    <t>Est. Cost (₹)</t>
  </si>
  <si>
    <t>Est. Profit (₹)</t>
  </si>
  <si>
    <t>Margin %</t>
  </si>
  <si>
    <t>Strategic Priority</t>
  </si>
  <si>
    <t>DIRECTOR'S LIVE COMMAND CENTER</t>
  </si>
  <si>
    <t>ALL DATA IS LIVE — Updates instantly when you change any input sheet</t>
  </si>
  <si>
    <t>KEY METRICS AT A GLANCE</t>
  </si>
  <si>
    <t>Total Monthly Payroll (₹)</t>
  </si>
  <si>
    <t>Total Billable Hours</t>
  </si>
  <si>
    <t>Overall Utilization %</t>
  </si>
  <si>
    <t>Total Monthly Billing (₹)</t>
  </si>
  <si>
    <t>Avg Cost/Billable Hour (₹)</t>
  </si>
  <si>
    <t>In-House Headcount</t>
  </si>
  <si>
    <t>Remote Headcount</t>
  </si>
  <si>
    <t>Projected Annual Increment Cost (₹)</t>
  </si>
  <si>
    <t>CONTROLLER HEALTH ALERTS (Auto from Controller KPIs)</t>
  </si>
  <si>
    <t>Team Size</t>
  </si>
  <si>
    <t>Cost/Hr (₹)</t>
  </si>
  <si>
    <t>Action</t>
  </si>
  <si>
    <t>CLIENT PROFITABILITY — Accurate (Employee Hours × Hourly Rate)</t>
  </si>
  <si>
    <t>Cost = SUM of (each employee's hours on client × their ₹/hr rate) | Hourly Rate = Gross Pay ÷ 176</t>
  </si>
  <si>
    <t>Rank</t>
  </si>
  <si>
    <t>Direct Labor Cost (₹)</t>
  </si>
  <si>
    <t># Employees Working</t>
  </si>
  <si>
    <t>Total Hours Consumed</t>
  </si>
  <si>
    <t>Profit/Loss (₹)</t>
  </si>
  <si>
    <t>Revenue/Hour (₹)</t>
  </si>
  <si>
    <t>Cost/Hour (₹)</t>
  </si>
  <si>
    <t>Flag</t>
  </si>
  <si>
    <t>HICO TAX CONSULTING</t>
  </si>
  <si>
    <t>JANELLE MONTGOMERY CPA</t>
  </si>
  <si>
    <t>LEGACY CONSULTING SERVICES, LLC</t>
  </si>
  <si>
    <t>PROFITABILITY DISTRIBUTION</t>
  </si>
  <si>
    <t>Category</t>
  </si>
  <si>
    <t>Total Billing (₹)</t>
  </si>
  <si>
    <t>Total Cost (₹)</t>
  </si>
  <si>
    <t>PROFITABLE (&gt;30%)</t>
  </si>
  <si>
    <t>MODERATE (10-30%)</t>
  </si>
  <si>
    <t>BREAK-EVEN (0-10%)</t>
  </si>
  <si>
    <t>LOSS-MAKING (&lt;0%)</t>
  </si>
  <si>
    <t>NO BILLING</t>
  </si>
  <si>
    <t>OVERHEAD DEPARTMENTS — HR, Marketing, IT (Non-Billable)</t>
  </si>
  <si>
    <t>These costs are NOT allocated to clients. Shown separately for P&amp;L and margin analysis.</t>
  </si>
  <si>
    <t>1. OVERHEAD COST SUMMARY</t>
  </si>
  <si>
    <t>Avg Cost/Person (₹)</t>
  </si>
  <si>
    <t>% of Total Payroll</t>
  </si>
  <si>
    <t>TOTAL OVERHEAD</t>
  </si>
  <si>
    <t>2. TRUE COMPANY P&amp;L VIEW (Revenue vs Direct Cost vs Overhead)</t>
  </si>
  <si>
    <t>Line Item</t>
  </si>
  <si>
    <t>Amount (₹)</t>
  </si>
  <si>
    <t>% of Revenue</t>
  </si>
  <si>
    <t>Total Revenue (Billing)</t>
  </si>
  <si>
    <t>From all clients</t>
  </si>
  <si>
    <t>(-) Direct Labor Cost</t>
  </si>
  <si>
    <t>Employees working on clients</t>
  </si>
  <si>
    <t>(=) Gross Profit</t>
  </si>
  <si>
    <t>Revenue after direct labor</t>
  </si>
  <si>
    <t>(-) Overhead: HR</t>
  </si>
  <si>
    <t>HR department cost</t>
  </si>
  <si>
    <t>(-) Overhead: IT</t>
  </si>
  <si>
    <t>IT department cost</t>
  </si>
  <si>
    <t>(-) Overhead: Marketing</t>
  </si>
  <si>
    <t>Marketing department cost</t>
  </si>
  <si>
    <t>(-) Controller Salaries</t>
  </si>
  <si>
    <t>Controllers + Sr Controllers + COO</t>
  </si>
  <si>
    <t>(-) Internal Project Cost (CLOUDIT)</t>
  </si>
  <si>
    <t>Hours spent on internal work</t>
  </si>
  <si>
    <t>(=) Net Operating Profit</t>
  </si>
  <si>
    <t>After all overheads</t>
  </si>
  <si>
    <t>3. OVERHEAD EMPLOYEE DETAILS</t>
  </si>
  <si>
    <t>Type</t>
  </si>
  <si>
    <t>Hours Logged</t>
  </si>
  <si>
    <t>Working On</t>
  </si>
  <si>
    <t>Internal / Admin</t>
  </si>
  <si>
    <t>L&amp;D</t>
  </si>
  <si>
    <t>96.45%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</si>
</sst>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\$#,##0"/>
  </numFmts>
  <fonts count="31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  <charset val="1"/>
    </font>
    <font>
      <i/>
      <sz val="10"/>
      <color rgb="FF666666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2E75B6"/>
      <name val="Arial"/>
      <family val="2"/>
      <charset val="1"/>
    </font>
    <font>
      <b/>
      <sz val="10"/>
      <name val="Arial"/>
      <family val="2"/>
      <charset val="1"/>
    </font>
    <font>
      <b/>
      <sz val="14"/>
      <color rgb="FF4CAF50"/>
      <name val="Arial"/>
      <family val="2"/>
      <charset val="1"/>
    </font>
    <font>
      <sz val="10"/>
      <color rgb="FF006100"/>
      <name val="Arial"/>
      <family val="2"/>
      <charset val="1"/>
    </font>
    <font>
      <i/>
      <sz val="9"/>
      <color rgb="FF666666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b/>
      <sz val="14"/>
      <color rgb="FF1F4E79"/>
      <name val="Arial"/>
      <family val="2"/>
    </font>
    <font>
      <i/>
      <sz val="10"/>
      <color rgb="FF666666"/>
      <name val="Arial"/>
      <family val="2"/>
    </font>
    <font>
      <b/>
      <sz val="11"/>
      <color rgb="FF1F4E79"/>
      <name val="Arial"/>
      <family val="2"/>
    </font>
    <font>
      <b/>
      <sz val="10"/>
      <color rgb="FFFFFFFF"/>
      <name val="Arial"/>
      <family val="2"/>
    </font>
    <font>
      <b/>
      <sz val="14"/>
      <color rgb="FF0D47A1"/>
      <name val="Arial"/>
      <family val="2"/>
      <charset val="1"/>
    </font>
    <font>
      <b/>
      <sz val="14"/>
      <color rgb="FFFF6D00"/>
      <name val="Arial"/>
      <family val="2"/>
      <charset val="1"/>
    </font>
    <font>
      <sz val="10"/>
      <color rgb="FF9C6500"/>
      <name val="Arial"/>
      <family val="2"/>
      <charset val="1"/>
    </font>
    <font>
      <b/>
      <sz val="11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color rgb="FF808080"/>
      <name val="Calibri"/>
      <family val="2"/>
    </font>
    <font>
      <sz val="11"/>
      <color rgb="FFFF0000"/>
      <name val="Calibri"/>
      <family val="2"/>
    </font>
    <font>
      <b/>
      <sz val="14"/>
      <color rgb="FF000080"/>
      <name val="Calibri"/>
      <family val="2"/>
    </font>
    <font>
      <b/>
      <sz val="11"/>
      <color rgb="FF008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0D47A1"/>
      </patternFill>
    </fill>
    <fill>
      <patternFill patternType="solid">
        <fgColor rgb="FF2E75B6"/>
        <bgColor rgb="FF4472C4"/>
      </patternFill>
    </fill>
    <fill>
      <patternFill patternType="solid">
        <fgColor rgb="FFFFFF00"/>
        <bgColor rgb="FFFFC000"/>
      </patternFill>
    </fill>
    <fill>
      <patternFill patternType="solid">
        <fgColor rgb="FFC6EFCE"/>
        <bgColor rgb="FFB2DFDB"/>
      </patternFill>
    </fill>
    <fill>
      <patternFill patternType="solid">
        <fgColor rgb="FFFFE0B2"/>
        <bgColor rgb="FFFFCDD2"/>
      </patternFill>
    </fill>
    <fill>
      <patternFill patternType="solid">
        <fgColor rgb="FFFFC7CE"/>
        <bgColor rgb="FFFFCDD2"/>
      </patternFill>
    </fill>
    <fill>
      <patternFill patternType="solid">
        <fgColor rgb="FFFFF9C4"/>
        <bgColor rgb="FFFFF3E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rgb="FF1B5E20"/>
      </patternFill>
    </fill>
    <fill>
      <patternFill patternType="solid">
        <fgColor rgb="FFF5F5F5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FFCDD2"/>
        <bgColor rgb="FFFFC7CE"/>
      </patternFill>
    </fill>
    <fill>
      <patternFill patternType="solid">
        <fgColor rgb="FFFFF3E0"/>
        <bgColor rgb="FFF5F5F5"/>
      </patternFill>
    </fill>
    <fill>
      <patternFill patternType="solid">
        <fgColor rgb="FFD9E2F3"/>
        <bgColor rgb="FFE3F2FD"/>
      </patternFill>
    </fill>
    <fill>
      <patternFill patternType="solid">
        <fgColor rgb="FF0D47A1"/>
        <bgColor rgb="FF1F4E79"/>
      </patternFill>
    </fill>
    <fill>
      <patternFill patternType="solid">
        <fgColor rgb="FF1565C0"/>
        <bgColor rgb="FF2E75B6"/>
      </patternFill>
    </fill>
    <fill>
      <patternFill patternType="solid">
        <fgColor rgb="FF00695C"/>
        <bgColor rgb="FF1B5E20"/>
      </patternFill>
    </fill>
    <fill>
      <patternFill patternType="solid">
        <fgColor rgb="FFE65100"/>
        <bgColor rgb="FFFF6D00"/>
      </patternFill>
    </fill>
    <fill>
      <patternFill patternType="solid">
        <fgColor rgb="FFBBDEFB"/>
        <bgColor rgb="FFB2DFDB"/>
      </patternFill>
    </fill>
    <fill>
      <patternFill patternType="solid">
        <fgColor rgb="FFB2DFDB"/>
        <bgColor rgb="FFBBDEFB"/>
      </patternFill>
    </fill>
    <fill>
      <patternFill patternType="solid">
        <fgColor rgb="FF1B5E20"/>
        <bgColor rgb="FF006100"/>
      </patternFill>
    </fill>
    <fill>
      <patternFill patternType="solid">
        <fgColor rgb="FFE1BEE7"/>
        <bgColor rgb="FFCCCCCC"/>
      </patternFill>
    </fill>
    <fill>
      <patternFill patternType="solid">
        <fgColor rgb="FF7B1FA2"/>
        <bgColor rgb="FF7030A0"/>
      </patternFill>
    </fill>
    <fill>
      <patternFill patternType="solid">
        <fgColor rgb="FFE3F2FD"/>
        <bgColor rgb="FFE6F2FF"/>
      </patternFill>
    </fill>
    <fill>
      <patternFill patternType="solid">
        <fgColor rgb="FFE6F2FF"/>
        <bgColor rgb="FF000000"/>
      </patternFill>
    </fill>
    <fill>
      <patternFill patternType="solid">
        <fgColor rgb="FFCCCCCC"/>
        <bgColor rgb="FF000000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thick">
        <color rgb="FF000080"/>
      </left>
      <right style="medium">
        <color rgb="FF000080"/>
      </right>
      <top style="thick">
        <color rgb="FF000080"/>
      </top>
      <bottom style="thick">
        <color rgb="FF000080"/>
      </bottom>
      <diagonal/>
    </border>
    <border>
      <left style="medium">
        <color rgb="FF000080"/>
      </left>
      <right style="medium">
        <color rgb="FF000080"/>
      </right>
      <top style="thick">
        <color rgb="FF000080"/>
      </top>
      <bottom style="thick">
        <color rgb="FF000080"/>
      </bottom>
      <diagonal/>
    </border>
    <border>
      <left style="medium">
        <color rgb="FF4472C4"/>
      </left>
      <right style="medium">
        <color rgb="FF4472C4"/>
      </right>
      <top style="thick">
        <color rgb="FF000080"/>
      </top>
      <bottom style="thick">
        <color rgb="FF000080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double">
        <color auto="1"/>
      </top>
      <bottom/>
      <diagonal/>
    </border>
    <border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6" fillId="0" borderId="0" xfId="0" applyFont="1"/>
    <xf numFmtId="0" fontId="11" fillId="13" borderId="0" xfId="0" applyFont="1" applyFill="1"/>
    <xf numFmtId="0" fontId="10" fillId="0" borderId="0" xfId="0" applyFont="1"/>
    <xf numFmtId="0" fontId="2" fillId="8" borderId="0" xfId="0" applyFont="1" applyFill="1"/>
    <xf numFmtId="0" fontId="2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5" fillId="4" borderId="1" xfId="0" applyFont="1" applyFill="1" applyBorder="1"/>
    <xf numFmtId="9" fontId="5" fillId="4" borderId="1" xfId="0" applyNumberFormat="1" applyFont="1" applyFill="1" applyBorder="1"/>
    <xf numFmtId="9" fontId="4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5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7" fillId="0" borderId="1" xfId="0" applyFont="1" applyBorder="1"/>
    <xf numFmtId="0" fontId="7" fillId="6" borderId="1" xfId="0" applyFont="1" applyFill="1" applyBorder="1"/>
    <xf numFmtId="0" fontId="7" fillId="7" borderId="1" xfId="0" applyFont="1" applyFill="1" applyBorder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9" fillId="9" borderId="6" xfId="0" applyFont="1" applyFill="1" applyBorder="1" applyAlignment="1">
      <alignment vertical="center" wrapText="1"/>
    </xf>
    <xf numFmtId="0" fontId="0" fillId="9" borderId="6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3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9" fillId="9" borderId="6" xfId="0" applyNumberFormat="1" applyFont="1" applyFill="1" applyBorder="1" applyAlignment="1">
      <alignment vertical="center" wrapText="1"/>
    </xf>
    <xf numFmtId="3" fontId="4" fillId="11" borderId="1" xfId="0" applyNumberFormat="1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8" xfId="0" applyFont="1" applyBorder="1"/>
    <xf numFmtId="0" fontId="0" fillId="0" borderId="8" xfId="0" applyBorder="1"/>
    <xf numFmtId="3" fontId="7" fillId="0" borderId="8" xfId="0" applyNumberFormat="1" applyFont="1" applyBorder="1"/>
    <xf numFmtId="0" fontId="4" fillId="0" borderId="7" xfId="0" applyFont="1" applyBorder="1" applyAlignment="1">
      <alignment horizontal="left" vertical="center" wrapText="1"/>
    </xf>
    <xf numFmtId="4" fontId="4" fillId="12" borderId="7" xfId="0" applyNumberFormat="1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165" fontId="9" fillId="9" borderId="6" xfId="0" applyNumberFormat="1" applyFont="1" applyFill="1" applyBorder="1" applyAlignment="1">
      <alignment vertical="center" wrapText="1"/>
    </xf>
    <xf numFmtId="165" fontId="4" fillId="11" borderId="1" xfId="0" applyNumberFormat="1" applyFont="1" applyFill="1" applyBorder="1" applyAlignment="1">
      <alignment vertical="center" wrapText="1"/>
    </xf>
    <xf numFmtId="164" fontId="4" fillId="11" borderId="1" xfId="0" applyNumberFormat="1" applyFont="1" applyFill="1" applyBorder="1" applyAlignment="1">
      <alignment vertical="center" wrapText="1"/>
    </xf>
    <xf numFmtId="166" fontId="9" fillId="9" borderId="6" xfId="0" applyNumberFormat="1" applyFont="1" applyFill="1" applyBorder="1" applyAlignment="1">
      <alignment vertical="center" wrapText="1"/>
    </xf>
    <xf numFmtId="164" fontId="7" fillId="0" borderId="8" xfId="0" applyNumberFormat="1" applyFont="1" applyBorder="1"/>
    <xf numFmtId="167" fontId="4" fillId="11" borderId="1" xfId="0" applyNumberFormat="1" applyFont="1" applyFill="1" applyBorder="1" applyAlignment="1">
      <alignment vertical="center" wrapText="1"/>
    </xf>
    <xf numFmtId="165" fontId="7" fillId="0" borderId="8" xfId="0" applyNumberFormat="1" applyFont="1" applyBorder="1"/>
    <xf numFmtId="167" fontId="7" fillId="0" borderId="8" xfId="0" applyNumberFormat="1" applyFont="1" applyBorder="1"/>
    <xf numFmtId="0" fontId="4" fillId="11" borderId="1" xfId="0" applyFont="1" applyFill="1" applyBorder="1"/>
    <xf numFmtId="4" fontId="4" fillId="11" borderId="1" xfId="0" applyNumberFormat="1" applyFont="1" applyFill="1" applyBorder="1"/>
    <xf numFmtId="164" fontId="4" fillId="11" borderId="1" xfId="0" applyNumberFormat="1" applyFont="1" applyFill="1" applyBorder="1"/>
    <xf numFmtId="3" fontId="4" fillId="11" borderId="1" xfId="0" applyNumberFormat="1" applyFont="1" applyFill="1" applyBorder="1"/>
    <xf numFmtId="165" fontId="4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left" vertical="center" wrapText="1"/>
    </xf>
    <xf numFmtId="3" fontId="12" fillId="12" borderId="7" xfId="0" applyNumberFormat="1" applyFont="1" applyFill="1" applyBorder="1" applyAlignment="1">
      <alignment horizontal="center" vertical="center" wrapText="1"/>
    </xf>
    <xf numFmtId="4" fontId="12" fillId="12" borderId="7" xfId="0" applyNumberFormat="1" applyFont="1" applyFill="1" applyBorder="1" applyAlignment="1">
      <alignment horizontal="center" vertical="center" wrapText="1"/>
    </xf>
    <xf numFmtId="164" fontId="12" fillId="12" borderId="7" xfId="0" applyNumberFormat="1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center" vertical="center" wrapText="1"/>
    </xf>
    <xf numFmtId="4" fontId="12" fillId="14" borderId="7" xfId="0" applyNumberFormat="1" applyFont="1" applyFill="1" applyBorder="1" applyAlignment="1">
      <alignment horizontal="center" vertical="center" wrapText="1"/>
    </xf>
    <xf numFmtId="3" fontId="12" fillId="14" borderId="7" xfId="0" applyNumberFormat="1" applyFont="1" applyFill="1" applyBorder="1" applyAlignment="1">
      <alignment horizontal="center" vertical="center" wrapText="1"/>
    </xf>
    <xf numFmtId="164" fontId="12" fillId="14" borderId="7" xfId="0" applyNumberFormat="1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left" vertical="center" wrapText="1"/>
    </xf>
    <xf numFmtId="0" fontId="4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15" borderId="7" xfId="0" applyFont="1" applyFill="1" applyBorder="1" applyAlignment="1">
      <alignment horizontal="center" vertical="center" wrapText="1"/>
    </xf>
    <xf numFmtId="0" fontId="14" fillId="15" borderId="7" xfId="0" applyFont="1" applyFill="1" applyBorder="1" applyAlignment="1">
      <alignment horizontal="left" vertical="center" wrapText="1"/>
    </xf>
    <xf numFmtId="4" fontId="14" fillId="15" borderId="7" xfId="0" applyNumberFormat="1" applyFont="1" applyFill="1" applyBorder="1" applyAlignment="1">
      <alignment horizontal="center" vertical="center" wrapText="1"/>
    </xf>
    <xf numFmtId="3" fontId="14" fillId="15" borderId="7" xfId="0" applyNumberFormat="1" applyFont="1" applyFill="1" applyBorder="1" applyAlignment="1">
      <alignment horizontal="center" vertical="center" wrapText="1"/>
    </xf>
    <xf numFmtId="164" fontId="14" fillId="15" borderId="7" xfId="0" applyNumberFormat="1" applyFont="1" applyFill="1" applyBorder="1" applyAlignment="1">
      <alignment horizontal="center" vertical="center" wrapText="1"/>
    </xf>
    <xf numFmtId="0" fontId="15" fillId="0" borderId="0" xfId="0" applyFont="1"/>
    <xf numFmtId="4" fontId="15" fillId="0" borderId="0" xfId="0" applyNumberFormat="1" applyFont="1"/>
    <xf numFmtId="0" fontId="19" fillId="2" borderId="7" xfId="0" applyFont="1" applyFill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3" fontId="14" fillId="12" borderId="7" xfId="0" applyNumberFormat="1" applyFont="1" applyFill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center" vertical="center" wrapText="1"/>
    </xf>
    <xf numFmtId="4" fontId="14" fillId="12" borderId="7" xfId="0" applyNumberFormat="1" applyFont="1" applyFill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164" fontId="14" fillId="12" borderId="7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3" fontId="12" fillId="11" borderId="7" xfId="0" applyNumberFormat="1" applyFont="1" applyFill="1" applyBorder="1" applyAlignment="1">
      <alignment horizontal="center" vertical="center" wrapText="1"/>
    </xf>
    <xf numFmtId="3" fontId="12" fillId="20" borderId="7" xfId="0" applyNumberFormat="1" applyFont="1" applyFill="1" applyBorder="1" applyAlignment="1">
      <alignment horizontal="center" vertical="center" wrapText="1"/>
    </xf>
    <xf numFmtId="3" fontId="12" fillId="21" borderId="7" xfId="0" applyNumberFormat="1" applyFont="1" applyFill="1" applyBorder="1" applyAlignment="1">
      <alignment horizontal="center" vertical="center" wrapText="1"/>
    </xf>
    <xf numFmtId="165" fontId="12" fillId="21" borderId="7" xfId="0" applyNumberFormat="1" applyFont="1" applyFill="1" applyBorder="1" applyAlignment="1">
      <alignment horizontal="center" vertical="center" wrapText="1"/>
    </xf>
    <xf numFmtId="165" fontId="12" fillId="0" borderId="7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vertical="center" wrapText="1"/>
    </xf>
    <xf numFmtId="3" fontId="7" fillId="20" borderId="1" xfId="0" applyNumberFormat="1" applyFont="1" applyFill="1" applyBorder="1" applyAlignment="1">
      <alignment vertical="center" wrapText="1"/>
    </xf>
    <xf numFmtId="3" fontId="4" fillId="21" borderId="1" xfId="0" applyNumberFormat="1" applyFont="1" applyFill="1" applyBorder="1" applyAlignment="1">
      <alignment vertical="center" wrapText="1"/>
    </xf>
    <xf numFmtId="165" fontId="4" fillId="21" borderId="1" xfId="0" applyNumberFormat="1" applyFont="1" applyFill="1" applyBorder="1" applyAlignment="1">
      <alignment vertical="center" wrapText="1"/>
    </xf>
    <xf numFmtId="0" fontId="0" fillId="11" borderId="1" xfId="0" applyFill="1" applyBorder="1"/>
    <xf numFmtId="0" fontId="3" fillId="22" borderId="1" xfId="0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vertical="center" wrapText="1"/>
    </xf>
    <xf numFmtId="1" fontId="4" fillId="11" borderId="1" xfId="0" applyNumberFormat="1" applyFont="1" applyFill="1" applyBorder="1" applyAlignment="1">
      <alignment vertical="center" wrapText="1"/>
    </xf>
    <xf numFmtId="3" fontId="4" fillId="20" borderId="1" xfId="0" applyNumberFormat="1" applyFont="1" applyFill="1" applyBorder="1" applyAlignment="1">
      <alignment vertical="center" wrapText="1"/>
    </xf>
    <xf numFmtId="166" fontId="4" fillId="20" borderId="1" xfId="0" applyNumberFormat="1" applyFont="1" applyFill="1" applyBorder="1" applyAlignment="1">
      <alignment vertical="center" wrapText="1"/>
    </xf>
    <xf numFmtId="166" fontId="7" fillId="20" borderId="1" xfId="0" applyNumberFormat="1" applyFont="1" applyFill="1" applyBorder="1" applyAlignment="1">
      <alignment vertical="center" wrapText="1"/>
    </xf>
    <xf numFmtId="1" fontId="22" fillId="8" borderId="9" xfId="0" applyNumberFormat="1" applyFont="1" applyFill="1" applyBorder="1" applyAlignment="1">
      <alignment vertical="center" wrapText="1"/>
    </xf>
    <xf numFmtId="166" fontId="7" fillId="6" borderId="1" xfId="0" applyNumberFormat="1" applyFont="1" applyFill="1" applyBorder="1" applyAlignment="1">
      <alignment vertical="center" wrapText="1"/>
    </xf>
    <xf numFmtId="166" fontId="23" fillId="5" borderId="1" xfId="0" applyNumberFormat="1" applyFont="1" applyFill="1" applyBorder="1" applyAlignment="1">
      <alignment vertical="center" wrapText="1"/>
    </xf>
    <xf numFmtId="166" fontId="7" fillId="0" borderId="8" xfId="0" applyNumberFormat="1" applyFont="1" applyBorder="1"/>
    <xf numFmtId="0" fontId="4" fillId="5" borderId="1" xfId="0" applyFont="1" applyFill="1" applyBorder="1" applyAlignment="1">
      <alignment vertical="center" wrapText="1"/>
    </xf>
    <xf numFmtId="166" fontId="4" fillId="0" borderId="1" xfId="0" applyNumberFormat="1" applyFont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3" fontId="12" fillId="5" borderId="7" xfId="0" applyNumberFormat="1" applyFont="1" applyFill="1" applyBorder="1" applyAlignment="1">
      <alignment horizontal="center" vertical="center" wrapText="1"/>
    </xf>
    <xf numFmtId="3" fontId="12" fillId="7" borderId="7" xfId="0" applyNumberFormat="1" applyFont="1" applyFill="1" applyBorder="1" applyAlignment="1">
      <alignment horizontal="center" vertical="center" wrapText="1"/>
    </xf>
    <xf numFmtId="165" fontId="4" fillId="11" borderId="1" xfId="0" applyNumberFormat="1" applyFont="1" applyFill="1" applyBorder="1"/>
    <xf numFmtId="0" fontId="4" fillId="8" borderId="1" xfId="0" applyFont="1" applyFill="1" applyBorder="1" applyAlignment="1">
      <alignment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vertical="center" wrapText="1"/>
    </xf>
    <xf numFmtId="3" fontId="7" fillId="0" borderId="0" xfId="0" applyNumberFormat="1" applyFont="1"/>
    <xf numFmtId="164" fontId="7" fillId="0" borderId="0" xfId="0" applyNumberFormat="1" applyFont="1"/>
    <xf numFmtId="0" fontId="4" fillId="14" borderId="1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3" fontId="7" fillId="25" borderId="1" xfId="0" applyNumberFormat="1" applyFont="1" applyFill="1" applyBorder="1" applyAlignment="1">
      <alignment vertical="center" wrapText="1"/>
    </xf>
    <xf numFmtId="3" fontId="7" fillId="5" borderId="1" xfId="0" applyNumberFormat="1" applyFont="1" applyFill="1" applyBorder="1" applyAlignment="1">
      <alignment vertical="center" wrapText="1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25" fillId="26" borderId="2" xfId="0" applyNumberFormat="1" applyFont="1" applyFill="1" applyBorder="1"/>
    <xf numFmtId="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29" fillId="27" borderId="3" xfId="0" applyFont="1" applyFill="1" applyBorder="1" applyAlignment="1">
      <alignment horizontal="center"/>
    </xf>
    <xf numFmtId="0" fontId="25" fillId="27" borderId="4" xfId="0" applyFont="1" applyFill="1" applyBorder="1" applyAlignment="1">
      <alignment horizontal="center"/>
    </xf>
    <xf numFmtId="4" fontId="25" fillId="27" borderId="4" xfId="0" applyNumberFormat="1" applyFont="1" applyFill="1" applyBorder="1" applyAlignment="1">
      <alignment horizontal="center"/>
    </xf>
    <xf numFmtId="4" fontId="30" fillId="27" borderId="4" xfId="0" applyNumberFormat="1" applyFont="1" applyFill="1" applyBorder="1" applyAlignment="1">
      <alignment horizontal="center"/>
    </xf>
    <xf numFmtId="0" fontId="30" fillId="27" borderId="4" xfId="0" applyFont="1" applyFill="1" applyBorder="1" applyAlignment="1">
      <alignment horizontal="center"/>
    </xf>
    <xf numFmtId="4" fontId="25" fillId="26" borderId="5" xfId="0" applyNumberFormat="1" applyFont="1" applyFill="1" applyBorder="1"/>
    <xf numFmtId="0" fontId="1" fillId="0" borderId="0" xfId="0" applyFont="1"/>
    <xf numFmtId="0" fontId="8" fillId="0" borderId="0" xfId="0" applyFont="1"/>
    <xf numFmtId="0" fontId="2" fillId="8" borderId="0" xfId="0" applyFont="1" applyFill="1"/>
    <xf numFmtId="0" fontId="10" fillId="0" borderId="0" xfId="0" applyFont="1"/>
    <xf numFmtId="0" fontId="11" fillId="13" borderId="0" xfId="0" applyFont="1" applyFill="1"/>
    <xf numFmtId="0" fontId="18" fillId="0" borderId="0" xfId="0" applyFont="1"/>
    <xf numFmtId="0" fontId="16" fillId="0" borderId="0" xfId="0" applyFont="1"/>
    <xf numFmtId="0" fontId="17" fillId="0" borderId="0" xfId="0" applyFont="1"/>
    <xf numFmtId="0" fontId="18" fillId="0" borderId="7" xfId="0" applyFont="1" applyBorder="1" applyAlignment="1">
      <alignment horizontal="left" vertical="center" wrapText="1"/>
    </xf>
    <xf numFmtId="0" fontId="20" fillId="0" borderId="0" xfId="0" applyFont="1"/>
    <xf numFmtId="0" fontId="6" fillId="0" borderId="0" xfId="0" applyFont="1"/>
    <xf numFmtId="0" fontId="21" fillId="0" borderId="0" xfId="0" applyFont="1"/>
    <xf numFmtId="0" fontId="24" fillId="0" borderId="0" xfId="0" applyFont="1"/>
    <xf numFmtId="0" fontId="2" fillId="2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5F5F5"/>
      <rgbColor rgb="FF800000"/>
      <rgbColor rgb="FF008000"/>
      <rgbColor rgb="FF000080"/>
      <rgbColor rgb="FF9C6500"/>
      <rgbColor rgb="FF7B1FA2"/>
      <rgbColor rgb="FF00695C"/>
      <rgbColor rgb="FFBBBBBB"/>
      <rgbColor rgb="FF808080"/>
      <rgbColor rgb="FFCCCCCC"/>
      <rgbColor rgb="FF9C27B0"/>
      <rgbColor rgb="FFFFF9C4"/>
      <rgbColor rgb="FFE3F2FD"/>
      <rgbColor rgb="FF660066"/>
      <rgbColor rgb="FFFFCDD2"/>
      <rgbColor rgb="FF1565C0"/>
      <rgbColor rgb="FFBBDEFB"/>
      <rgbColor rgb="FF000080"/>
      <rgbColor rgb="FFFF00FF"/>
      <rgbColor rgb="FFE8F5E9"/>
      <rgbColor rgb="FF00FFFF"/>
      <rgbColor rgb="FF800080"/>
      <rgbColor rgb="FF800000"/>
      <rgbColor rgb="FF2E75B6"/>
      <rgbColor rgb="FF0000FF"/>
      <rgbColor rgb="FF00CCFF"/>
      <rgbColor rgb="FFE6F2FF"/>
      <rgbColor rgb="FFC6EFCE"/>
      <rgbColor rgb="FFFFF3E0"/>
      <rgbColor rgb="FFB2DFDB"/>
      <rgbColor rgb="FFFFC7CE"/>
      <rgbColor rgb="FFE1BEE7"/>
      <rgbColor rgb="FFFFE0B2"/>
      <rgbColor rgb="FF4472C4"/>
      <rgbColor rgb="FF00B050"/>
      <rgbColor rgb="FFF2F2F2"/>
      <rgbColor rgb="FFFFC000"/>
      <rgbColor rgb="FFF9A825"/>
      <rgbColor rgb="FFFF6D00"/>
      <rgbColor rgb="FF666666"/>
      <rgbColor rgb="FFD9E2F3"/>
      <rgbColor rgb="FF0D47A1"/>
      <rgbColor rgb="FF4CAF50"/>
      <rgbColor rgb="FF006100"/>
      <rgbColor rgb="FF2E7D32"/>
      <rgbColor rgb="FFE65100"/>
      <rgbColor rgb="FF7030A0"/>
      <rgbColor rgb="FF1F4E7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35"/>
  <sheetViews>
    <sheetView zoomScaleNormal="100" workbookViewId="0">
      <selection activeCell="B8" sqref="B8"/>
    </sheetView>
  </sheetViews>
  <sheetFormatPr baseColWidth="10" defaultColWidth="8.6640625" defaultRowHeight="15" customHeight="1" x14ac:dyDescent="0.2"/>
  <cols>
    <col min="1" max="1" width="35" customWidth="1"/>
    <col min="2" max="2" width="16" customWidth="1"/>
    <col min="3" max="3" width="14" customWidth="1"/>
    <col min="4" max="4" width="35" customWidth="1"/>
  </cols>
  <sheetData>
    <row r="1" spans="1:5" ht="17.25" customHeight="1" x14ac:dyDescent="0.2">
      <c r="A1" s="143" t="s">
        <v>0</v>
      </c>
      <c r="B1" s="143"/>
      <c r="C1" s="143"/>
      <c r="D1" s="143"/>
      <c r="E1" s="143"/>
    </row>
    <row r="2" spans="1:5" ht="15" customHeight="1" x14ac:dyDescent="0.2">
      <c r="A2" s="5" t="s">
        <v>1</v>
      </c>
    </row>
    <row r="4" spans="1:5" ht="15" customHeight="1" x14ac:dyDescent="0.2">
      <c r="A4" s="6" t="s">
        <v>2</v>
      </c>
      <c r="B4" s="6"/>
      <c r="C4" s="6"/>
      <c r="D4" s="6"/>
    </row>
    <row r="5" spans="1:5" ht="15" customHeight="1" x14ac:dyDescent="0.2">
      <c r="A5" s="7" t="s">
        <v>3</v>
      </c>
      <c r="B5" s="7" t="s">
        <v>4</v>
      </c>
      <c r="C5" s="7" t="s">
        <v>5</v>
      </c>
      <c r="D5" s="7" t="s">
        <v>6</v>
      </c>
    </row>
    <row r="6" spans="1:5" ht="15" customHeight="1" x14ac:dyDescent="0.2">
      <c r="A6" s="8" t="s">
        <v>7</v>
      </c>
      <c r="B6" s="9">
        <v>160</v>
      </c>
      <c r="C6" s="8" t="s">
        <v>8</v>
      </c>
      <c r="D6" s="8" t="s">
        <v>9</v>
      </c>
    </row>
    <row r="7" spans="1:5" ht="15" customHeight="1" x14ac:dyDescent="0.2">
      <c r="A7" s="8" t="s">
        <v>10</v>
      </c>
      <c r="B7" s="9">
        <v>20</v>
      </c>
      <c r="C7" s="8" t="s">
        <v>11</v>
      </c>
      <c r="D7" s="8"/>
    </row>
    <row r="8" spans="1:5" ht="15" customHeight="1" x14ac:dyDescent="0.2">
      <c r="A8" s="8" t="s">
        <v>12</v>
      </c>
      <c r="B8" s="9">
        <v>85</v>
      </c>
      <c r="C8" s="8" t="s">
        <v>13</v>
      </c>
      <c r="D8" s="8" t="s">
        <v>14</v>
      </c>
    </row>
    <row r="9" spans="1:5" ht="15" customHeight="1" x14ac:dyDescent="0.2">
      <c r="A9" s="8" t="s">
        <v>15</v>
      </c>
      <c r="B9" s="9" t="s">
        <v>16</v>
      </c>
      <c r="C9" s="8"/>
      <c r="D9" s="8" t="s">
        <v>17</v>
      </c>
    </row>
    <row r="10" spans="1:5" ht="15" customHeight="1" x14ac:dyDescent="0.2">
      <c r="A10" s="8"/>
      <c r="B10" s="8"/>
      <c r="C10" s="8"/>
      <c r="D10" s="8"/>
    </row>
    <row r="11" spans="1:5" ht="15" customHeight="1" x14ac:dyDescent="0.2">
      <c r="A11" s="6" t="s">
        <v>18</v>
      </c>
      <c r="B11" s="6"/>
      <c r="C11" s="6"/>
      <c r="D11" s="6"/>
    </row>
    <row r="12" spans="1:5" ht="15" customHeight="1" x14ac:dyDescent="0.2">
      <c r="A12" s="7" t="s">
        <v>3</v>
      </c>
      <c r="B12" s="7" t="s">
        <v>4</v>
      </c>
      <c r="C12" s="7" t="s">
        <v>5</v>
      </c>
      <c r="D12" s="7" t="s">
        <v>6</v>
      </c>
    </row>
    <row r="13" spans="1:5" ht="15" customHeight="1" x14ac:dyDescent="0.2">
      <c r="A13" s="8" t="s">
        <v>19</v>
      </c>
      <c r="B13" s="10">
        <v>0.85</v>
      </c>
      <c r="C13" s="8" t="s">
        <v>20</v>
      </c>
      <c r="D13" s="8" t="s">
        <v>21</v>
      </c>
    </row>
    <row r="14" spans="1:5" ht="15" customHeight="1" x14ac:dyDescent="0.2">
      <c r="A14" s="8" t="s">
        <v>22</v>
      </c>
      <c r="B14" s="10">
        <v>0.65</v>
      </c>
      <c r="C14" s="8" t="s">
        <v>20</v>
      </c>
      <c r="D14" s="8" t="s">
        <v>23</v>
      </c>
    </row>
    <row r="15" spans="1:5" ht="15" customHeight="1" x14ac:dyDescent="0.2">
      <c r="A15" s="8" t="s">
        <v>24</v>
      </c>
      <c r="B15" s="10">
        <v>0.5</v>
      </c>
      <c r="C15" s="8" t="s">
        <v>20</v>
      </c>
      <c r="D15" s="8" t="s">
        <v>25</v>
      </c>
    </row>
    <row r="16" spans="1:5" ht="15" customHeight="1" x14ac:dyDescent="0.2">
      <c r="A16" s="8"/>
      <c r="B16" s="8"/>
      <c r="C16" s="8"/>
      <c r="D16" s="8"/>
    </row>
    <row r="17" spans="1:4" ht="15" customHeight="1" x14ac:dyDescent="0.2">
      <c r="A17" s="6" t="s">
        <v>26</v>
      </c>
      <c r="B17" s="6"/>
      <c r="C17" s="6"/>
      <c r="D17" s="6"/>
    </row>
    <row r="18" spans="1:4" ht="15" customHeight="1" x14ac:dyDescent="0.2">
      <c r="A18" s="7" t="s">
        <v>27</v>
      </c>
      <c r="B18" s="7" t="s">
        <v>28</v>
      </c>
      <c r="C18" s="7" t="s">
        <v>29</v>
      </c>
      <c r="D18" s="7" t="s">
        <v>6</v>
      </c>
    </row>
    <row r="19" spans="1:4" ht="15" customHeight="1" x14ac:dyDescent="0.2">
      <c r="A19" s="8" t="s">
        <v>30</v>
      </c>
      <c r="B19" s="10">
        <v>0.25</v>
      </c>
      <c r="C19" s="8">
        <v>25</v>
      </c>
      <c r="D19" s="8" t="s">
        <v>31</v>
      </c>
    </row>
    <row r="20" spans="1:4" ht="15" customHeight="1" x14ac:dyDescent="0.2">
      <c r="A20" s="8" t="s">
        <v>32</v>
      </c>
      <c r="B20" s="10">
        <v>0.2</v>
      </c>
      <c r="C20" s="8">
        <v>20</v>
      </c>
      <c r="D20" s="8" t="s">
        <v>33</v>
      </c>
    </row>
    <row r="21" spans="1:4" ht="15" customHeight="1" x14ac:dyDescent="0.2">
      <c r="A21" s="8" t="s">
        <v>34</v>
      </c>
      <c r="B21" s="10">
        <v>0.15</v>
      </c>
      <c r="C21" s="8">
        <v>15</v>
      </c>
      <c r="D21" s="8" t="s">
        <v>35</v>
      </c>
    </row>
    <row r="22" spans="1:4" ht="15" customHeight="1" x14ac:dyDescent="0.2">
      <c r="A22" s="8" t="s">
        <v>36</v>
      </c>
      <c r="B22" s="10">
        <v>0.15</v>
      </c>
      <c r="C22" s="8">
        <v>15</v>
      </c>
      <c r="D22" s="8" t="s">
        <v>37</v>
      </c>
    </row>
    <row r="23" spans="1:4" ht="15" customHeight="1" x14ac:dyDescent="0.2">
      <c r="A23" s="8" t="s">
        <v>38</v>
      </c>
      <c r="B23" s="10">
        <v>0.15</v>
      </c>
      <c r="C23" s="8">
        <v>15</v>
      </c>
      <c r="D23" s="8" t="s">
        <v>39</v>
      </c>
    </row>
    <row r="24" spans="1:4" ht="15" customHeight="1" x14ac:dyDescent="0.2">
      <c r="A24" s="8" t="s">
        <v>40</v>
      </c>
      <c r="B24" s="10">
        <v>0.1</v>
      </c>
      <c r="C24" s="8">
        <v>10</v>
      </c>
      <c r="D24" s="8" t="s">
        <v>41</v>
      </c>
    </row>
    <row r="25" spans="1:4" ht="15" customHeight="1" x14ac:dyDescent="0.2">
      <c r="A25" s="8" t="s">
        <v>42</v>
      </c>
      <c r="B25" s="11">
        <f>SUM(B19:B24)</f>
        <v>1</v>
      </c>
      <c r="C25" s="8">
        <f>SUM(C19:C24)</f>
        <v>100</v>
      </c>
      <c r="D25" s="8" t="s">
        <v>43</v>
      </c>
    </row>
    <row r="27" spans="1:4" ht="15" customHeight="1" x14ac:dyDescent="0.2">
      <c r="A27" s="1" t="s">
        <v>44</v>
      </c>
    </row>
    <row r="28" spans="1:4" ht="15" customHeight="1" x14ac:dyDescent="0.2">
      <c r="A28" s="12" t="s">
        <v>45</v>
      </c>
      <c r="B28" s="12" t="s">
        <v>46</v>
      </c>
      <c r="C28" s="12" t="s">
        <v>47</v>
      </c>
    </row>
    <row r="29" spans="1:4" ht="15" customHeight="1" x14ac:dyDescent="0.2">
      <c r="A29" s="13" t="s">
        <v>48</v>
      </c>
      <c r="B29" t="s">
        <v>49</v>
      </c>
    </row>
    <row r="31" spans="1:4" ht="15" customHeight="1" x14ac:dyDescent="0.2">
      <c r="A31" s="14" t="s">
        <v>50</v>
      </c>
      <c r="B31" s="15">
        <v>0.17499999999999999</v>
      </c>
      <c r="C31" s="16" t="s">
        <v>51</v>
      </c>
    </row>
    <row r="32" spans="1:4" ht="15" customHeight="1" x14ac:dyDescent="0.2">
      <c r="A32" s="17" t="s">
        <v>52</v>
      </c>
      <c r="B32" s="15">
        <v>0.12</v>
      </c>
      <c r="C32" s="16" t="s">
        <v>53</v>
      </c>
    </row>
    <row r="33" spans="1:3" ht="15" customHeight="1" x14ac:dyDescent="0.2">
      <c r="A33" s="18" t="s">
        <v>54</v>
      </c>
      <c r="B33" s="15">
        <v>7.4999999999999997E-2</v>
      </c>
      <c r="C33" s="16" t="s">
        <v>55</v>
      </c>
    </row>
    <row r="34" spans="1:3" ht="15" customHeight="1" x14ac:dyDescent="0.2">
      <c r="A34" s="17" t="s">
        <v>56</v>
      </c>
      <c r="B34" s="15">
        <v>0.03</v>
      </c>
      <c r="C34" s="16" t="s">
        <v>57</v>
      </c>
    </row>
    <row r="35" spans="1:3" ht="15" customHeight="1" x14ac:dyDescent="0.2">
      <c r="A35" s="19" t="s">
        <v>58</v>
      </c>
      <c r="B35" s="15">
        <v>0</v>
      </c>
      <c r="C35" s="16" t="s">
        <v>59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CD203"/>
  <sheetViews>
    <sheetView topLeftCell="A131" zoomScaleNormal="100" workbookViewId="0">
      <selection activeCell="CD4" sqref="CD4:CD108"/>
    </sheetView>
  </sheetViews>
  <sheetFormatPr baseColWidth="10" defaultColWidth="8.6640625" defaultRowHeight="15" customHeight="1" x14ac:dyDescent="0.2"/>
  <cols>
    <col min="1" max="1" width="6" customWidth="1"/>
    <col min="2" max="2" width="18" customWidth="1"/>
    <col min="3" max="5" width="16" customWidth="1"/>
    <col min="6" max="6" width="14" customWidth="1"/>
    <col min="7" max="7" width="18" customWidth="1"/>
    <col min="8" max="8" width="24" customWidth="1"/>
    <col min="9" max="9" width="10" customWidth="1"/>
    <col min="10" max="12" width="12" customWidth="1"/>
    <col min="13" max="13" width="14" customWidth="1"/>
    <col min="14" max="16" width="12" customWidth="1"/>
  </cols>
  <sheetData>
    <row r="1" spans="1:82" ht="17.25" customHeight="1" x14ac:dyDescent="0.2">
      <c r="A1" s="144" t="s">
        <v>60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</row>
    <row r="2" spans="1:82" ht="15" customHeight="1" x14ac:dyDescent="0.2">
      <c r="A2" s="145" t="s">
        <v>61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</row>
    <row r="3" spans="1:82" ht="34.5" customHeight="1" x14ac:dyDescent="0.2">
      <c r="A3" s="129" t="s">
        <v>62</v>
      </c>
      <c r="B3" s="129" t="s">
        <v>63</v>
      </c>
      <c r="C3" s="129" t="s">
        <v>64</v>
      </c>
      <c r="D3" s="129" t="s">
        <v>65</v>
      </c>
      <c r="E3" s="129" t="s">
        <v>66</v>
      </c>
      <c r="F3" s="129" t="s">
        <v>67</v>
      </c>
      <c r="G3" s="130" t="s">
        <v>68</v>
      </c>
      <c r="H3" s="130" t="s">
        <v>69</v>
      </c>
      <c r="I3" s="130" t="s">
        <v>70</v>
      </c>
      <c r="J3" s="129" t="s">
        <v>71</v>
      </c>
      <c r="K3" s="130" t="s">
        <v>72</v>
      </c>
      <c r="L3" s="130" t="s">
        <v>34</v>
      </c>
      <c r="M3" s="129" t="s">
        <v>73</v>
      </c>
      <c r="N3" s="129" t="s">
        <v>74</v>
      </c>
      <c r="O3" s="129" t="s">
        <v>75</v>
      </c>
      <c r="P3" s="129" t="s">
        <v>76</v>
      </c>
      <c r="Q3" s="130" t="s">
        <v>77</v>
      </c>
      <c r="R3" s="130" t="s">
        <v>78</v>
      </c>
      <c r="S3" s="130" t="s">
        <v>79</v>
      </c>
      <c r="T3" s="130" t="s">
        <v>80</v>
      </c>
      <c r="U3" s="130" t="s">
        <v>81</v>
      </c>
      <c r="V3" s="130" t="s">
        <v>82</v>
      </c>
      <c r="W3" s="130" t="s">
        <v>83</v>
      </c>
      <c r="X3" s="130" t="s">
        <v>84</v>
      </c>
      <c r="Y3" s="130" t="s">
        <v>85</v>
      </c>
      <c r="Z3" s="130" t="s">
        <v>86</v>
      </c>
      <c r="AA3" s="130" t="s">
        <v>87</v>
      </c>
      <c r="AB3" s="130" t="s">
        <v>88</v>
      </c>
      <c r="AC3" s="130" t="s">
        <v>89</v>
      </c>
      <c r="AD3" s="130" t="s">
        <v>90</v>
      </c>
      <c r="AE3" s="130" t="s">
        <v>91</v>
      </c>
      <c r="AF3" s="130" t="s">
        <v>92</v>
      </c>
      <c r="AG3" s="130" t="s">
        <v>93</v>
      </c>
      <c r="AH3" s="130" t="s">
        <v>94</v>
      </c>
      <c r="AI3" s="130" t="s">
        <v>95</v>
      </c>
      <c r="AJ3" s="130" t="s">
        <v>96</v>
      </c>
      <c r="AK3" s="130" t="s">
        <v>97</v>
      </c>
      <c r="AL3" s="130" t="s">
        <v>98</v>
      </c>
      <c r="AM3" s="130" t="s">
        <v>99</v>
      </c>
      <c r="AN3" s="130" t="s">
        <v>100</v>
      </c>
      <c r="AO3" s="130" t="s">
        <v>101</v>
      </c>
      <c r="AP3" s="130" t="s">
        <v>102</v>
      </c>
      <c r="AQ3" s="130" t="s">
        <v>103</v>
      </c>
      <c r="AR3" s="130" t="s">
        <v>104</v>
      </c>
      <c r="AS3" s="130" t="s">
        <v>105</v>
      </c>
      <c r="AT3" s="130" t="s">
        <v>106</v>
      </c>
      <c r="AU3" s="130" t="s">
        <v>107</v>
      </c>
      <c r="AV3" s="130" t="s">
        <v>108</v>
      </c>
      <c r="AW3" s="130" t="s">
        <v>109</v>
      </c>
      <c r="AX3" s="130" t="s">
        <v>110</v>
      </c>
      <c r="AY3" s="130" t="s">
        <v>111</v>
      </c>
      <c r="AZ3" s="130" t="s">
        <v>112</v>
      </c>
      <c r="BA3" s="130" t="s">
        <v>113</v>
      </c>
      <c r="BB3" s="130" t="s">
        <v>114</v>
      </c>
      <c r="BC3" s="130" t="s">
        <v>115</v>
      </c>
      <c r="BD3" s="130" t="s">
        <v>116</v>
      </c>
      <c r="BE3" s="130" t="s">
        <v>117</v>
      </c>
      <c r="BF3" s="130" t="s">
        <v>118</v>
      </c>
      <c r="BG3" s="130" t="s">
        <v>119</v>
      </c>
      <c r="BH3" s="130" t="s">
        <v>120</v>
      </c>
      <c r="BI3" s="130" t="s">
        <v>121</v>
      </c>
      <c r="BJ3" s="130" t="s">
        <v>122</v>
      </c>
      <c r="BK3" s="130" t="s">
        <v>123</v>
      </c>
      <c r="BL3" s="130" t="s">
        <v>124</v>
      </c>
      <c r="BM3" s="130" t="s">
        <v>125</v>
      </c>
      <c r="BN3" s="130" t="s">
        <v>126</v>
      </c>
      <c r="BO3" s="130" t="s">
        <v>127</v>
      </c>
      <c r="BP3" s="130" t="s">
        <v>128</v>
      </c>
      <c r="BQ3" s="130" t="s">
        <v>129</v>
      </c>
      <c r="BR3" s="130" t="s">
        <v>130</v>
      </c>
      <c r="BS3" s="130" t="s">
        <v>131</v>
      </c>
      <c r="BT3" s="130" t="s">
        <v>132</v>
      </c>
      <c r="BU3" s="130" t="s">
        <v>133</v>
      </c>
      <c r="BV3" s="130" t="s">
        <v>134</v>
      </c>
      <c r="BW3" s="130" t="s">
        <v>135</v>
      </c>
      <c r="BX3" s="130" t="s">
        <v>136</v>
      </c>
      <c r="BY3" s="130" t="s">
        <v>137</v>
      </c>
      <c r="BZ3" s="130" t="s">
        <v>138</v>
      </c>
      <c r="CA3" s="130" t="s">
        <v>139</v>
      </c>
      <c r="CB3" s="130" t="s">
        <v>140</v>
      </c>
      <c r="CC3" s="130" t="s">
        <v>141</v>
      </c>
      <c r="CD3" s="131" t="s">
        <v>142</v>
      </c>
    </row>
    <row r="4" spans="1:82" ht="15" customHeight="1" x14ac:dyDescent="0.2">
      <c r="A4" s="20">
        <v>1</v>
      </c>
      <c r="B4" s="20" t="s">
        <v>143</v>
      </c>
      <c r="C4" s="20" t="s">
        <v>144</v>
      </c>
      <c r="D4" s="20" t="s">
        <v>145</v>
      </c>
      <c r="E4" s="20" t="s">
        <v>145</v>
      </c>
      <c r="F4" s="20" t="s">
        <v>146</v>
      </c>
      <c r="G4" s="21" t="s">
        <v>147</v>
      </c>
      <c r="H4" s="21" t="s">
        <v>148</v>
      </c>
      <c r="I4" s="21">
        <v>113.42</v>
      </c>
      <c r="J4" s="20">
        <v>113.42</v>
      </c>
      <c r="K4" s="21">
        <v>113.42</v>
      </c>
      <c r="L4" s="132" t="s">
        <v>149</v>
      </c>
      <c r="M4" s="20">
        <v>111.38333333333</v>
      </c>
      <c r="N4" s="20">
        <v>2.0366666666666999</v>
      </c>
      <c r="O4" s="133" t="s">
        <v>150</v>
      </c>
      <c r="P4" s="20" t="s">
        <v>185</v>
      </c>
      <c r="Q4" s="21"/>
      <c r="R4" s="21">
        <v>21.5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>
        <v>5.84</v>
      </c>
      <c r="AJ4" s="21"/>
      <c r="AK4" s="21"/>
      <c r="AL4" s="21"/>
      <c r="AM4" s="21"/>
      <c r="AN4" s="21"/>
      <c r="AO4" s="21"/>
      <c r="AP4" s="21"/>
      <c r="AQ4" s="21"/>
      <c r="AR4" s="21">
        <v>86.08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131">
        <v>113.42</v>
      </c>
    </row>
    <row r="5" spans="1:82" ht="15" customHeight="1" x14ac:dyDescent="0.2">
      <c r="A5" s="20">
        <v>2</v>
      </c>
      <c r="B5" s="20" t="s">
        <v>152</v>
      </c>
      <c r="C5" s="20" t="s">
        <v>153</v>
      </c>
      <c r="D5" s="20" t="s">
        <v>154</v>
      </c>
      <c r="E5" s="20" t="s">
        <v>145</v>
      </c>
      <c r="F5" s="20" t="s">
        <v>146</v>
      </c>
      <c r="G5" s="21" t="s">
        <v>147</v>
      </c>
      <c r="H5" s="21" t="s">
        <v>148</v>
      </c>
      <c r="I5" s="21">
        <v>156.75</v>
      </c>
      <c r="J5" s="20">
        <v>156.75</v>
      </c>
      <c r="K5" s="21">
        <v>156.75</v>
      </c>
      <c r="L5" s="132" t="s">
        <v>149</v>
      </c>
      <c r="M5" s="20">
        <v>152.16666666667001</v>
      </c>
      <c r="N5" s="20">
        <v>4.5833333333333002</v>
      </c>
      <c r="O5" s="133" t="s">
        <v>155</v>
      </c>
      <c r="P5" s="20" t="s">
        <v>185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>
        <v>156.75</v>
      </c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131">
        <v>156.75</v>
      </c>
    </row>
    <row r="6" spans="1:82" ht="15" customHeight="1" x14ac:dyDescent="0.2">
      <c r="A6" s="20">
        <v>3</v>
      </c>
      <c r="B6" s="20" t="s">
        <v>156</v>
      </c>
      <c r="C6" s="20" t="s">
        <v>157</v>
      </c>
      <c r="D6" s="20" t="s">
        <v>154</v>
      </c>
      <c r="E6" s="20" t="s">
        <v>145</v>
      </c>
      <c r="F6" s="20" t="s">
        <v>146</v>
      </c>
      <c r="G6" s="21" t="s">
        <v>158</v>
      </c>
      <c r="H6" s="21" t="s">
        <v>148</v>
      </c>
      <c r="I6" s="21">
        <v>125.58</v>
      </c>
      <c r="J6" s="20">
        <v>125.58</v>
      </c>
      <c r="K6" s="21">
        <v>125.58</v>
      </c>
      <c r="L6" s="132" t="s">
        <v>149</v>
      </c>
      <c r="M6" s="20"/>
      <c r="N6" s="20"/>
      <c r="O6" s="134" t="s">
        <v>159</v>
      </c>
      <c r="P6" s="20" t="s">
        <v>185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>
        <v>69.58</v>
      </c>
      <c r="AD6" s="21"/>
      <c r="AE6" s="21"/>
      <c r="AF6" s="21"/>
      <c r="AG6" s="21"/>
      <c r="AH6" s="21"/>
      <c r="AI6" s="21">
        <v>16.61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>
        <v>3.82</v>
      </c>
      <c r="AU6" s="21"/>
      <c r="AV6" s="21"/>
      <c r="AW6" s="21"/>
      <c r="AX6" s="21"/>
      <c r="AY6" s="21">
        <v>27.4</v>
      </c>
      <c r="AZ6" s="21"/>
      <c r="BA6" s="21">
        <v>8.17</v>
      </c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131">
        <v>125.58</v>
      </c>
    </row>
    <row r="7" spans="1:82" ht="15" customHeight="1" x14ac:dyDescent="0.2">
      <c r="A7" s="20">
        <v>4</v>
      </c>
      <c r="B7" s="20" t="s">
        <v>160</v>
      </c>
      <c r="C7" s="20" t="s">
        <v>161</v>
      </c>
      <c r="D7" s="20" t="s">
        <v>145</v>
      </c>
      <c r="E7" s="20" t="s">
        <v>145</v>
      </c>
      <c r="F7" s="20" t="s">
        <v>146</v>
      </c>
      <c r="G7" s="21" t="s">
        <v>162</v>
      </c>
      <c r="H7" s="21" t="s">
        <v>148</v>
      </c>
      <c r="I7" s="21">
        <v>157.41999999999999</v>
      </c>
      <c r="J7" s="20">
        <v>157.41999999999999</v>
      </c>
      <c r="K7" s="21">
        <v>157.41999999999999</v>
      </c>
      <c r="L7" s="132" t="s">
        <v>149</v>
      </c>
      <c r="M7" s="20">
        <v>130.46666666666999</v>
      </c>
      <c r="N7" s="20">
        <v>26.953333333332999</v>
      </c>
      <c r="O7" s="135" t="s">
        <v>163</v>
      </c>
      <c r="P7" s="20" t="s">
        <v>185</v>
      </c>
      <c r="Q7" s="21"/>
      <c r="R7" s="21"/>
      <c r="S7" s="21"/>
      <c r="T7" s="21"/>
      <c r="U7" s="21"/>
      <c r="V7" s="21"/>
      <c r="W7" s="21"/>
      <c r="X7" s="21"/>
      <c r="Y7" s="21">
        <v>4.5</v>
      </c>
      <c r="Z7" s="21"/>
      <c r="AA7" s="21"/>
      <c r="AB7" s="21"/>
      <c r="AC7" s="21">
        <v>31.67</v>
      </c>
      <c r="AD7" s="21">
        <v>9.5</v>
      </c>
      <c r="AE7" s="21"/>
      <c r="AF7" s="21"/>
      <c r="AG7" s="21"/>
      <c r="AH7" s="21"/>
      <c r="AI7" s="21">
        <v>19.5</v>
      </c>
      <c r="AJ7" s="21"/>
      <c r="AK7" s="21"/>
      <c r="AL7" s="21"/>
      <c r="AM7" s="21"/>
      <c r="AN7" s="21"/>
      <c r="AO7" s="21"/>
      <c r="AP7" s="21"/>
      <c r="AQ7" s="21">
        <v>6</v>
      </c>
      <c r="AR7" s="21"/>
      <c r="AS7" s="21"/>
      <c r="AT7" s="21">
        <v>19.5</v>
      </c>
      <c r="AU7" s="21"/>
      <c r="AV7" s="21"/>
      <c r="AW7" s="21"/>
      <c r="AX7" s="21"/>
      <c r="AY7" s="21">
        <v>6</v>
      </c>
      <c r="AZ7" s="21"/>
      <c r="BA7" s="21">
        <v>0.5</v>
      </c>
      <c r="BB7" s="21"/>
      <c r="BC7" s="21"/>
      <c r="BD7" s="21"/>
      <c r="BE7" s="21"/>
      <c r="BF7" s="21"/>
      <c r="BG7" s="21">
        <v>2</v>
      </c>
      <c r="BH7" s="21"/>
      <c r="BI7" s="21"/>
      <c r="BJ7" s="21"/>
      <c r="BK7" s="21"/>
      <c r="BL7" s="21"/>
      <c r="BM7" s="21"/>
      <c r="BN7" s="21"/>
      <c r="BO7" s="21">
        <v>5</v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>
        <v>53.25</v>
      </c>
      <c r="CA7" s="21"/>
      <c r="CB7" s="21"/>
      <c r="CC7" s="21"/>
      <c r="CD7" s="131">
        <v>157.41999999999999</v>
      </c>
    </row>
    <row r="8" spans="1:82" ht="15" customHeight="1" x14ac:dyDescent="0.2">
      <c r="A8" s="20">
        <v>5</v>
      </c>
      <c r="B8" s="20" t="s">
        <v>164</v>
      </c>
      <c r="C8" s="20" t="s">
        <v>165</v>
      </c>
      <c r="D8" s="20" t="s">
        <v>154</v>
      </c>
      <c r="E8" s="20" t="s">
        <v>145</v>
      </c>
      <c r="F8" s="20" t="s">
        <v>146</v>
      </c>
      <c r="G8" s="21" t="s">
        <v>147</v>
      </c>
      <c r="H8" s="21" t="s">
        <v>148</v>
      </c>
      <c r="I8" s="21">
        <v>147.41</v>
      </c>
      <c r="J8" s="20">
        <v>147.41</v>
      </c>
      <c r="K8" s="21">
        <v>147.41</v>
      </c>
      <c r="L8" s="132" t="s">
        <v>149</v>
      </c>
      <c r="M8" s="20"/>
      <c r="N8" s="20"/>
      <c r="O8" s="134" t="s">
        <v>159</v>
      </c>
      <c r="P8" s="20" t="s">
        <v>185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>
        <v>5.92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>
        <v>141.49</v>
      </c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131">
        <v>147.41</v>
      </c>
    </row>
    <row r="9" spans="1:82" ht="15" customHeight="1" x14ac:dyDescent="0.2">
      <c r="A9" s="20">
        <v>6</v>
      </c>
      <c r="B9" s="20" t="s">
        <v>166</v>
      </c>
      <c r="C9" s="20" t="s">
        <v>167</v>
      </c>
      <c r="D9" s="20" t="s">
        <v>154</v>
      </c>
      <c r="E9" s="20" t="s">
        <v>145</v>
      </c>
      <c r="F9" s="20" t="s">
        <v>146</v>
      </c>
      <c r="G9" s="21" t="s">
        <v>147</v>
      </c>
      <c r="H9" s="21" t="s">
        <v>148</v>
      </c>
      <c r="I9" s="21">
        <v>166</v>
      </c>
      <c r="J9" s="20">
        <v>166</v>
      </c>
      <c r="K9" s="21">
        <v>166</v>
      </c>
      <c r="L9" s="132" t="s">
        <v>149</v>
      </c>
      <c r="M9" s="20"/>
      <c r="N9" s="20"/>
      <c r="O9" s="134" t="s">
        <v>159</v>
      </c>
      <c r="P9" s="20" t="s">
        <v>185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>
        <v>43.5</v>
      </c>
      <c r="AC9" s="21">
        <v>122.5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131">
        <v>166</v>
      </c>
    </row>
    <row r="10" spans="1:82" ht="15" customHeight="1" x14ac:dyDescent="0.2">
      <c r="A10" s="20">
        <v>7</v>
      </c>
      <c r="B10" s="20" t="s">
        <v>168</v>
      </c>
      <c r="C10" s="20" t="s">
        <v>169</v>
      </c>
      <c r="D10" s="20" t="s">
        <v>154</v>
      </c>
      <c r="E10" s="20" t="s">
        <v>145</v>
      </c>
      <c r="F10" s="20" t="s">
        <v>170</v>
      </c>
      <c r="G10" s="21" t="s">
        <v>147</v>
      </c>
      <c r="H10" s="21" t="s">
        <v>148</v>
      </c>
      <c r="I10" s="21">
        <v>141.24</v>
      </c>
      <c r="J10" s="20">
        <v>141.24</v>
      </c>
      <c r="K10" s="21">
        <v>141.24</v>
      </c>
      <c r="L10" s="132" t="s">
        <v>149</v>
      </c>
      <c r="M10" s="20"/>
      <c r="N10" s="20"/>
      <c r="O10" s="134" t="s">
        <v>159</v>
      </c>
      <c r="P10" s="20" t="s">
        <v>151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>
        <v>1</v>
      </c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>
        <v>140.24</v>
      </c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131">
        <v>141.24</v>
      </c>
    </row>
    <row r="11" spans="1:82" ht="15" customHeight="1" x14ac:dyDescent="0.2">
      <c r="A11" s="20">
        <v>8</v>
      </c>
      <c r="B11" s="20" t="s">
        <v>171</v>
      </c>
      <c r="C11" s="20" t="s">
        <v>172</v>
      </c>
      <c r="D11" s="20" t="s">
        <v>154</v>
      </c>
      <c r="E11" s="20" t="s">
        <v>145</v>
      </c>
      <c r="F11" s="20" t="s">
        <v>170</v>
      </c>
      <c r="G11" s="21" t="s">
        <v>147</v>
      </c>
      <c r="H11" s="21" t="s">
        <v>148</v>
      </c>
      <c r="I11" s="21">
        <v>157.75</v>
      </c>
      <c r="J11" s="20">
        <v>157.75</v>
      </c>
      <c r="K11" s="21">
        <v>157.75</v>
      </c>
      <c r="L11" s="132" t="s">
        <v>149</v>
      </c>
      <c r="M11" s="20"/>
      <c r="N11" s="20"/>
      <c r="O11" s="134" t="s">
        <v>159</v>
      </c>
      <c r="P11" s="20" t="s">
        <v>185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>
        <v>2</v>
      </c>
      <c r="AJ11" s="21"/>
      <c r="AK11" s="21"/>
      <c r="AL11" s="21"/>
      <c r="AM11" s="21"/>
      <c r="AN11" s="21"/>
      <c r="AO11" s="21"/>
      <c r="AP11" s="21"/>
      <c r="AQ11" s="21">
        <v>73</v>
      </c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>
        <v>82.75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131">
        <v>157.75</v>
      </c>
    </row>
    <row r="12" spans="1:82" ht="15" customHeight="1" x14ac:dyDescent="0.2">
      <c r="A12" s="20">
        <v>9</v>
      </c>
      <c r="B12" s="20" t="s">
        <v>173</v>
      </c>
      <c r="C12" s="20" t="s">
        <v>174</v>
      </c>
      <c r="D12" s="20" t="s">
        <v>154</v>
      </c>
      <c r="E12" s="20" t="s">
        <v>145</v>
      </c>
      <c r="F12" s="20" t="s">
        <v>175</v>
      </c>
      <c r="G12" s="21" t="s">
        <v>176</v>
      </c>
      <c r="H12" s="21" t="s">
        <v>148</v>
      </c>
      <c r="I12" s="21">
        <v>146.75</v>
      </c>
      <c r="J12" s="20">
        <v>146.75</v>
      </c>
      <c r="K12" s="21">
        <v>146.75</v>
      </c>
      <c r="L12" s="132" t="s">
        <v>149</v>
      </c>
      <c r="M12" s="20"/>
      <c r="N12" s="20"/>
      <c r="O12" s="134" t="s">
        <v>159</v>
      </c>
      <c r="P12" s="20" t="s">
        <v>185</v>
      </c>
      <c r="Q12" s="21"/>
      <c r="R12" s="21"/>
      <c r="S12" s="21"/>
      <c r="T12" s="21"/>
      <c r="U12" s="21"/>
      <c r="V12" s="21"/>
      <c r="W12" s="21"/>
      <c r="X12" s="21"/>
      <c r="Y12" s="21">
        <v>139.75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>
        <v>7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131">
        <v>146.75</v>
      </c>
    </row>
    <row r="13" spans="1:82" ht="15" customHeight="1" x14ac:dyDescent="0.2">
      <c r="A13" s="20">
        <v>10</v>
      </c>
      <c r="B13" s="20" t="s">
        <v>145</v>
      </c>
      <c r="C13" s="20" t="s">
        <v>623</v>
      </c>
      <c r="D13" s="20" t="s">
        <v>179</v>
      </c>
      <c r="E13" s="20" t="s">
        <v>159</v>
      </c>
      <c r="F13" s="20" t="s">
        <v>146</v>
      </c>
      <c r="G13" s="21" t="s">
        <v>66</v>
      </c>
      <c r="H13" s="21" t="s">
        <v>148</v>
      </c>
      <c r="I13" s="21">
        <v>107</v>
      </c>
      <c r="J13" s="20">
        <v>107</v>
      </c>
      <c r="K13" s="21">
        <v>107</v>
      </c>
      <c r="L13" s="132" t="s">
        <v>149</v>
      </c>
      <c r="M13" s="20"/>
      <c r="N13" s="20"/>
      <c r="O13" s="134" t="s">
        <v>159</v>
      </c>
      <c r="P13" s="20" t="s">
        <v>185</v>
      </c>
      <c r="Q13" s="21"/>
      <c r="R13" s="21">
        <v>2</v>
      </c>
      <c r="S13" s="21"/>
      <c r="T13" s="21">
        <v>6</v>
      </c>
      <c r="U13" s="21"/>
      <c r="V13" s="21"/>
      <c r="W13" s="21"/>
      <c r="X13" s="21"/>
      <c r="Y13" s="21">
        <v>2</v>
      </c>
      <c r="Z13" s="21"/>
      <c r="AA13" s="21"/>
      <c r="AB13" s="21">
        <v>2</v>
      </c>
      <c r="AC13" s="21">
        <v>2</v>
      </c>
      <c r="AD13" s="21">
        <v>2</v>
      </c>
      <c r="AE13" s="21">
        <v>20</v>
      </c>
      <c r="AF13" s="21"/>
      <c r="AG13" s="21"/>
      <c r="AH13" s="21"/>
      <c r="AI13" s="21">
        <v>54</v>
      </c>
      <c r="AJ13" s="21"/>
      <c r="AK13" s="21"/>
      <c r="AL13" s="21">
        <v>2</v>
      </c>
      <c r="AM13" s="21"/>
      <c r="AN13" s="21"/>
      <c r="AO13" s="21"/>
      <c r="AP13" s="21"/>
      <c r="AQ13" s="21">
        <v>2</v>
      </c>
      <c r="AR13" s="21">
        <v>2</v>
      </c>
      <c r="AS13" s="21"/>
      <c r="AT13" s="21">
        <v>2</v>
      </c>
      <c r="AU13" s="21"/>
      <c r="AV13" s="21"/>
      <c r="AW13" s="21"/>
      <c r="AX13" s="21"/>
      <c r="AY13" s="21">
        <v>3</v>
      </c>
      <c r="AZ13" s="21"/>
      <c r="BA13" s="21">
        <v>2</v>
      </c>
      <c r="BB13" s="21"/>
      <c r="BC13" s="21"/>
      <c r="BD13" s="21"/>
      <c r="BE13" s="21"/>
      <c r="BF13" s="21"/>
      <c r="BG13" s="21">
        <v>2</v>
      </c>
      <c r="BH13" s="21"/>
      <c r="BI13" s="21"/>
      <c r="BJ13" s="21"/>
      <c r="BK13" s="21"/>
      <c r="BL13" s="21"/>
      <c r="BM13" s="21"/>
      <c r="BN13" s="21"/>
      <c r="BO13" s="21">
        <v>2</v>
      </c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131">
        <v>107</v>
      </c>
    </row>
    <row r="14" spans="1:82" ht="23.25" customHeight="1" x14ac:dyDescent="0.2">
      <c r="A14" s="20">
        <v>11</v>
      </c>
      <c r="B14" s="20" t="s">
        <v>177</v>
      </c>
      <c r="C14" s="20" t="s">
        <v>178</v>
      </c>
      <c r="D14" s="20" t="s">
        <v>179</v>
      </c>
      <c r="E14" s="20" t="s">
        <v>159</v>
      </c>
      <c r="F14" s="20" t="s">
        <v>146</v>
      </c>
      <c r="G14" s="21" t="s">
        <v>66</v>
      </c>
      <c r="H14" s="21" t="s">
        <v>180</v>
      </c>
      <c r="I14" s="21">
        <v>151.9</v>
      </c>
      <c r="J14" s="20">
        <v>151.9</v>
      </c>
      <c r="K14" s="21">
        <v>151.9</v>
      </c>
      <c r="L14" s="132" t="s">
        <v>149</v>
      </c>
      <c r="M14" s="20"/>
      <c r="N14" s="20"/>
      <c r="O14" s="134" t="s">
        <v>159</v>
      </c>
      <c r="P14" s="20" t="s">
        <v>185</v>
      </c>
      <c r="Q14" s="21">
        <v>3.75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>
        <v>40.159999999999997</v>
      </c>
      <c r="AJ14" s="21"/>
      <c r="AK14" s="21"/>
      <c r="AL14" s="21"/>
      <c r="AM14" s="21">
        <v>0.5</v>
      </c>
      <c r="AN14" s="21">
        <v>2</v>
      </c>
      <c r="AO14" s="21"/>
      <c r="AP14" s="21"/>
      <c r="AQ14" s="21"/>
      <c r="AR14" s="21"/>
      <c r="AS14" s="21"/>
      <c r="AT14" s="21">
        <v>89.16</v>
      </c>
      <c r="AU14" s="21"/>
      <c r="AV14" s="21"/>
      <c r="AW14" s="21"/>
      <c r="AX14" s="21"/>
      <c r="AY14" s="21"/>
      <c r="AZ14" s="21">
        <v>9.75</v>
      </c>
      <c r="BA14" s="21"/>
      <c r="BB14" s="21"/>
      <c r="BC14" s="21"/>
      <c r="BD14" s="21"/>
      <c r="BE14" s="21">
        <v>3.33</v>
      </c>
      <c r="BF14" s="21"/>
      <c r="BG14" s="21"/>
      <c r="BH14" s="21"/>
      <c r="BI14" s="21"/>
      <c r="BJ14" s="21"/>
      <c r="BK14" s="21">
        <v>0.75</v>
      </c>
      <c r="BL14" s="21">
        <v>2.5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131">
        <v>151.9</v>
      </c>
    </row>
    <row r="15" spans="1:82" ht="15" customHeight="1" x14ac:dyDescent="0.2">
      <c r="A15" s="20">
        <v>12</v>
      </c>
      <c r="B15" s="20" t="s">
        <v>182</v>
      </c>
      <c r="C15" s="20" t="s">
        <v>183</v>
      </c>
      <c r="D15" s="20" t="s">
        <v>179</v>
      </c>
      <c r="E15" s="20" t="s">
        <v>159</v>
      </c>
      <c r="F15" s="20" t="s">
        <v>146</v>
      </c>
      <c r="G15" s="21" t="s">
        <v>66</v>
      </c>
      <c r="H15" s="21" t="s">
        <v>184</v>
      </c>
      <c r="I15" s="21">
        <v>10.42</v>
      </c>
      <c r="J15" s="20">
        <v>10.42</v>
      </c>
      <c r="K15" s="21">
        <v>10.42</v>
      </c>
      <c r="L15" s="132" t="s">
        <v>149</v>
      </c>
      <c r="M15" s="20"/>
      <c r="N15" s="20"/>
      <c r="O15" s="134" t="s">
        <v>159</v>
      </c>
      <c r="P15" s="20" t="s">
        <v>185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>
        <v>10.42</v>
      </c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131">
        <v>10.42</v>
      </c>
    </row>
    <row r="16" spans="1:82" ht="15" customHeight="1" x14ac:dyDescent="0.2">
      <c r="A16" s="20">
        <v>13</v>
      </c>
      <c r="B16" s="20" t="s">
        <v>186</v>
      </c>
      <c r="C16" s="20" t="s">
        <v>187</v>
      </c>
      <c r="D16" s="20" t="s">
        <v>177</v>
      </c>
      <c r="E16" s="20" t="s">
        <v>177</v>
      </c>
      <c r="F16" s="20" t="s">
        <v>146</v>
      </c>
      <c r="G16" s="21" t="s">
        <v>176</v>
      </c>
      <c r="H16" s="21" t="s">
        <v>188</v>
      </c>
      <c r="I16" s="21">
        <v>115.67</v>
      </c>
      <c r="J16" s="20">
        <v>115.67</v>
      </c>
      <c r="K16" s="21">
        <v>115.67</v>
      </c>
      <c r="L16" s="132" t="s">
        <v>149</v>
      </c>
      <c r="M16" s="20">
        <v>132.81666666666999</v>
      </c>
      <c r="N16" s="20">
        <v>-17.146666666666999</v>
      </c>
      <c r="O16" s="133" t="s">
        <v>189</v>
      </c>
      <c r="P16" s="20" t="s">
        <v>151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>
        <v>1</v>
      </c>
      <c r="AJ16" s="21"/>
      <c r="AK16" s="21"/>
      <c r="AL16" s="21"/>
      <c r="AM16" s="21">
        <v>14.5</v>
      </c>
      <c r="AN16" s="21"/>
      <c r="AO16" s="21"/>
      <c r="AP16" s="21"/>
      <c r="AQ16" s="21"/>
      <c r="AR16" s="21"/>
      <c r="AS16" s="21"/>
      <c r="AT16" s="21">
        <v>18.920000000000002</v>
      </c>
      <c r="AU16" s="21">
        <v>22.75</v>
      </c>
      <c r="AV16" s="21"/>
      <c r="AW16" s="21"/>
      <c r="AX16" s="21"/>
      <c r="AY16" s="21"/>
      <c r="AZ16" s="21">
        <v>23.5</v>
      </c>
      <c r="BA16" s="21"/>
      <c r="BB16" s="21"/>
      <c r="BC16" s="21"/>
      <c r="BD16" s="21"/>
      <c r="BE16" s="21">
        <v>4.75</v>
      </c>
      <c r="BF16" s="21"/>
      <c r="BG16" s="21"/>
      <c r="BH16" s="21"/>
      <c r="BI16" s="21"/>
      <c r="BJ16" s="21"/>
      <c r="BK16" s="21">
        <v>11.75</v>
      </c>
      <c r="BL16" s="21">
        <v>7.5</v>
      </c>
      <c r="BM16" s="21"/>
      <c r="BN16" s="21"/>
      <c r="BO16" s="21"/>
      <c r="BP16" s="21"/>
      <c r="BQ16" s="21"/>
      <c r="BR16" s="21"/>
      <c r="BS16" s="21"/>
      <c r="BT16" s="21">
        <v>11</v>
      </c>
      <c r="BU16" s="21"/>
      <c r="BV16" s="21"/>
      <c r="BW16" s="21"/>
      <c r="BX16" s="21"/>
      <c r="BY16" s="21"/>
      <c r="BZ16" s="21"/>
      <c r="CA16" s="21"/>
      <c r="CB16" s="21"/>
      <c r="CC16" s="21"/>
      <c r="CD16" s="131">
        <v>115.67</v>
      </c>
    </row>
    <row r="17" spans="1:82" ht="23.25" customHeight="1" x14ac:dyDescent="0.2">
      <c r="A17" s="20">
        <v>14</v>
      </c>
      <c r="B17" s="20" t="s">
        <v>190</v>
      </c>
      <c r="C17" s="20" t="s">
        <v>191</v>
      </c>
      <c r="D17" s="20" t="s">
        <v>179</v>
      </c>
      <c r="E17" s="20" t="s">
        <v>159</v>
      </c>
      <c r="F17" s="20" t="s">
        <v>146</v>
      </c>
      <c r="G17" s="21" t="s">
        <v>66</v>
      </c>
      <c r="H17" s="21" t="s">
        <v>192</v>
      </c>
      <c r="I17" s="21">
        <v>101</v>
      </c>
      <c r="J17" s="20">
        <v>101</v>
      </c>
      <c r="K17" s="21">
        <v>101</v>
      </c>
      <c r="L17" s="132" t="s">
        <v>149</v>
      </c>
      <c r="M17" s="20"/>
      <c r="N17" s="20"/>
      <c r="O17" s="134" t="s">
        <v>159</v>
      </c>
      <c r="P17" s="20" t="s">
        <v>193</v>
      </c>
      <c r="Q17" s="21"/>
      <c r="R17" s="21"/>
      <c r="S17" s="21"/>
      <c r="T17" s="21"/>
      <c r="U17" s="21">
        <v>4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>
        <v>72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>
        <v>9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>
        <v>14</v>
      </c>
      <c r="CB17" s="21">
        <v>2</v>
      </c>
      <c r="CC17" s="21"/>
      <c r="CD17" s="131">
        <v>101</v>
      </c>
    </row>
    <row r="18" spans="1:82" ht="15" customHeight="1" x14ac:dyDescent="0.2">
      <c r="A18" s="20">
        <v>15</v>
      </c>
      <c r="B18" s="20" t="s">
        <v>194</v>
      </c>
      <c r="C18" s="20" t="s">
        <v>195</v>
      </c>
      <c r="D18" s="20" t="s">
        <v>179</v>
      </c>
      <c r="E18" s="20" t="s">
        <v>159</v>
      </c>
      <c r="F18" s="20" t="s">
        <v>146</v>
      </c>
      <c r="G18" s="21" t="s">
        <v>196</v>
      </c>
      <c r="H18" s="21" t="s">
        <v>188</v>
      </c>
      <c r="I18" s="21"/>
      <c r="J18" s="20"/>
      <c r="K18" s="21"/>
      <c r="L18" s="136" t="s">
        <v>159</v>
      </c>
      <c r="M18" s="20"/>
      <c r="N18" s="20"/>
      <c r="O18" s="134" t="s">
        <v>159</v>
      </c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131"/>
    </row>
    <row r="19" spans="1:82" ht="15" customHeight="1" x14ac:dyDescent="0.2">
      <c r="A19" s="20">
        <v>16</v>
      </c>
      <c r="B19" s="20" t="s">
        <v>197</v>
      </c>
      <c r="C19" s="20" t="s">
        <v>198</v>
      </c>
      <c r="D19" s="20" t="s">
        <v>199</v>
      </c>
      <c r="E19" s="20" t="s">
        <v>199</v>
      </c>
      <c r="F19" s="20" t="s">
        <v>146</v>
      </c>
      <c r="G19" s="21" t="s">
        <v>162</v>
      </c>
      <c r="H19" s="21" t="s">
        <v>148</v>
      </c>
      <c r="I19" s="21">
        <v>144.35</v>
      </c>
      <c r="J19" s="20">
        <v>144.35</v>
      </c>
      <c r="K19" s="21">
        <v>144.35</v>
      </c>
      <c r="L19" s="132" t="s">
        <v>149</v>
      </c>
      <c r="M19" s="20"/>
      <c r="N19" s="20"/>
      <c r="O19" s="134" t="s">
        <v>159</v>
      </c>
      <c r="P19" s="20" t="s">
        <v>185</v>
      </c>
      <c r="Q19" s="21"/>
      <c r="R19" s="21"/>
      <c r="S19" s="21"/>
      <c r="T19" s="21"/>
      <c r="U19" s="21">
        <v>29.5</v>
      </c>
      <c r="V19" s="21"/>
      <c r="W19" s="21">
        <v>2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>
        <v>16.59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>
        <v>2</v>
      </c>
      <c r="BC19" s="21"/>
      <c r="BD19" s="21"/>
      <c r="BE19" s="21"/>
      <c r="BF19" s="21"/>
      <c r="BG19" s="21"/>
      <c r="BH19" s="21"/>
      <c r="BI19" s="21"/>
      <c r="BJ19" s="21"/>
      <c r="BK19" s="21"/>
      <c r="BL19" s="21">
        <v>33.840000000000003</v>
      </c>
      <c r="BM19" s="21">
        <v>2</v>
      </c>
      <c r="BN19" s="21"/>
      <c r="BO19" s="21"/>
      <c r="BP19" s="21"/>
      <c r="BQ19" s="21"/>
      <c r="BR19" s="21"/>
      <c r="BS19" s="21"/>
      <c r="BT19" s="21"/>
      <c r="BU19" s="21"/>
      <c r="BV19" s="21">
        <v>0.5</v>
      </c>
      <c r="BW19" s="21">
        <v>6.92</v>
      </c>
      <c r="BX19" s="21"/>
      <c r="BY19" s="21"/>
      <c r="BZ19" s="21"/>
      <c r="CA19" s="21">
        <v>49</v>
      </c>
      <c r="CB19" s="21"/>
      <c r="CC19" s="21">
        <v>2</v>
      </c>
      <c r="CD19" s="131">
        <v>144.35</v>
      </c>
    </row>
    <row r="20" spans="1:82" ht="15" customHeight="1" x14ac:dyDescent="0.2">
      <c r="A20" s="20">
        <v>17</v>
      </c>
      <c r="B20" s="20" t="s">
        <v>200</v>
      </c>
      <c r="C20" s="20" t="s">
        <v>201</v>
      </c>
      <c r="D20" s="20" t="s">
        <v>202</v>
      </c>
      <c r="E20" s="20" t="s">
        <v>202</v>
      </c>
      <c r="F20" s="20" t="s">
        <v>146</v>
      </c>
      <c r="G20" s="21" t="s">
        <v>203</v>
      </c>
      <c r="H20" s="21" t="s">
        <v>184</v>
      </c>
      <c r="I20" s="21"/>
      <c r="J20" s="20"/>
      <c r="K20" s="21"/>
      <c r="L20" s="136" t="s">
        <v>159</v>
      </c>
      <c r="M20" s="20"/>
      <c r="N20" s="20"/>
      <c r="O20" s="134" t="s">
        <v>159</v>
      </c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131"/>
    </row>
    <row r="21" spans="1:82" ht="15" customHeight="1" x14ac:dyDescent="0.2">
      <c r="A21" s="20">
        <v>18</v>
      </c>
      <c r="B21" s="20" t="s">
        <v>204</v>
      </c>
      <c r="C21" s="20" t="s">
        <v>205</v>
      </c>
      <c r="D21" s="20" t="s">
        <v>197</v>
      </c>
      <c r="E21" s="20" t="s">
        <v>199</v>
      </c>
      <c r="F21" s="20" t="s">
        <v>146</v>
      </c>
      <c r="G21" s="21" t="s">
        <v>158</v>
      </c>
      <c r="H21" s="21" t="s">
        <v>188</v>
      </c>
      <c r="I21" s="21"/>
      <c r="J21" s="20"/>
      <c r="K21" s="21"/>
      <c r="L21" s="136" t="s">
        <v>159</v>
      </c>
      <c r="M21" s="20"/>
      <c r="N21" s="20"/>
      <c r="O21" s="134" t="s">
        <v>159</v>
      </c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131"/>
    </row>
    <row r="22" spans="1:82" ht="15" customHeight="1" x14ac:dyDescent="0.2">
      <c r="A22" s="20">
        <v>19</v>
      </c>
      <c r="B22" s="20" t="s">
        <v>206</v>
      </c>
      <c r="C22" s="20" t="s">
        <v>207</v>
      </c>
      <c r="D22" s="20" t="s">
        <v>177</v>
      </c>
      <c r="E22" s="20" t="s">
        <v>177</v>
      </c>
      <c r="F22" s="20" t="s">
        <v>146</v>
      </c>
      <c r="G22" s="21" t="s">
        <v>176</v>
      </c>
      <c r="H22" s="21" t="s">
        <v>148</v>
      </c>
      <c r="I22" s="21">
        <v>165.25</v>
      </c>
      <c r="J22" s="20">
        <v>162.25</v>
      </c>
      <c r="K22" s="21">
        <v>162.25</v>
      </c>
      <c r="L22" s="132" t="s">
        <v>208</v>
      </c>
      <c r="M22" s="20"/>
      <c r="N22" s="20"/>
      <c r="O22" s="134" t="s">
        <v>159</v>
      </c>
      <c r="P22" s="20" t="s">
        <v>185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>
        <v>1.5</v>
      </c>
      <c r="AJ22" s="21"/>
      <c r="AK22" s="21"/>
      <c r="AL22" s="21"/>
      <c r="AM22" s="21"/>
      <c r="AN22" s="21">
        <v>130.25</v>
      </c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>
        <v>5</v>
      </c>
      <c r="BA22" s="21"/>
      <c r="BB22" s="21"/>
      <c r="BC22" s="21">
        <v>1</v>
      </c>
      <c r="BD22" s="21"/>
      <c r="BE22" s="21"/>
      <c r="BF22" s="21"/>
      <c r="BG22" s="21"/>
      <c r="BH22" s="21"/>
      <c r="BI22" s="21"/>
      <c r="BJ22" s="21"/>
      <c r="BK22" s="21">
        <v>6</v>
      </c>
      <c r="BL22" s="21"/>
      <c r="BM22" s="21"/>
      <c r="BN22" s="21"/>
      <c r="BO22" s="21"/>
      <c r="BP22" s="21"/>
      <c r="BQ22" s="21"/>
      <c r="BR22" s="21"/>
      <c r="BS22" s="21">
        <v>18.5</v>
      </c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131">
        <v>162.25</v>
      </c>
    </row>
    <row r="23" spans="1:82" ht="23.25" customHeight="1" x14ac:dyDescent="0.2">
      <c r="A23" s="20">
        <v>20</v>
      </c>
      <c r="B23" s="20" t="s">
        <v>209</v>
      </c>
      <c r="C23" s="20" t="s">
        <v>210</v>
      </c>
      <c r="D23" s="20" t="s">
        <v>206</v>
      </c>
      <c r="E23" s="20" t="s">
        <v>177</v>
      </c>
      <c r="F23" s="20" t="s">
        <v>146</v>
      </c>
      <c r="G23" s="21" t="s">
        <v>147</v>
      </c>
      <c r="H23" s="21" t="s">
        <v>180</v>
      </c>
      <c r="I23" s="21">
        <v>132.66999999999999</v>
      </c>
      <c r="J23" s="20">
        <v>132.66999999999999</v>
      </c>
      <c r="K23" s="21">
        <v>132.66999999999999</v>
      </c>
      <c r="L23" s="132" t="s">
        <v>149</v>
      </c>
      <c r="M23" s="20"/>
      <c r="N23" s="20"/>
      <c r="O23" s="134" t="s">
        <v>159</v>
      </c>
      <c r="P23" s="20" t="s">
        <v>185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>
        <v>132.66999999999999</v>
      </c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131">
        <v>132.66999999999999</v>
      </c>
    </row>
    <row r="24" spans="1:82" ht="15" customHeight="1" x14ac:dyDescent="0.2">
      <c r="A24" s="20">
        <v>21</v>
      </c>
      <c r="B24" s="20" t="s">
        <v>211</v>
      </c>
      <c r="C24" s="20" t="s">
        <v>212</v>
      </c>
      <c r="D24" s="20" t="s">
        <v>199</v>
      </c>
      <c r="E24" s="20" t="s">
        <v>199</v>
      </c>
      <c r="F24" s="20" t="s">
        <v>170</v>
      </c>
      <c r="G24" s="21" t="s">
        <v>213</v>
      </c>
      <c r="H24" s="21" t="s">
        <v>148</v>
      </c>
      <c r="I24" s="21">
        <v>64.27</v>
      </c>
      <c r="J24" s="20">
        <v>64.27</v>
      </c>
      <c r="K24" s="21">
        <v>64.27</v>
      </c>
      <c r="L24" s="132" t="s">
        <v>149</v>
      </c>
      <c r="M24" s="20"/>
      <c r="N24" s="20"/>
      <c r="O24" s="134" t="s">
        <v>159</v>
      </c>
      <c r="P24" s="20" t="s">
        <v>185</v>
      </c>
      <c r="Q24" s="21"/>
      <c r="R24" s="21"/>
      <c r="S24" s="21">
        <v>64.27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131">
        <v>64.27</v>
      </c>
    </row>
    <row r="25" spans="1:82" ht="15" customHeight="1" x14ac:dyDescent="0.2">
      <c r="A25" s="20">
        <v>22</v>
      </c>
      <c r="B25" s="20" t="s">
        <v>214</v>
      </c>
      <c r="C25" s="20" t="s">
        <v>215</v>
      </c>
      <c r="D25" s="20" t="s">
        <v>199</v>
      </c>
      <c r="E25" s="20" t="s">
        <v>199</v>
      </c>
      <c r="F25" s="20" t="s">
        <v>146</v>
      </c>
      <c r="G25" s="21" t="s">
        <v>162</v>
      </c>
      <c r="H25" s="21" t="s">
        <v>188</v>
      </c>
      <c r="I25" s="21">
        <v>81</v>
      </c>
      <c r="J25" s="20">
        <v>81</v>
      </c>
      <c r="K25" s="21">
        <v>81</v>
      </c>
      <c r="L25" s="132" t="s">
        <v>149</v>
      </c>
      <c r="M25" s="20"/>
      <c r="N25" s="20"/>
      <c r="O25" s="134" t="s">
        <v>159</v>
      </c>
      <c r="P25" s="20" t="s">
        <v>185</v>
      </c>
      <c r="Q25" s="21"/>
      <c r="R25" s="21"/>
      <c r="S25" s="21"/>
      <c r="T25" s="21"/>
      <c r="U25" s="21"/>
      <c r="V25" s="21">
        <v>2.75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>
        <v>10</v>
      </c>
      <c r="AH25" s="21"/>
      <c r="AI25" s="21">
        <v>15.5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>
        <v>4.5</v>
      </c>
      <c r="AW25" s="21">
        <v>1</v>
      </c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>
        <v>39.75</v>
      </c>
      <c r="BM25" s="21"/>
      <c r="BN25" s="21">
        <v>3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>
        <v>4.5</v>
      </c>
      <c r="CC25" s="21"/>
      <c r="CD25" s="131">
        <v>81</v>
      </c>
    </row>
    <row r="26" spans="1:82" ht="15" customHeight="1" x14ac:dyDescent="0.2">
      <c r="A26" s="20">
        <v>23</v>
      </c>
      <c r="B26" s="20" t="s">
        <v>216</v>
      </c>
      <c r="C26" s="20" t="s">
        <v>217</v>
      </c>
      <c r="D26" s="20" t="s">
        <v>211</v>
      </c>
      <c r="E26" s="20" t="s">
        <v>199</v>
      </c>
      <c r="F26" s="20" t="s">
        <v>170</v>
      </c>
      <c r="G26" s="21" t="s">
        <v>147</v>
      </c>
      <c r="H26" s="21" t="s">
        <v>148</v>
      </c>
      <c r="I26" s="21">
        <v>104.09</v>
      </c>
      <c r="J26" s="20">
        <v>104.09</v>
      </c>
      <c r="K26" s="21">
        <v>104.09</v>
      </c>
      <c r="L26" s="132" t="s">
        <v>149</v>
      </c>
      <c r="M26" s="20"/>
      <c r="N26" s="20"/>
      <c r="O26" s="134" t="s">
        <v>159</v>
      </c>
      <c r="P26" s="20" t="s">
        <v>185</v>
      </c>
      <c r="Q26" s="21"/>
      <c r="R26" s="21"/>
      <c r="S26" s="21">
        <v>104.09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131">
        <v>104.09</v>
      </c>
    </row>
    <row r="27" spans="1:82" ht="15" customHeight="1" x14ac:dyDescent="0.2">
      <c r="A27" s="20">
        <v>24</v>
      </c>
      <c r="B27" s="20" t="s">
        <v>218</v>
      </c>
      <c r="C27" s="20" t="s">
        <v>219</v>
      </c>
      <c r="D27" s="20" t="s">
        <v>220</v>
      </c>
      <c r="E27" s="20" t="s">
        <v>220</v>
      </c>
      <c r="F27" s="20" t="s">
        <v>146</v>
      </c>
      <c r="G27" s="21" t="s">
        <v>162</v>
      </c>
      <c r="H27" s="21" t="s">
        <v>221</v>
      </c>
      <c r="I27" s="21">
        <v>178.09</v>
      </c>
      <c r="J27" s="20">
        <v>178.09</v>
      </c>
      <c r="K27" s="21">
        <v>178.09</v>
      </c>
      <c r="L27" s="132" t="s">
        <v>149</v>
      </c>
      <c r="M27" s="20"/>
      <c r="N27" s="20"/>
      <c r="O27" s="134" t="s">
        <v>159</v>
      </c>
      <c r="P27" s="20" t="s">
        <v>185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>
        <v>98.5</v>
      </c>
      <c r="AJ27" s="21"/>
      <c r="AK27" s="21"/>
      <c r="AL27" s="21"/>
      <c r="AM27" s="21">
        <v>4.34</v>
      </c>
      <c r="AN27" s="21">
        <v>31.75</v>
      </c>
      <c r="AO27" s="21"/>
      <c r="AP27" s="21"/>
      <c r="AQ27" s="21"/>
      <c r="AR27" s="21"/>
      <c r="AS27" s="21"/>
      <c r="AT27" s="21">
        <v>6</v>
      </c>
      <c r="AU27" s="21">
        <v>35.409999999999997</v>
      </c>
      <c r="AV27" s="21"/>
      <c r="AW27" s="21"/>
      <c r="AX27" s="21"/>
      <c r="AY27" s="21"/>
      <c r="AZ27" s="21">
        <v>1.75</v>
      </c>
      <c r="BA27" s="21"/>
      <c r="BB27" s="21"/>
      <c r="BC27" s="21">
        <v>0.17</v>
      </c>
      <c r="BD27" s="21"/>
      <c r="BE27" s="21"/>
      <c r="BF27" s="21"/>
      <c r="BG27" s="21"/>
      <c r="BH27" s="21"/>
      <c r="BI27" s="21"/>
      <c r="BJ27" s="21"/>
      <c r="BK27" s="21">
        <v>0.17</v>
      </c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131">
        <v>178.09</v>
      </c>
    </row>
    <row r="28" spans="1:82" ht="15" customHeight="1" x14ac:dyDescent="0.2">
      <c r="A28" s="20">
        <v>25</v>
      </c>
      <c r="B28" s="20" t="s">
        <v>222</v>
      </c>
      <c r="C28" s="20" t="s">
        <v>223</v>
      </c>
      <c r="D28" s="20" t="s">
        <v>177</v>
      </c>
      <c r="E28" s="20" t="s">
        <v>177</v>
      </c>
      <c r="F28" s="20" t="s">
        <v>175</v>
      </c>
      <c r="G28" s="21" t="s">
        <v>213</v>
      </c>
      <c r="H28" s="21" t="s">
        <v>148</v>
      </c>
      <c r="I28" s="21">
        <v>189.58</v>
      </c>
      <c r="J28" s="20">
        <v>189.58</v>
      </c>
      <c r="K28" s="21">
        <v>189.58</v>
      </c>
      <c r="L28" s="132" t="s">
        <v>149</v>
      </c>
      <c r="M28" s="20"/>
      <c r="N28" s="20">
        <v>189.58</v>
      </c>
      <c r="O28" s="134" t="s">
        <v>159</v>
      </c>
      <c r="P28" s="20" t="s">
        <v>151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>
        <v>68.010000000000005</v>
      </c>
      <c r="BS28" s="21"/>
      <c r="BT28" s="21"/>
      <c r="BU28" s="21"/>
      <c r="BV28" s="21"/>
      <c r="BW28" s="21"/>
      <c r="BX28" s="21"/>
      <c r="BY28" s="21">
        <v>121.57</v>
      </c>
      <c r="BZ28" s="21"/>
      <c r="CA28" s="21"/>
      <c r="CB28" s="21"/>
      <c r="CC28" s="21"/>
      <c r="CD28" s="131">
        <v>189.58</v>
      </c>
    </row>
    <row r="29" spans="1:82" ht="23.25" customHeight="1" x14ac:dyDescent="0.2">
      <c r="A29" s="20">
        <v>26</v>
      </c>
      <c r="B29" s="20" t="s">
        <v>224</v>
      </c>
      <c r="C29" s="20" t="s">
        <v>225</v>
      </c>
      <c r="D29" s="20" t="s">
        <v>199</v>
      </c>
      <c r="E29" s="20" t="s">
        <v>199</v>
      </c>
      <c r="F29" s="20" t="s">
        <v>170</v>
      </c>
      <c r="G29" s="21" t="s">
        <v>147</v>
      </c>
      <c r="H29" s="21" t="s">
        <v>148</v>
      </c>
      <c r="I29" s="21">
        <v>159.38</v>
      </c>
      <c r="J29" s="20">
        <v>159.38</v>
      </c>
      <c r="K29" s="21">
        <v>159.38</v>
      </c>
      <c r="L29" s="132" t="s">
        <v>149</v>
      </c>
      <c r="M29" s="20">
        <v>158.06666666666999</v>
      </c>
      <c r="N29" s="20">
        <v>1.3133333333332999</v>
      </c>
      <c r="O29" s="133" t="s">
        <v>226</v>
      </c>
      <c r="P29" s="20" t="s">
        <v>185</v>
      </c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>
        <v>88.78</v>
      </c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>
        <v>70.599999999999994</v>
      </c>
      <c r="BY29" s="21"/>
      <c r="BZ29" s="21"/>
      <c r="CA29" s="21"/>
      <c r="CB29" s="21"/>
      <c r="CC29" s="21"/>
      <c r="CD29" s="131">
        <v>159.38</v>
      </c>
    </row>
    <row r="30" spans="1:82" ht="15" customHeight="1" x14ac:dyDescent="0.2">
      <c r="A30" s="20">
        <v>27</v>
      </c>
      <c r="B30" s="20" t="s">
        <v>227</v>
      </c>
      <c r="C30" s="20" t="s">
        <v>228</v>
      </c>
      <c r="D30" s="20" t="s">
        <v>214</v>
      </c>
      <c r="E30" s="20" t="s">
        <v>199</v>
      </c>
      <c r="F30" s="20" t="s">
        <v>170</v>
      </c>
      <c r="G30" s="21" t="s">
        <v>147</v>
      </c>
      <c r="H30" s="21" t="s">
        <v>148</v>
      </c>
      <c r="I30" s="21">
        <v>55.11</v>
      </c>
      <c r="J30" s="20">
        <v>55.11</v>
      </c>
      <c r="K30" s="21">
        <v>55.11</v>
      </c>
      <c r="L30" s="132" t="s">
        <v>149</v>
      </c>
      <c r="M30" s="20"/>
      <c r="N30" s="20"/>
      <c r="O30" s="134" t="s">
        <v>159</v>
      </c>
      <c r="P30" s="20" t="s">
        <v>181</v>
      </c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>
        <v>49.1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>
        <v>6.01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131">
        <v>55.11</v>
      </c>
    </row>
    <row r="31" spans="1:82" ht="15" customHeight="1" x14ac:dyDescent="0.2">
      <c r="A31" s="20">
        <v>28</v>
      </c>
      <c r="B31" s="20" t="s">
        <v>229</v>
      </c>
      <c r="C31" s="20" t="s">
        <v>230</v>
      </c>
      <c r="D31" s="20" t="s">
        <v>211</v>
      </c>
      <c r="E31" s="20" t="s">
        <v>199</v>
      </c>
      <c r="F31" s="20" t="s">
        <v>170</v>
      </c>
      <c r="G31" s="21" t="s">
        <v>213</v>
      </c>
      <c r="H31" s="21" t="s">
        <v>148</v>
      </c>
      <c r="I31" s="21">
        <v>90.58</v>
      </c>
      <c r="J31" s="20">
        <v>90.58</v>
      </c>
      <c r="K31" s="21">
        <v>90.58</v>
      </c>
      <c r="L31" s="132" t="s">
        <v>149</v>
      </c>
      <c r="M31" s="20"/>
      <c r="N31" s="20"/>
      <c r="O31" s="134" t="s">
        <v>159</v>
      </c>
      <c r="P31" s="20" t="s">
        <v>185</v>
      </c>
      <c r="Q31" s="21"/>
      <c r="R31" s="21"/>
      <c r="S31" s="21">
        <v>90.58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131">
        <v>90.58</v>
      </c>
    </row>
    <row r="32" spans="1:82" ht="15" customHeight="1" x14ac:dyDescent="0.2">
      <c r="A32" s="20">
        <v>29</v>
      </c>
      <c r="B32" s="20" t="s">
        <v>231</v>
      </c>
      <c r="C32" s="20" t="s">
        <v>232</v>
      </c>
      <c r="D32" s="20" t="s">
        <v>214</v>
      </c>
      <c r="E32" s="20" t="s">
        <v>199</v>
      </c>
      <c r="F32" s="20" t="s">
        <v>170</v>
      </c>
      <c r="G32" s="21" t="s">
        <v>213</v>
      </c>
      <c r="H32" s="21" t="s">
        <v>148</v>
      </c>
      <c r="I32" s="21">
        <v>82.67</v>
      </c>
      <c r="J32" s="20">
        <v>82.67</v>
      </c>
      <c r="K32" s="21">
        <v>82.67</v>
      </c>
      <c r="L32" s="132" t="s">
        <v>149</v>
      </c>
      <c r="M32" s="20">
        <v>83.25</v>
      </c>
      <c r="N32" s="20">
        <v>-0.57999999999999996</v>
      </c>
      <c r="O32" s="133" t="s">
        <v>233</v>
      </c>
      <c r="P32" s="20" t="s">
        <v>234</v>
      </c>
      <c r="Q32" s="21"/>
      <c r="R32" s="21"/>
      <c r="S32" s="21"/>
      <c r="T32" s="21"/>
      <c r="U32" s="21"/>
      <c r="V32" s="21">
        <v>23.25</v>
      </c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>
        <v>44.42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>
        <v>5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>
        <v>10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131">
        <v>82.67</v>
      </c>
    </row>
    <row r="33" spans="1:82" ht="15" customHeight="1" x14ac:dyDescent="0.2">
      <c r="A33" s="20">
        <v>30</v>
      </c>
      <c r="B33" s="20" t="s">
        <v>235</v>
      </c>
      <c r="C33" s="20" t="s">
        <v>236</v>
      </c>
      <c r="D33" s="20" t="s">
        <v>237</v>
      </c>
      <c r="E33" s="20" t="s">
        <v>237</v>
      </c>
      <c r="F33" s="20" t="s">
        <v>146</v>
      </c>
      <c r="G33" s="21" t="s">
        <v>213</v>
      </c>
      <c r="H33" s="21" t="s">
        <v>238</v>
      </c>
      <c r="I33" s="21">
        <v>163</v>
      </c>
      <c r="J33" s="20">
        <v>139</v>
      </c>
      <c r="K33" s="21">
        <v>139</v>
      </c>
      <c r="L33" s="132" t="s">
        <v>239</v>
      </c>
      <c r="M33" s="20"/>
      <c r="N33" s="20"/>
      <c r="O33" s="134" t="s">
        <v>159</v>
      </c>
      <c r="P33" s="20" t="s">
        <v>185</v>
      </c>
      <c r="Q33" s="21"/>
      <c r="R33" s="21"/>
      <c r="S33" s="21"/>
      <c r="T33" s="21"/>
      <c r="U33" s="21"/>
      <c r="V33" s="21"/>
      <c r="W33" s="21"/>
      <c r="X33" s="21">
        <v>139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131">
        <v>139</v>
      </c>
    </row>
    <row r="34" spans="1:82" ht="15" customHeight="1" x14ac:dyDescent="0.2">
      <c r="A34" s="20">
        <v>31</v>
      </c>
      <c r="B34" s="20" t="s">
        <v>240</v>
      </c>
      <c r="C34" s="20" t="s">
        <v>241</v>
      </c>
      <c r="D34" s="20" t="s">
        <v>220</v>
      </c>
      <c r="E34" s="20" t="s">
        <v>220</v>
      </c>
      <c r="F34" s="20" t="s">
        <v>146</v>
      </c>
      <c r="G34" s="21" t="s">
        <v>176</v>
      </c>
      <c r="H34" s="21" t="s">
        <v>221</v>
      </c>
      <c r="I34" s="21">
        <v>99.34</v>
      </c>
      <c r="J34" s="20">
        <v>99.34</v>
      </c>
      <c r="K34" s="21">
        <v>99.34</v>
      </c>
      <c r="L34" s="132" t="s">
        <v>149</v>
      </c>
      <c r="M34" s="20">
        <v>186.15</v>
      </c>
      <c r="N34" s="20">
        <v>-86.81</v>
      </c>
      <c r="O34" s="135" t="s">
        <v>242</v>
      </c>
      <c r="P34" s="20" t="s">
        <v>185</v>
      </c>
      <c r="Q34" s="21">
        <v>2.5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>
        <v>54.84</v>
      </c>
      <c r="AH34" s="21"/>
      <c r="AI34" s="21">
        <v>37.5</v>
      </c>
      <c r="AJ34" s="21"/>
      <c r="AK34" s="21"/>
      <c r="AL34" s="21"/>
      <c r="AM34" s="21">
        <v>1.5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>
        <v>3</v>
      </c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131">
        <v>99.34</v>
      </c>
    </row>
    <row r="35" spans="1:82" ht="15" customHeight="1" x14ac:dyDescent="0.2">
      <c r="A35" s="20">
        <v>32</v>
      </c>
      <c r="B35" s="20" t="s">
        <v>243</v>
      </c>
      <c r="C35" s="20" t="s">
        <v>244</v>
      </c>
      <c r="D35" s="20" t="s">
        <v>237</v>
      </c>
      <c r="E35" s="20" t="s">
        <v>237</v>
      </c>
      <c r="F35" s="20" t="s">
        <v>146</v>
      </c>
      <c r="G35" s="21" t="s">
        <v>213</v>
      </c>
      <c r="H35" s="21" t="s">
        <v>238</v>
      </c>
      <c r="I35" s="21">
        <v>132</v>
      </c>
      <c r="J35" s="20">
        <v>132</v>
      </c>
      <c r="K35" s="21">
        <v>132</v>
      </c>
      <c r="L35" s="132" t="s">
        <v>149</v>
      </c>
      <c r="M35" s="20"/>
      <c r="N35" s="20"/>
      <c r="O35" s="134" t="s">
        <v>159</v>
      </c>
      <c r="P35" s="20" t="s">
        <v>234</v>
      </c>
      <c r="Q35" s="21"/>
      <c r="R35" s="21"/>
      <c r="S35" s="21"/>
      <c r="T35" s="21"/>
      <c r="U35" s="21"/>
      <c r="V35" s="21"/>
      <c r="W35" s="21"/>
      <c r="X35" s="21">
        <v>132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131">
        <v>132</v>
      </c>
    </row>
    <row r="36" spans="1:82" ht="15" customHeight="1" x14ac:dyDescent="0.2">
      <c r="A36" s="20">
        <v>33</v>
      </c>
      <c r="B36" s="20" t="s">
        <v>245</v>
      </c>
      <c r="C36" s="20" t="s">
        <v>246</v>
      </c>
      <c r="D36" s="20" t="s">
        <v>199</v>
      </c>
      <c r="E36" s="20" t="s">
        <v>199</v>
      </c>
      <c r="F36" s="20" t="s">
        <v>146</v>
      </c>
      <c r="G36" s="21" t="s">
        <v>147</v>
      </c>
      <c r="H36" s="21" t="s">
        <v>148</v>
      </c>
      <c r="I36" s="21">
        <v>114.48</v>
      </c>
      <c r="J36" s="20">
        <v>114.48</v>
      </c>
      <c r="K36" s="21">
        <v>114.48</v>
      </c>
      <c r="L36" s="132" t="s">
        <v>149</v>
      </c>
      <c r="M36" s="20"/>
      <c r="N36" s="20"/>
      <c r="O36" s="134" t="s">
        <v>159</v>
      </c>
      <c r="P36" s="20" t="s">
        <v>185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>
        <v>2.08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>
        <v>112.4</v>
      </c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131">
        <v>114.48</v>
      </c>
    </row>
    <row r="37" spans="1:82" ht="15" customHeight="1" x14ac:dyDescent="0.2">
      <c r="A37" s="20">
        <v>34</v>
      </c>
      <c r="B37" s="20" t="s">
        <v>247</v>
      </c>
      <c r="C37" s="20" t="s">
        <v>248</v>
      </c>
      <c r="D37" s="20" t="s">
        <v>194</v>
      </c>
      <c r="E37" s="20" t="s">
        <v>194</v>
      </c>
      <c r="F37" s="20" t="s">
        <v>175</v>
      </c>
      <c r="G37" s="21" t="s">
        <v>162</v>
      </c>
      <c r="H37" s="21" t="s">
        <v>148</v>
      </c>
      <c r="I37" s="21">
        <v>136.75</v>
      </c>
      <c r="J37" s="20">
        <v>136.75</v>
      </c>
      <c r="K37" s="21">
        <v>136.75</v>
      </c>
      <c r="L37" s="132" t="s">
        <v>149</v>
      </c>
      <c r="M37" s="20"/>
      <c r="N37" s="20"/>
      <c r="O37" s="134" t="s">
        <v>159</v>
      </c>
      <c r="P37" s="20" t="s">
        <v>185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>
        <v>25.5</v>
      </c>
      <c r="AB37" s="21"/>
      <c r="AC37" s="21"/>
      <c r="AD37" s="21"/>
      <c r="AE37" s="21"/>
      <c r="AF37" s="21"/>
      <c r="AG37" s="21"/>
      <c r="AH37" s="21"/>
      <c r="AI37" s="21">
        <v>32.5</v>
      </c>
      <c r="AJ37" s="21"/>
      <c r="AK37" s="21">
        <v>3</v>
      </c>
      <c r="AL37" s="21"/>
      <c r="AM37" s="21"/>
      <c r="AN37" s="21"/>
      <c r="AO37" s="21"/>
      <c r="AP37" s="21">
        <v>6.75</v>
      </c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>
        <v>6</v>
      </c>
      <c r="BE37" s="21"/>
      <c r="BF37" s="21">
        <v>5</v>
      </c>
      <c r="BG37" s="21"/>
      <c r="BH37" s="21"/>
      <c r="BI37" s="21"/>
      <c r="BJ37" s="21"/>
      <c r="BK37" s="21">
        <v>8</v>
      </c>
      <c r="BL37" s="21"/>
      <c r="BM37" s="21"/>
      <c r="BN37" s="21"/>
      <c r="BO37" s="21"/>
      <c r="BP37" s="21">
        <v>10</v>
      </c>
      <c r="BQ37" s="21"/>
      <c r="BR37" s="21"/>
      <c r="BS37" s="21"/>
      <c r="BT37" s="21">
        <v>10</v>
      </c>
      <c r="BU37" s="21"/>
      <c r="BV37" s="21"/>
      <c r="BW37" s="21"/>
      <c r="BX37" s="21"/>
      <c r="BY37" s="21"/>
      <c r="BZ37" s="21"/>
      <c r="CA37" s="21">
        <v>30</v>
      </c>
      <c r="CB37" s="21"/>
      <c r="CC37" s="21"/>
      <c r="CD37" s="131">
        <v>136.75</v>
      </c>
    </row>
    <row r="38" spans="1:82" ht="15" customHeight="1" x14ac:dyDescent="0.2">
      <c r="A38" s="20">
        <v>35</v>
      </c>
      <c r="B38" s="20" t="s">
        <v>249</v>
      </c>
      <c r="C38" s="20" t="s">
        <v>250</v>
      </c>
      <c r="D38" s="20" t="s">
        <v>177</v>
      </c>
      <c r="E38" s="20" t="s">
        <v>177</v>
      </c>
      <c r="F38" s="20" t="s">
        <v>146</v>
      </c>
      <c r="G38" s="21" t="s">
        <v>176</v>
      </c>
      <c r="H38" s="21" t="s">
        <v>148</v>
      </c>
      <c r="I38" s="21">
        <v>158.66999999999999</v>
      </c>
      <c r="J38" s="20">
        <v>154.16999999999999</v>
      </c>
      <c r="K38" s="21">
        <v>154.16999999999999</v>
      </c>
      <c r="L38" s="132" t="s">
        <v>251</v>
      </c>
      <c r="M38" s="20"/>
      <c r="N38" s="20"/>
      <c r="O38" s="134" t="s">
        <v>159</v>
      </c>
      <c r="P38" s="20" t="s">
        <v>185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>
        <v>3</v>
      </c>
      <c r="AJ38" s="21"/>
      <c r="AK38" s="21"/>
      <c r="AL38" s="21"/>
      <c r="AM38" s="21"/>
      <c r="AN38" s="21">
        <v>144.16999999999999</v>
      </c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>
        <v>7</v>
      </c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131">
        <v>154.16999999999999</v>
      </c>
    </row>
    <row r="39" spans="1:82" ht="15" customHeight="1" x14ac:dyDescent="0.2">
      <c r="A39" s="20">
        <v>36</v>
      </c>
      <c r="B39" s="20" t="s">
        <v>252</v>
      </c>
      <c r="C39" s="20" t="s">
        <v>253</v>
      </c>
      <c r="D39" s="20" t="s">
        <v>197</v>
      </c>
      <c r="E39" s="20" t="s">
        <v>199</v>
      </c>
      <c r="F39" s="20" t="s">
        <v>146</v>
      </c>
      <c r="G39" s="21" t="s">
        <v>158</v>
      </c>
      <c r="H39" s="21" t="s">
        <v>188</v>
      </c>
      <c r="I39" s="21">
        <v>115.74</v>
      </c>
      <c r="J39" s="20">
        <v>115.74</v>
      </c>
      <c r="K39" s="21">
        <v>115.74</v>
      </c>
      <c r="L39" s="132" t="s">
        <v>149</v>
      </c>
      <c r="M39" s="20"/>
      <c r="N39" s="20"/>
      <c r="O39" s="134" t="s">
        <v>159</v>
      </c>
      <c r="P39" s="20" t="s">
        <v>185</v>
      </c>
      <c r="Q39" s="21"/>
      <c r="R39" s="21"/>
      <c r="S39" s="21"/>
      <c r="T39" s="21"/>
      <c r="U39" s="21">
        <v>33.159999999999997</v>
      </c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>
        <v>3.5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>
        <v>16.420000000000002</v>
      </c>
      <c r="BC39" s="21"/>
      <c r="BD39" s="21"/>
      <c r="BE39" s="21"/>
      <c r="BF39" s="21"/>
      <c r="BG39" s="21"/>
      <c r="BH39" s="21"/>
      <c r="BI39" s="21"/>
      <c r="BJ39" s="21"/>
      <c r="BK39" s="21"/>
      <c r="BL39" s="21">
        <v>20.74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>
        <v>41.92</v>
      </c>
      <c r="CB39" s="21"/>
      <c r="CC39" s="21"/>
      <c r="CD39" s="131">
        <v>115.74</v>
      </c>
    </row>
    <row r="40" spans="1:82" ht="15" customHeight="1" x14ac:dyDescent="0.2">
      <c r="A40" s="20">
        <v>37</v>
      </c>
      <c r="B40" s="20" t="s">
        <v>254</v>
      </c>
      <c r="C40" s="20" t="s">
        <v>255</v>
      </c>
      <c r="D40" s="20" t="s">
        <v>247</v>
      </c>
      <c r="E40" s="20" t="s">
        <v>194</v>
      </c>
      <c r="F40" s="20" t="s">
        <v>146</v>
      </c>
      <c r="G40" s="21" t="s">
        <v>147</v>
      </c>
      <c r="H40" s="21" t="s">
        <v>148</v>
      </c>
      <c r="I40" s="21">
        <v>165</v>
      </c>
      <c r="J40" s="20">
        <v>149</v>
      </c>
      <c r="K40" s="21">
        <v>149</v>
      </c>
      <c r="L40" s="132" t="s">
        <v>256</v>
      </c>
      <c r="M40" s="20">
        <v>165.43333333333001</v>
      </c>
      <c r="N40" s="20">
        <v>-16.433333333333</v>
      </c>
      <c r="O40" s="133" t="s">
        <v>257</v>
      </c>
      <c r="P40" s="20" t="s">
        <v>185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>
        <v>135.75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>
        <v>13.25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131">
        <v>149</v>
      </c>
    </row>
    <row r="41" spans="1:82" ht="15" customHeight="1" x14ac:dyDescent="0.2">
      <c r="A41" s="20">
        <v>38</v>
      </c>
      <c r="B41" s="20" t="s">
        <v>258</v>
      </c>
      <c r="C41" s="20" t="s">
        <v>259</v>
      </c>
      <c r="D41" s="20" t="s">
        <v>214</v>
      </c>
      <c r="E41" s="20" t="s">
        <v>199</v>
      </c>
      <c r="F41" s="20" t="s">
        <v>146</v>
      </c>
      <c r="G41" s="21" t="s">
        <v>147</v>
      </c>
      <c r="H41" s="21" t="s">
        <v>188</v>
      </c>
      <c r="I41" s="21">
        <v>127.16</v>
      </c>
      <c r="J41" s="20">
        <v>125.91</v>
      </c>
      <c r="K41" s="21">
        <v>125.91</v>
      </c>
      <c r="L41" s="132" t="s">
        <v>260</v>
      </c>
      <c r="M41" s="20"/>
      <c r="N41" s="20"/>
      <c r="O41" s="134" t="s">
        <v>159</v>
      </c>
      <c r="P41" s="20" t="s">
        <v>185</v>
      </c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>
        <v>25.67</v>
      </c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>
        <v>2.75</v>
      </c>
      <c r="AW41" s="21">
        <v>3.5</v>
      </c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>
        <v>80.33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>
        <v>13.66</v>
      </c>
      <c r="CC41" s="21"/>
      <c r="CD41" s="131">
        <v>125.91</v>
      </c>
    </row>
    <row r="42" spans="1:82" ht="15" customHeight="1" x14ac:dyDescent="0.2">
      <c r="A42" s="20">
        <v>39</v>
      </c>
      <c r="B42" s="20" t="s">
        <v>261</v>
      </c>
      <c r="C42" s="20" t="s">
        <v>262</v>
      </c>
      <c r="D42" s="20" t="s">
        <v>194</v>
      </c>
      <c r="E42" s="20" t="s">
        <v>194</v>
      </c>
      <c r="F42" s="20" t="s">
        <v>175</v>
      </c>
      <c r="G42" s="21" t="s">
        <v>213</v>
      </c>
      <c r="H42" s="21" t="s">
        <v>148</v>
      </c>
      <c r="I42" s="21">
        <v>168.92</v>
      </c>
      <c r="J42" s="20">
        <v>168.92</v>
      </c>
      <c r="K42" s="21">
        <v>168.92</v>
      </c>
      <c r="L42" s="132" t="s">
        <v>149</v>
      </c>
      <c r="M42" s="20"/>
      <c r="N42" s="20"/>
      <c r="O42" s="134" t="s">
        <v>159</v>
      </c>
      <c r="P42" s="20" t="s">
        <v>185</v>
      </c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>
        <v>41</v>
      </c>
      <c r="AB42" s="21"/>
      <c r="AC42" s="21"/>
      <c r="AD42" s="21"/>
      <c r="AE42" s="21"/>
      <c r="AF42" s="21"/>
      <c r="AG42" s="21"/>
      <c r="AH42" s="21">
        <v>4.5</v>
      </c>
      <c r="AI42" s="21">
        <v>43.42</v>
      </c>
      <c r="AJ42" s="21">
        <v>28</v>
      </c>
      <c r="AK42" s="21"/>
      <c r="AL42" s="21"/>
      <c r="AM42" s="21"/>
      <c r="AN42" s="21"/>
      <c r="AO42" s="21"/>
      <c r="AP42" s="21"/>
      <c r="AQ42" s="21"/>
      <c r="AR42" s="21"/>
      <c r="AS42" s="21">
        <v>1</v>
      </c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>
        <v>31</v>
      </c>
      <c r="BF42" s="21"/>
      <c r="BG42" s="21"/>
      <c r="BH42" s="21">
        <v>17</v>
      </c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>
        <v>2</v>
      </c>
      <c r="BV42" s="21"/>
      <c r="BW42" s="21"/>
      <c r="BX42" s="21"/>
      <c r="BY42" s="21">
        <v>1</v>
      </c>
      <c r="BZ42" s="21"/>
      <c r="CA42" s="21"/>
      <c r="CB42" s="21"/>
      <c r="CC42" s="21"/>
      <c r="CD42" s="131">
        <v>168.92</v>
      </c>
    </row>
    <row r="43" spans="1:82" ht="15" customHeight="1" x14ac:dyDescent="0.2">
      <c r="A43" s="20">
        <v>40</v>
      </c>
      <c r="B43" s="20" t="s">
        <v>263</v>
      </c>
      <c r="C43" s="20" t="s">
        <v>264</v>
      </c>
      <c r="D43" s="20" t="s">
        <v>200</v>
      </c>
      <c r="E43" s="20" t="s">
        <v>202</v>
      </c>
      <c r="F43" s="20" t="s">
        <v>146</v>
      </c>
      <c r="G43" s="21" t="s">
        <v>147</v>
      </c>
      <c r="H43" s="21" t="s">
        <v>184</v>
      </c>
      <c r="I43" s="21">
        <v>109</v>
      </c>
      <c r="J43" s="20">
        <v>109</v>
      </c>
      <c r="K43" s="21">
        <v>109</v>
      </c>
      <c r="L43" s="132" t="s">
        <v>149</v>
      </c>
      <c r="M43" s="20"/>
      <c r="N43" s="20"/>
      <c r="O43" s="134" t="s">
        <v>159</v>
      </c>
      <c r="P43" s="20" t="s">
        <v>185</v>
      </c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>
        <v>109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131">
        <v>109</v>
      </c>
    </row>
    <row r="44" spans="1:82" ht="15" customHeight="1" x14ac:dyDescent="0.2">
      <c r="A44" s="20">
        <v>41</v>
      </c>
      <c r="B44" s="20" t="s">
        <v>265</v>
      </c>
      <c r="C44" s="20" t="s">
        <v>266</v>
      </c>
      <c r="D44" s="20" t="s">
        <v>200</v>
      </c>
      <c r="E44" s="20" t="s">
        <v>202</v>
      </c>
      <c r="F44" s="20" t="s">
        <v>146</v>
      </c>
      <c r="G44" s="21" t="s">
        <v>147</v>
      </c>
      <c r="H44" s="21" t="s">
        <v>184</v>
      </c>
      <c r="I44" s="21">
        <v>51</v>
      </c>
      <c r="J44" s="20">
        <v>51</v>
      </c>
      <c r="K44" s="21">
        <v>51</v>
      </c>
      <c r="L44" s="132" t="s">
        <v>149</v>
      </c>
      <c r="M44" s="20"/>
      <c r="N44" s="20"/>
      <c r="O44" s="134" t="s">
        <v>159</v>
      </c>
      <c r="P44" s="20" t="s">
        <v>185</v>
      </c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>
        <v>51</v>
      </c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131">
        <v>51</v>
      </c>
    </row>
    <row r="45" spans="1:82" ht="15" customHeight="1" x14ac:dyDescent="0.2">
      <c r="A45" s="20">
        <v>42</v>
      </c>
      <c r="B45" s="20" t="s">
        <v>267</v>
      </c>
      <c r="C45" s="20" t="s">
        <v>268</v>
      </c>
      <c r="D45" s="20" t="s">
        <v>269</v>
      </c>
      <c r="E45" s="20" t="s">
        <v>159</v>
      </c>
      <c r="F45" s="20" t="s">
        <v>146</v>
      </c>
      <c r="G45" s="21" t="s">
        <v>66</v>
      </c>
      <c r="H45" s="21" t="s">
        <v>221</v>
      </c>
      <c r="I45" s="21">
        <v>42.75</v>
      </c>
      <c r="J45" s="20">
        <v>42.75</v>
      </c>
      <c r="K45" s="21">
        <v>42.75</v>
      </c>
      <c r="L45" s="132" t="s">
        <v>149</v>
      </c>
      <c r="M45" s="20"/>
      <c r="N45" s="20"/>
      <c r="O45" s="134" t="s">
        <v>159</v>
      </c>
      <c r="P45" s="20" t="s">
        <v>185</v>
      </c>
      <c r="Q45" s="21">
        <v>1.83</v>
      </c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>
        <v>6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>
        <v>16.25</v>
      </c>
      <c r="AN45" s="21">
        <v>2.09</v>
      </c>
      <c r="AO45" s="21"/>
      <c r="AP45" s="21"/>
      <c r="AQ45" s="21"/>
      <c r="AR45" s="21"/>
      <c r="AS45" s="21"/>
      <c r="AT45" s="21">
        <v>6.67</v>
      </c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>
        <v>9.25</v>
      </c>
      <c r="BM45" s="21"/>
      <c r="BN45" s="21"/>
      <c r="BO45" s="21"/>
      <c r="BP45" s="21"/>
      <c r="BQ45" s="21"/>
      <c r="BR45" s="21"/>
      <c r="BS45" s="21"/>
      <c r="BT45" s="21">
        <v>0.66</v>
      </c>
      <c r="BU45" s="21"/>
      <c r="BV45" s="21"/>
      <c r="BW45" s="21"/>
      <c r="BX45" s="21"/>
      <c r="BY45" s="21"/>
      <c r="BZ45" s="21"/>
      <c r="CA45" s="21"/>
      <c r="CB45" s="21"/>
      <c r="CC45" s="21"/>
      <c r="CD45" s="131">
        <v>42.75</v>
      </c>
    </row>
    <row r="46" spans="1:82" ht="15" customHeight="1" x14ac:dyDescent="0.2">
      <c r="A46" s="20">
        <v>43</v>
      </c>
      <c r="B46" s="20" t="s">
        <v>270</v>
      </c>
      <c r="C46" s="20" t="s">
        <v>271</v>
      </c>
      <c r="D46" s="20" t="s">
        <v>247</v>
      </c>
      <c r="E46" s="20" t="s">
        <v>194</v>
      </c>
      <c r="F46" s="20" t="s">
        <v>170</v>
      </c>
      <c r="G46" s="21" t="s">
        <v>147</v>
      </c>
      <c r="H46" s="21" t="s">
        <v>148</v>
      </c>
      <c r="I46" s="21">
        <v>160.25</v>
      </c>
      <c r="J46" s="20">
        <v>132.5</v>
      </c>
      <c r="K46" s="21">
        <v>132.5</v>
      </c>
      <c r="L46" s="132" t="s">
        <v>272</v>
      </c>
      <c r="M46" s="20"/>
      <c r="N46" s="20"/>
      <c r="O46" s="134" t="s">
        <v>159</v>
      </c>
      <c r="P46" s="20" t="s">
        <v>185</v>
      </c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>
        <v>25.5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>
        <v>35</v>
      </c>
      <c r="BT46" s="21">
        <v>37.75</v>
      </c>
      <c r="BU46" s="21"/>
      <c r="BV46" s="21"/>
      <c r="BW46" s="21"/>
      <c r="BX46" s="21"/>
      <c r="BY46" s="21"/>
      <c r="BZ46" s="21"/>
      <c r="CA46" s="21">
        <v>34.25</v>
      </c>
      <c r="CB46" s="21"/>
      <c r="CC46" s="21"/>
      <c r="CD46" s="131">
        <v>132.5</v>
      </c>
    </row>
    <row r="47" spans="1:82" ht="15" customHeight="1" x14ac:dyDescent="0.2">
      <c r="A47" s="20">
        <v>44</v>
      </c>
      <c r="B47" s="20" t="s">
        <v>273</v>
      </c>
      <c r="C47" s="20" t="s">
        <v>274</v>
      </c>
      <c r="D47" s="20" t="s">
        <v>261</v>
      </c>
      <c r="E47" s="20" t="s">
        <v>261</v>
      </c>
      <c r="F47" s="20" t="s">
        <v>170</v>
      </c>
      <c r="G47" s="21" t="s">
        <v>158</v>
      </c>
      <c r="H47" s="21" t="s">
        <v>148</v>
      </c>
      <c r="I47" s="21">
        <v>166.37</v>
      </c>
      <c r="J47" s="20">
        <v>142.02000000000001</v>
      </c>
      <c r="K47" s="21">
        <v>142.02000000000001</v>
      </c>
      <c r="L47" s="132" t="s">
        <v>275</v>
      </c>
      <c r="M47" s="20">
        <v>164.65</v>
      </c>
      <c r="N47" s="20">
        <v>-22.63</v>
      </c>
      <c r="O47" s="133" t="s">
        <v>276</v>
      </c>
      <c r="P47" s="20" t="s">
        <v>185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>
        <v>7</v>
      </c>
      <c r="AB47" s="21"/>
      <c r="AC47" s="21"/>
      <c r="AD47" s="21"/>
      <c r="AE47" s="21"/>
      <c r="AF47" s="21"/>
      <c r="AG47" s="21"/>
      <c r="AH47" s="21">
        <v>18.57</v>
      </c>
      <c r="AI47" s="21">
        <v>49.57</v>
      </c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>
        <v>22.48</v>
      </c>
      <c r="BF47" s="21"/>
      <c r="BG47" s="21"/>
      <c r="BH47" s="21">
        <v>0.75</v>
      </c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>
        <v>43.65</v>
      </c>
      <c r="BV47" s="21"/>
      <c r="BW47" s="21"/>
      <c r="BX47" s="21"/>
      <c r="BY47" s="21"/>
      <c r="BZ47" s="21"/>
      <c r="CA47" s="21"/>
      <c r="CB47" s="21"/>
      <c r="CC47" s="21"/>
      <c r="CD47" s="131">
        <v>142.02000000000001</v>
      </c>
    </row>
    <row r="48" spans="1:82" ht="15" customHeight="1" x14ac:dyDescent="0.2">
      <c r="A48" s="20">
        <v>45</v>
      </c>
      <c r="B48" s="20" t="s">
        <v>277</v>
      </c>
      <c r="C48" s="20" t="s">
        <v>278</v>
      </c>
      <c r="D48" s="20" t="s">
        <v>237</v>
      </c>
      <c r="E48" s="20" t="s">
        <v>237</v>
      </c>
      <c r="F48" s="20" t="s">
        <v>146</v>
      </c>
      <c r="G48" s="21" t="s">
        <v>213</v>
      </c>
      <c r="H48" s="21" t="s">
        <v>238</v>
      </c>
      <c r="I48" s="21">
        <v>200</v>
      </c>
      <c r="J48" s="20">
        <v>180</v>
      </c>
      <c r="K48" s="21">
        <v>180</v>
      </c>
      <c r="L48" s="132" t="s">
        <v>279</v>
      </c>
      <c r="M48" s="20"/>
      <c r="N48" s="20"/>
      <c r="O48" s="134" t="s">
        <v>159</v>
      </c>
      <c r="P48" s="20" t="s">
        <v>185</v>
      </c>
      <c r="Q48" s="21"/>
      <c r="R48" s="21"/>
      <c r="S48" s="21"/>
      <c r="T48" s="21"/>
      <c r="U48" s="21"/>
      <c r="V48" s="21"/>
      <c r="W48" s="21"/>
      <c r="X48" s="21">
        <v>180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131">
        <v>180</v>
      </c>
    </row>
    <row r="49" spans="1:82" ht="15" customHeight="1" x14ac:dyDescent="0.2">
      <c r="A49" s="20">
        <v>46</v>
      </c>
      <c r="B49" s="20" t="s">
        <v>280</v>
      </c>
      <c r="C49" s="20" t="s">
        <v>281</v>
      </c>
      <c r="D49" s="20" t="s">
        <v>220</v>
      </c>
      <c r="E49" s="20" t="s">
        <v>220</v>
      </c>
      <c r="F49" s="20" t="s">
        <v>146</v>
      </c>
      <c r="G49" s="21" t="s">
        <v>158</v>
      </c>
      <c r="H49" s="21" t="s">
        <v>221</v>
      </c>
      <c r="I49" s="21">
        <v>160.5</v>
      </c>
      <c r="J49" s="20">
        <v>160.5</v>
      </c>
      <c r="K49" s="21">
        <v>160.5</v>
      </c>
      <c r="L49" s="132" t="s">
        <v>149</v>
      </c>
      <c r="M49" s="20"/>
      <c r="N49" s="20"/>
      <c r="O49" s="134" t="s">
        <v>159</v>
      </c>
      <c r="P49" s="20" t="s">
        <v>185</v>
      </c>
      <c r="Q49" s="21">
        <v>20.25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>
        <v>1</v>
      </c>
      <c r="AC49" s="21"/>
      <c r="AD49" s="21"/>
      <c r="AE49" s="21"/>
      <c r="AF49" s="21"/>
      <c r="AG49" s="21"/>
      <c r="AH49" s="21"/>
      <c r="AI49" s="21">
        <v>105.25</v>
      </c>
      <c r="AJ49" s="21"/>
      <c r="AK49" s="21"/>
      <c r="AL49" s="21"/>
      <c r="AM49" s="21">
        <v>1.5</v>
      </c>
      <c r="AN49" s="21">
        <v>5</v>
      </c>
      <c r="AO49" s="21"/>
      <c r="AP49" s="21"/>
      <c r="AQ49" s="21"/>
      <c r="AR49" s="21"/>
      <c r="AS49" s="21"/>
      <c r="AT49" s="21">
        <v>1.75</v>
      </c>
      <c r="AU49" s="21"/>
      <c r="AV49" s="21"/>
      <c r="AW49" s="21"/>
      <c r="AX49" s="21"/>
      <c r="AY49" s="21"/>
      <c r="AZ49" s="21">
        <v>9.75</v>
      </c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>
        <v>0.5</v>
      </c>
      <c r="BL49" s="21">
        <v>15.5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131">
        <v>160.5</v>
      </c>
    </row>
    <row r="50" spans="1:82" ht="15" customHeight="1" x14ac:dyDescent="0.2">
      <c r="A50" s="20">
        <v>47</v>
      </c>
      <c r="B50" s="20" t="s">
        <v>282</v>
      </c>
      <c r="C50" s="20" t="s">
        <v>283</v>
      </c>
      <c r="D50" s="20" t="s">
        <v>237</v>
      </c>
      <c r="E50" s="20" t="s">
        <v>237</v>
      </c>
      <c r="F50" s="20" t="s">
        <v>146</v>
      </c>
      <c r="G50" s="21" t="s">
        <v>284</v>
      </c>
      <c r="H50" s="21" t="s">
        <v>238</v>
      </c>
      <c r="I50" s="21"/>
      <c r="J50" s="20"/>
      <c r="K50" s="21"/>
      <c r="L50" s="136" t="s">
        <v>159</v>
      </c>
      <c r="M50" s="20"/>
      <c r="N50" s="20"/>
      <c r="O50" s="134" t="s">
        <v>159</v>
      </c>
      <c r="P50" s="20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131"/>
    </row>
    <row r="51" spans="1:82" ht="15" customHeight="1" x14ac:dyDescent="0.2">
      <c r="A51" s="20">
        <v>48</v>
      </c>
      <c r="B51" s="20" t="s">
        <v>285</v>
      </c>
      <c r="C51" s="20" t="s">
        <v>286</v>
      </c>
      <c r="D51" s="20" t="s">
        <v>220</v>
      </c>
      <c r="E51" s="20" t="s">
        <v>220</v>
      </c>
      <c r="F51" s="20" t="s">
        <v>146</v>
      </c>
      <c r="G51" s="21" t="s">
        <v>147</v>
      </c>
      <c r="H51" s="21" t="s">
        <v>221</v>
      </c>
      <c r="I51" s="21">
        <v>153.6</v>
      </c>
      <c r="J51" s="20">
        <v>153.6</v>
      </c>
      <c r="K51" s="21">
        <v>153.6</v>
      </c>
      <c r="L51" s="132" t="s">
        <v>149</v>
      </c>
      <c r="M51" s="20">
        <v>212.93333333333001</v>
      </c>
      <c r="N51" s="20">
        <v>-59.333333333333002</v>
      </c>
      <c r="O51" s="135" t="s">
        <v>287</v>
      </c>
      <c r="P51" s="20" t="s">
        <v>185</v>
      </c>
      <c r="Q51" s="21">
        <v>2.33</v>
      </c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>
        <v>0.75</v>
      </c>
      <c r="AC51" s="21"/>
      <c r="AD51" s="21"/>
      <c r="AE51" s="21"/>
      <c r="AF51" s="21"/>
      <c r="AG51" s="21"/>
      <c r="AH51" s="21"/>
      <c r="AI51" s="21">
        <v>77.09</v>
      </c>
      <c r="AJ51" s="21"/>
      <c r="AK51" s="21"/>
      <c r="AL51" s="21"/>
      <c r="AM51" s="21">
        <v>25.84</v>
      </c>
      <c r="AN51" s="21"/>
      <c r="AO51" s="21"/>
      <c r="AP51" s="21"/>
      <c r="AQ51" s="21"/>
      <c r="AR51" s="21"/>
      <c r="AS51" s="21"/>
      <c r="AT51" s="21">
        <v>12.5</v>
      </c>
      <c r="AU51" s="21"/>
      <c r="AV51" s="21"/>
      <c r="AW51" s="21"/>
      <c r="AX51" s="21"/>
      <c r="AY51" s="21"/>
      <c r="AZ51" s="21">
        <v>14</v>
      </c>
      <c r="BA51" s="21"/>
      <c r="BB51" s="21"/>
      <c r="BC51" s="21"/>
      <c r="BD51" s="21"/>
      <c r="BE51" s="21">
        <v>3.75</v>
      </c>
      <c r="BF51" s="21"/>
      <c r="BG51" s="21"/>
      <c r="BH51" s="21"/>
      <c r="BI51" s="21"/>
      <c r="BJ51" s="21"/>
      <c r="BK51" s="21">
        <v>1.42</v>
      </c>
      <c r="BL51" s="21">
        <v>15.92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131">
        <v>153.6</v>
      </c>
    </row>
    <row r="52" spans="1:82" ht="15" customHeight="1" x14ac:dyDescent="0.2">
      <c r="A52" s="20">
        <v>49</v>
      </c>
      <c r="B52" s="20" t="s">
        <v>288</v>
      </c>
      <c r="C52" s="20" t="s">
        <v>289</v>
      </c>
      <c r="D52" s="20" t="s">
        <v>220</v>
      </c>
      <c r="E52" s="20" t="s">
        <v>220</v>
      </c>
      <c r="F52" s="20" t="s">
        <v>146</v>
      </c>
      <c r="G52" s="21" t="s">
        <v>147</v>
      </c>
      <c r="H52" s="21" t="s">
        <v>221</v>
      </c>
      <c r="I52" s="21">
        <v>119.16</v>
      </c>
      <c r="J52" s="20">
        <v>119.16</v>
      </c>
      <c r="K52" s="21">
        <v>119.16</v>
      </c>
      <c r="L52" s="132" t="s">
        <v>149</v>
      </c>
      <c r="M52" s="20"/>
      <c r="N52" s="20"/>
      <c r="O52" s="134" t="s">
        <v>159</v>
      </c>
      <c r="P52" s="20" t="s">
        <v>185</v>
      </c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>
        <v>8.83</v>
      </c>
      <c r="AH52" s="21"/>
      <c r="AI52" s="21">
        <v>53.91</v>
      </c>
      <c r="AJ52" s="21"/>
      <c r="AK52" s="21"/>
      <c r="AL52" s="21"/>
      <c r="AM52" s="21"/>
      <c r="AN52" s="21">
        <v>52.09</v>
      </c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>
        <v>4.33</v>
      </c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131">
        <v>119.16</v>
      </c>
    </row>
    <row r="53" spans="1:82" ht="15" customHeight="1" x14ac:dyDescent="0.2">
      <c r="A53" s="20">
        <v>50</v>
      </c>
      <c r="B53" s="20" t="s">
        <v>290</v>
      </c>
      <c r="C53" s="20" t="s">
        <v>291</v>
      </c>
      <c r="D53" s="20" t="s">
        <v>247</v>
      </c>
      <c r="E53" s="20" t="s">
        <v>194</v>
      </c>
      <c r="F53" s="20" t="s">
        <v>170</v>
      </c>
      <c r="G53" s="21" t="s">
        <v>158</v>
      </c>
      <c r="H53" s="21" t="s">
        <v>148</v>
      </c>
      <c r="I53" s="21">
        <v>55.91</v>
      </c>
      <c r="J53" s="20">
        <v>55.91</v>
      </c>
      <c r="K53" s="21">
        <v>55.91</v>
      </c>
      <c r="L53" s="132" t="s">
        <v>149</v>
      </c>
      <c r="M53" s="20"/>
      <c r="N53" s="20"/>
      <c r="O53" s="134" t="s">
        <v>159</v>
      </c>
      <c r="P53" s="20" t="s">
        <v>181</v>
      </c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>
        <v>8.75</v>
      </c>
      <c r="AB53" s="21"/>
      <c r="AC53" s="21"/>
      <c r="AD53" s="21"/>
      <c r="AE53" s="21"/>
      <c r="AF53" s="21"/>
      <c r="AG53" s="21"/>
      <c r="AH53" s="21"/>
      <c r="AI53" s="21">
        <v>2.08</v>
      </c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>
        <v>45.08</v>
      </c>
      <c r="BU53" s="21"/>
      <c r="BV53" s="21"/>
      <c r="BW53" s="21"/>
      <c r="BX53" s="21"/>
      <c r="BY53" s="21"/>
      <c r="BZ53" s="21"/>
      <c r="CA53" s="21"/>
      <c r="CB53" s="21"/>
      <c r="CC53" s="21"/>
      <c r="CD53" s="131">
        <v>55.91</v>
      </c>
    </row>
    <row r="54" spans="1:82" ht="15" customHeight="1" x14ac:dyDescent="0.2">
      <c r="A54" s="20">
        <v>51</v>
      </c>
      <c r="B54" s="20" t="s">
        <v>292</v>
      </c>
      <c r="C54" s="20" t="s">
        <v>293</v>
      </c>
      <c r="D54" s="20" t="s">
        <v>177</v>
      </c>
      <c r="E54" s="20" t="s">
        <v>177</v>
      </c>
      <c r="F54" s="20" t="s">
        <v>170</v>
      </c>
      <c r="G54" s="21" t="s">
        <v>213</v>
      </c>
      <c r="H54" s="21" t="s">
        <v>294</v>
      </c>
      <c r="I54" s="21">
        <v>150.5</v>
      </c>
      <c r="J54" s="20">
        <v>150.5</v>
      </c>
      <c r="K54" s="21">
        <v>150.5</v>
      </c>
      <c r="L54" s="132" t="s">
        <v>149</v>
      </c>
      <c r="M54" s="20">
        <v>185.03333333333001</v>
      </c>
      <c r="N54" s="20">
        <v>-34.533333333332997</v>
      </c>
      <c r="O54" s="133" t="s">
        <v>295</v>
      </c>
      <c r="P54" s="20" t="s">
        <v>185</v>
      </c>
      <c r="Q54" s="21">
        <v>25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>
        <v>27.25</v>
      </c>
      <c r="AJ54" s="21"/>
      <c r="AK54" s="21"/>
      <c r="AL54" s="21"/>
      <c r="AM54" s="21">
        <v>11.25</v>
      </c>
      <c r="AN54" s="21"/>
      <c r="AO54" s="21"/>
      <c r="AP54" s="21"/>
      <c r="AQ54" s="21"/>
      <c r="AR54" s="21"/>
      <c r="AS54" s="21"/>
      <c r="AT54" s="21">
        <v>35.75</v>
      </c>
      <c r="AU54" s="21"/>
      <c r="AV54" s="21"/>
      <c r="AW54" s="21"/>
      <c r="AX54" s="21"/>
      <c r="AY54" s="21"/>
      <c r="AZ54" s="21">
        <v>4.25</v>
      </c>
      <c r="BA54" s="21"/>
      <c r="BB54" s="21"/>
      <c r="BC54" s="21"/>
      <c r="BD54" s="21"/>
      <c r="BE54" s="21">
        <v>26</v>
      </c>
      <c r="BF54" s="21"/>
      <c r="BG54" s="21"/>
      <c r="BH54" s="21"/>
      <c r="BI54" s="21"/>
      <c r="BJ54" s="21"/>
      <c r="BK54" s="21"/>
      <c r="BL54" s="21">
        <v>13.5</v>
      </c>
      <c r="BM54" s="21"/>
      <c r="BN54" s="21"/>
      <c r="BO54" s="21"/>
      <c r="BP54" s="21"/>
      <c r="BQ54" s="21"/>
      <c r="BR54" s="21"/>
      <c r="BS54" s="21"/>
      <c r="BT54" s="21">
        <v>7.5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131">
        <v>150.5</v>
      </c>
    </row>
    <row r="55" spans="1:82" ht="15" customHeight="1" x14ac:dyDescent="0.2">
      <c r="A55" s="20">
        <v>52</v>
      </c>
      <c r="B55" s="20" t="s">
        <v>296</v>
      </c>
      <c r="C55" s="20" t="s">
        <v>297</v>
      </c>
      <c r="D55" s="20" t="s">
        <v>247</v>
      </c>
      <c r="E55" s="20" t="s">
        <v>194</v>
      </c>
      <c r="F55" s="20" t="s">
        <v>170</v>
      </c>
      <c r="G55" s="21" t="s">
        <v>147</v>
      </c>
      <c r="H55" s="21" t="s">
        <v>148</v>
      </c>
      <c r="I55" s="21">
        <v>102.39</v>
      </c>
      <c r="J55" s="20">
        <v>92.31</v>
      </c>
      <c r="K55" s="21">
        <v>92.31</v>
      </c>
      <c r="L55" s="132" t="s">
        <v>298</v>
      </c>
      <c r="M55" s="20"/>
      <c r="N55" s="20"/>
      <c r="O55" s="134" t="s">
        <v>159</v>
      </c>
      <c r="P55" s="20" t="s">
        <v>185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>
        <v>3.32</v>
      </c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>
        <v>88.99</v>
      </c>
      <c r="CB55" s="21"/>
      <c r="CC55" s="21"/>
      <c r="CD55" s="131">
        <v>92.31</v>
      </c>
    </row>
    <row r="56" spans="1:82" ht="15" customHeight="1" x14ac:dyDescent="0.2">
      <c r="A56" s="20">
        <v>53</v>
      </c>
      <c r="B56" s="20" t="s">
        <v>299</v>
      </c>
      <c r="C56" s="20" t="s">
        <v>300</v>
      </c>
      <c r="D56" s="20" t="s">
        <v>214</v>
      </c>
      <c r="E56" s="20" t="s">
        <v>199</v>
      </c>
      <c r="F56" s="20" t="s">
        <v>170</v>
      </c>
      <c r="G56" s="21" t="s">
        <v>147</v>
      </c>
      <c r="H56" s="21" t="s">
        <v>148</v>
      </c>
      <c r="I56" s="21">
        <v>103.38</v>
      </c>
      <c r="J56" s="20">
        <v>103.38</v>
      </c>
      <c r="K56" s="21">
        <v>103.38</v>
      </c>
      <c r="L56" s="132" t="s">
        <v>149</v>
      </c>
      <c r="M56" s="20"/>
      <c r="N56" s="20"/>
      <c r="O56" s="134" t="s">
        <v>159</v>
      </c>
      <c r="P56" s="20" t="s">
        <v>185</v>
      </c>
      <c r="Q56" s="21"/>
      <c r="R56" s="21"/>
      <c r="S56" s="21"/>
      <c r="T56" s="21"/>
      <c r="U56" s="21"/>
      <c r="V56" s="21">
        <v>2.34</v>
      </c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>
        <v>20.079999999999998</v>
      </c>
      <c r="AH56" s="21"/>
      <c r="AI56" s="21">
        <v>1.67</v>
      </c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>
        <v>33.07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>
        <v>31.99</v>
      </c>
      <c r="BO56" s="21"/>
      <c r="BP56" s="21"/>
      <c r="BQ56" s="21"/>
      <c r="BR56" s="21"/>
      <c r="BS56" s="21"/>
      <c r="BT56" s="21"/>
      <c r="BU56" s="21"/>
      <c r="BV56" s="21"/>
      <c r="BW56" s="21">
        <v>14.23</v>
      </c>
      <c r="BX56" s="21"/>
      <c r="BY56" s="21"/>
      <c r="BZ56" s="21"/>
      <c r="CA56" s="21"/>
      <c r="CB56" s="21"/>
      <c r="CC56" s="21"/>
      <c r="CD56" s="131">
        <v>103.38</v>
      </c>
    </row>
    <row r="57" spans="1:82" ht="15" customHeight="1" x14ac:dyDescent="0.2">
      <c r="A57" s="20">
        <v>54</v>
      </c>
      <c r="B57" s="20" t="s">
        <v>301</v>
      </c>
      <c r="C57" s="20" t="s">
        <v>302</v>
      </c>
      <c r="D57" s="20" t="s">
        <v>197</v>
      </c>
      <c r="E57" s="20" t="s">
        <v>199</v>
      </c>
      <c r="F57" s="20" t="s">
        <v>170</v>
      </c>
      <c r="G57" s="21" t="s">
        <v>176</v>
      </c>
      <c r="H57" s="21" t="s">
        <v>148</v>
      </c>
      <c r="I57" s="21">
        <v>160</v>
      </c>
      <c r="J57" s="20">
        <v>160</v>
      </c>
      <c r="K57" s="21">
        <v>160</v>
      </c>
      <c r="L57" s="132" t="s">
        <v>149</v>
      </c>
      <c r="M57" s="20"/>
      <c r="N57" s="20"/>
      <c r="O57" s="134" t="s">
        <v>159</v>
      </c>
      <c r="P57" s="20" t="s">
        <v>185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>
        <v>3.67</v>
      </c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>
        <v>29.75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>
        <v>126.58</v>
      </c>
      <c r="CB57" s="21"/>
      <c r="CC57" s="21"/>
      <c r="CD57" s="131">
        <v>160</v>
      </c>
    </row>
    <row r="58" spans="1:82" ht="15" customHeight="1" x14ac:dyDescent="0.2">
      <c r="A58" s="20">
        <v>55</v>
      </c>
      <c r="B58" s="20" t="s">
        <v>269</v>
      </c>
      <c r="C58" s="20" t="s">
        <v>303</v>
      </c>
      <c r="D58" s="20" t="s">
        <v>179</v>
      </c>
      <c r="E58" s="20" t="s">
        <v>159</v>
      </c>
      <c r="F58" s="20" t="s">
        <v>146</v>
      </c>
      <c r="G58" s="21" t="s">
        <v>304</v>
      </c>
      <c r="H58" s="21" t="s">
        <v>305</v>
      </c>
      <c r="I58" s="21">
        <v>177.82</v>
      </c>
      <c r="J58" s="20">
        <v>177.82</v>
      </c>
      <c r="K58" s="21">
        <v>177.82</v>
      </c>
      <c r="L58" s="132" t="s">
        <v>149</v>
      </c>
      <c r="M58" s="20">
        <v>77.116666666667001</v>
      </c>
      <c r="N58" s="20">
        <v>100.70333333332999</v>
      </c>
      <c r="O58" s="135" t="s">
        <v>306</v>
      </c>
      <c r="P58" s="20" t="s">
        <v>185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>
        <v>115</v>
      </c>
      <c r="AJ58" s="21"/>
      <c r="AK58" s="21"/>
      <c r="AL58" s="21"/>
      <c r="AM58" s="21">
        <v>3.25</v>
      </c>
      <c r="AN58" s="21"/>
      <c r="AO58" s="21"/>
      <c r="AP58" s="21"/>
      <c r="AQ58" s="21"/>
      <c r="AR58" s="21"/>
      <c r="AS58" s="21"/>
      <c r="AT58" s="21">
        <v>15</v>
      </c>
      <c r="AU58" s="21">
        <v>1.1599999999999999</v>
      </c>
      <c r="AV58" s="21"/>
      <c r="AW58" s="21"/>
      <c r="AX58" s="21"/>
      <c r="AY58" s="21"/>
      <c r="AZ58" s="21"/>
      <c r="BA58" s="21"/>
      <c r="BB58" s="21"/>
      <c r="BC58" s="21"/>
      <c r="BD58" s="21"/>
      <c r="BE58" s="21">
        <v>40.159999999999997</v>
      </c>
      <c r="BF58" s="21"/>
      <c r="BG58" s="21"/>
      <c r="BH58" s="21"/>
      <c r="BI58" s="21"/>
      <c r="BJ58" s="21"/>
      <c r="BK58" s="21"/>
      <c r="BL58" s="21">
        <v>0.5</v>
      </c>
      <c r="BM58" s="21"/>
      <c r="BN58" s="21"/>
      <c r="BO58" s="21"/>
      <c r="BP58" s="21"/>
      <c r="BQ58" s="21"/>
      <c r="BR58" s="21"/>
      <c r="BS58" s="21"/>
      <c r="BT58" s="21">
        <v>2.75</v>
      </c>
      <c r="BU58" s="21"/>
      <c r="BV58" s="21"/>
      <c r="BW58" s="21"/>
      <c r="BX58" s="21"/>
      <c r="BY58" s="21"/>
      <c r="BZ58" s="21"/>
      <c r="CA58" s="21"/>
      <c r="CB58" s="21"/>
      <c r="CC58" s="21"/>
      <c r="CD58" s="131">
        <v>177.82</v>
      </c>
    </row>
    <row r="59" spans="1:82" ht="15" customHeight="1" x14ac:dyDescent="0.2">
      <c r="A59" s="20">
        <v>56</v>
      </c>
      <c r="B59" s="20" t="s">
        <v>307</v>
      </c>
      <c r="C59" s="20" t="s">
        <v>308</v>
      </c>
      <c r="D59" s="20" t="s">
        <v>261</v>
      </c>
      <c r="E59" s="20" t="s">
        <v>194</v>
      </c>
      <c r="F59" s="20" t="s">
        <v>170</v>
      </c>
      <c r="G59" s="21" t="s">
        <v>147</v>
      </c>
      <c r="H59" s="21" t="s">
        <v>148</v>
      </c>
      <c r="I59" s="21">
        <v>80.09</v>
      </c>
      <c r="J59" s="20">
        <v>78.17</v>
      </c>
      <c r="K59" s="21">
        <v>78.17</v>
      </c>
      <c r="L59" s="132" t="s">
        <v>309</v>
      </c>
      <c r="M59" s="20"/>
      <c r="N59" s="20"/>
      <c r="O59" s="134" t="s">
        <v>159</v>
      </c>
      <c r="P59" s="20" t="s">
        <v>185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>
        <v>2.42</v>
      </c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>
        <v>72.17</v>
      </c>
      <c r="BF59" s="21"/>
      <c r="BG59" s="21"/>
      <c r="BH59" s="21">
        <v>3.58</v>
      </c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131">
        <v>78.17</v>
      </c>
    </row>
    <row r="60" spans="1:82" ht="15" customHeight="1" x14ac:dyDescent="0.2">
      <c r="A60" s="20">
        <v>57</v>
      </c>
      <c r="B60" s="20" t="s">
        <v>310</v>
      </c>
      <c r="C60" s="20" t="s">
        <v>311</v>
      </c>
      <c r="D60" s="20" t="s">
        <v>197</v>
      </c>
      <c r="E60" s="20" t="s">
        <v>199</v>
      </c>
      <c r="F60" s="20" t="s">
        <v>170</v>
      </c>
      <c r="G60" s="21" t="s">
        <v>147</v>
      </c>
      <c r="H60" s="21" t="s">
        <v>148</v>
      </c>
      <c r="I60" s="21">
        <v>177.89</v>
      </c>
      <c r="J60" s="20">
        <v>177.89</v>
      </c>
      <c r="K60" s="21">
        <v>177.89</v>
      </c>
      <c r="L60" s="132" t="s">
        <v>149</v>
      </c>
      <c r="M60" s="20"/>
      <c r="N60" s="20"/>
      <c r="O60" s="134" t="s">
        <v>159</v>
      </c>
      <c r="P60" s="20" t="s">
        <v>151</v>
      </c>
      <c r="Q60" s="21"/>
      <c r="R60" s="21"/>
      <c r="S60" s="21"/>
      <c r="T60" s="21"/>
      <c r="U60" s="21">
        <v>10.74</v>
      </c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>
        <v>3.41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>
        <v>87.67</v>
      </c>
      <c r="BC60" s="21"/>
      <c r="BD60" s="21"/>
      <c r="BE60" s="21"/>
      <c r="BF60" s="21"/>
      <c r="BG60" s="21"/>
      <c r="BH60" s="21"/>
      <c r="BI60" s="21"/>
      <c r="BJ60" s="21"/>
      <c r="BK60" s="21"/>
      <c r="BL60" s="21">
        <v>65.400000000000006</v>
      </c>
      <c r="BM60" s="21">
        <v>10.67</v>
      </c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131">
        <v>177.89</v>
      </c>
    </row>
    <row r="61" spans="1:82" ht="15" customHeight="1" x14ac:dyDescent="0.2">
      <c r="A61" s="20">
        <v>58</v>
      </c>
      <c r="B61" s="20" t="s">
        <v>312</v>
      </c>
      <c r="C61" s="20" t="s">
        <v>313</v>
      </c>
      <c r="D61" s="20" t="s">
        <v>214</v>
      </c>
      <c r="E61" s="20" t="s">
        <v>199</v>
      </c>
      <c r="F61" s="20" t="s">
        <v>170</v>
      </c>
      <c r="G61" s="21" t="s">
        <v>147</v>
      </c>
      <c r="H61" s="21" t="s">
        <v>148</v>
      </c>
      <c r="I61" s="21">
        <v>117.87</v>
      </c>
      <c r="J61" s="20">
        <v>112.78</v>
      </c>
      <c r="K61" s="21">
        <v>112.78</v>
      </c>
      <c r="L61" s="132" t="s">
        <v>314</v>
      </c>
      <c r="M61" s="20"/>
      <c r="N61" s="20"/>
      <c r="O61" s="134" t="s">
        <v>159</v>
      </c>
      <c r="P61" s="20" t="s">
        <v>185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>
        <v>3.92</v>
      </c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>
        <v>2.5</v>
      </c>
      <c r="AW61" s="21">
        <v>0.67</v>
      </c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>
        <v>37.340000000000003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>
        <v>68.349999999999994</v>
      </c>
      <c r="CC61" s="21"/>
      <c r="CD61" s="131">
        <v>112.78</v>
      </c>
    </row>
    <row r="62" spans="1:82" ht="15" customHeight="1" x14ac:dyDescent="0.2">
      <c r="A62" s="20">
        <v>59</v>
      </c>
      <c r="B62" s="20" t="s">
        <v>315</v>
      </c>
      <c r="C62" s="20" t="s">
        <v>316</v>
      </c>
      <c r="D62" s="20" t="s">
        <v>317</v>
      </c>
      <c r="E62" s="20" t="s">
        <v>159</v>
      </c>
      <c r="F62" s="20" t="s">
        <v>146</v>
      </c>
      <c r="G62" s="21" t="s">
        <v>318</v>
      </c>
      <c r="H62" s="21" t="s">
        <v>238</v>
      </c>
      <c r="I62" s="21"/>
      <c r="J62" s="20"/>
      <c r="K62" s="21"/>
      <c r="L62" s="136" t="s">
        <v>159</v>
      </c>
      <c r="M62" s="20"/>
      <c r="N62" s="20"/>
      <c r="O62" s="134" t="s">
        <v>159</v>
      </c>
      <c r="P62" s="20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131"/>
    </row>
    <row r="63" spans="1:82" ht="15" customHeight="1" x14ac:dyDescent="0.2">
      <c r="A63" s="20">
        <v>60</v>
      </c>
      <c r="B63" s="20" t="s">
        <v>319</v>
      </c>
      <c r="C63" s="20" t="s">
        <v>320</v>
      </c>
      <c r="D63" s="20" t="s">
        <v>154</v>
      </c>
      <c r="E63" s="20" t="s">
        <v>145</v>
      </c>
      <c r="F63" s="20" t="s">
        <v>170</v>
      </c>
      <c r="G63" s="21" t="s">
        <v>158</v>
      </c>
      <c r="H63" s="21" t="s">
        <v>148</v>
      </c>
      <c r="I63" s="21">
        <v>132.13</v>
      </c>
      <c r="J63" s="20">
        <v>131.78</v>
      </c>
      <c r="K63" s="21">
        <v>131.78</v>
      </c>
      <c r="L63" s="132" t="s">
        <v>321</v>
      </c>
      <c r="M63" s="20">
        <v>115.18333333333</v>
      </c>
      <c r="N63" s="20">
        <v>16.596666666667002</v>
      </c>
      <c r="O63" s="133" t="s">
        <v>322</v>
      </c>
      <c r="P63" s="20" t="s">
        <v>193</v>
      </c>
      <c r="Q63" s="21"/>
      <c r="R63" s="21"/>
      <c r="S63" s="21"/>
      <c r="T63" s="21">
        <v>128.66</v>
      </c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>
        <v>3.12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131">
        <v>131.78</v>
      </c>
    </row>
    <row r="64" spans="1:82" ht="15" customHeight="1" x14ac:dyDescent="0.2">
      <c r="A64" s="20">
        <v>61</v>
      </c>
      <c r="B64" s="20" t="s">
        <v>323</v>
      </c>
      <c r="C64" s="20" t="s">
        <v>324</v>
      </c>
      <c r="D64" s="20" t="s">
        <v>154</v>
      </c>
      <c r="E64" s="20" t="s">
        <v>145</v>
      </c>
      <c r="F64" s="20" t="s">
        <v>170</v>
      </c>
      <c r="G64" s="21" t="s">
        <v>176</v>
      </c>
      <c r="H64" s="21" t="s">
        <v>148</v>
      </c>
      <c r="I64" s="21">
        <v>185.75</v>
      </c>
      <c r="J64" s="20">
        <v>185.75</v>
      </c>
      <c r="K64" s="21">
        <v>185.75</v>
      </c>
      <c r="L64" s="132" t="s">
        <v>149</v>
      </c>
      <c r="M64" s="20"/>
      <c r="N64" s="20"/>
      <c r="O64" s="134" t="s">
        <v>159</v>
      </c>
      <c r="P64" s="20" t="s">
        <v>185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137</v>
      </c>
      <c r="AD64" s="21"/>
      <c r="AE64" s="21"/>
      <c r="AF64" s="21"/>
      <c r="AG64" s="21"/>
      <c r="AH64" s="21"/>
      <c r="AI64" s="21">
        <v>7.75</v>
      </c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>
        <v>41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131">
        <v>185.75</v>
      </c>
    </row>
    <row r="65" spans="1:82" ht="15" customHeight="1" x14ac:dyDescent="0.2">
      <c r="A65" s="20">
        <v>62</v>
      </c>
      <c r="B65" s="20" t="s">
        <v>325</v>
      </c>
      <c r="C65" s="20" t="s">
        <v>326</v>
      </c>
      <c r="D65" s="20" t="s">
        <v>197</v>
      </c>
      <c r="E65" s="20" t="s">
        <v>199</v>
      </c>
      <c r="F65" s="20" t="s">
        <v>170</v>
      </c>
      <c r="G65" s="21" t="s">
        <v>158</v>
      </c>
      <c r="H65" s="21" t="s">
        <v>148</v>
      </c>
      <c r="I65" s="21"/>
      <c r="J65" s="20"/>
      <c r="K65" s="21"/>
      <c r="L65" s="136" t="s">
        <v>159</v>
      </c>
      <c r="M65" s="20"/>
      <c r="N65" s="20"/>
      <c r="O65" s="134" t="s">
        <v>159</v>
      </c>
      <c r="P65" s="20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131"/>
    </row>
    <row r="66" spans="1:82" ht="15" customHeight="1" x14ac:dyDescent="0.2">
      <c r="A66" s="20">
        <v>63</v>
      </c>
      <c r="B66" s="20" t="s">
        <v>327</v>
      </c>
      <c r="C66" s="20" t="s">
        <v>328</v>
      </c>
      <c r="D66" s="20" t="s">
        <v>329</v>
      </c>
      <c r="E66" s="20" t="s">
        <v>329</v>
      </c>
      <c r="F66" s="20" t="s">
        <v>146</v>
      </c>
      <c r="G66" s="21" t="s">
        <v>158</v>
      </c>
      <c r="H66" s="21" t="s">
        <v>330</v>
      </c>
      <c r="I66" s="21">
        <v>167.77</v>
      </c>
      <c r="J66" s="20">
        <v>150.27000000000001</v>
      </c>
      <c r="K66" s="21">
        <v>150.27000000000001</v>
      </c>
      <c r="L66" s="132" t="s">
        <v>331</v>
      </c>
      <c r="M66" s="20"/>
      <c r="N66" s="20"/>
      <c r="O66" s="134" t="s">
        <v>159</v>
      </c>
      <c r="P66" s="20" t="s">
        <v>185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>
        <v>150.27000000000001</v>
      </c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131">
        <v>150.27000000000001</v>
      </c>
    </row>
    <row r="67" spans="1:82" ht="15" customHeight="1" x14ac:dyDescent="0.2">
      <c r="A67" s="20">
        <v>64</v>
      </c>
      <c r="B67" s="20" t="s">
        <v>332</v>
      </c>
      <c r="C67" s="20" t="s">
        <v>333</v>
      </c>
      <c r="D67" s="20" t="s">
        <v>177</v>
      </c>
      <c r="E67" s="20" t="s">
        <v>177</v>
      </c>
      <c r="F67" s="20" t="s">
        <v>170</v>
      </c>
      <c r="G67" s="21" t="s">
        <v>147</v>
      </c>
      <c r="H67" s="21" t="s">
        <v>148</v>
      </c>
      <c r="I67" s="21">
        <v>145.74</v>
      </c>
      <c r="J67" s="20">
        <v>136.24</v>
      </c>
      <c r="K67" s="21">
        <v>136.24</v>
      </c>
      <c r="L67" s="132" t="s">
        <v>334</v>
      </c>
      <c r="M67" s="20">
        <v>144.19999999999999</v>
      </c>
      <c r="N67" s="20">
        <v>-7.96</v>
      </c>
      <c r="O67" s="133" t="s">
        <v>335</v>
      </c>
      <c r="P67" s="20" t="s">
        <v>185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>
        <v>124.74</v>
      </c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>
        <v>11.5</v>
      </c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131">
        <v>136.24</v>
      </c>
    </row>
    <row r="68" spans="1:82" ht="15" customHeight="1" x14ac:dyDescent="0.2">
      <c r="A68" s="20">
        <v>65</v>
      </c>
      <c r="B68" s="20" t="s">
        <v>336</v>
      </c>
      <c r="C68" s="20" t="s">
        <v>337</v>
      </c>
      <c r="D68" s="20" t="s">
        <v>200</v>
      </c>
      <c r="E68" s="20" t="s">
        <v>202</v>
      </c>
      <c r="F68" s="20" t="s">
        <v>146</v>
      </c>
      <c r="G68" s="21" t="s">
        <v>147</v>
      </c>
      <c r="H68" s="21" t="s">
        <v>184</v>
      </c>
      <c r="I68" s="21">
        <v>96</v>
      </c>
      <c r="J68" s="20">
        <v>96</v>
      </c>
      <c r="K68" s="21">
        <v>96</v>
      </c>
      <c r="L68" s="132" t="s">
        <v>149</v>
      </c>
      <c r="M68" s="20">
        <v>57</v>
      </c>
      <c r="N68" s="20">
        <v>39</v>
      </c>
      <c r="O68" s="135" t="s">
        <v>338</v>
      </c>
      <c r="P68" s="20" t="s">
        <v>339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>
        <v>96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131">
        <v>96</v>
      </c>
    </row>
    <row r="69" spans="1:82" ht="15" customHeight="1" x14ac:dyDescent="0.2">
      <c r="A69" s="20">
        <v>66</v>
      </c>
      <c r="B69" s="20" t="s">
        <v>340</v>
      </c>
      <c r="C69" s="20" t="s">
        <v>341</v>
      </c>
      <c r="D69" s="20" t="s">
        <v>197</v>
      </c>
      <c r="E69" s="20" t="s">
        <v>199</v>
      </c>
      <c r="F69" s="20" t="s">
        <v>170</v>
      </c>
      <c r="G69" s="21" t="s">
        <v>147</v>
      </c>
      <c r="H69" s="21" t="s">
        <v>148</v>
      </c>
      <c r="I69" s="21">
        <v>122.85</v>
      </c>
      <c r="J69" s="20">
        <v>122.85</v>
      </c>
      <c r="K69" s="21">
        <v>122.85</v>
      </c>
      <c r="L69" s="132" t="s">
        <v>149</v>
      </c>
      <c r="M69" s="20"/>
      <c r="N69" s="20"/>
      <c r="O69" s="134" t="s">
        <v>159</v>
      </c>
      <c r="P69" s="20" t="s">
        <v>185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>
        <v>12.01</v>
      </c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>
        <v>110.84</v>
      </c>
      <c r="CD69" s="131">
        <v>122.85</v>
      </c>
    </row>
    <row r="70" spans="1:82" ht="15" customHeight="1" x14ac:dyDescent="0.2">
      <c r="A70" s="20">
        <v>67</v>
      </c>
      <c r="B70" s="20" t="s">
        <v>342</v>
      </c>
      <c r="C70" s="20" t="s">
        <v>343</v>
      </c>
      <c r="D70" s="20" t="s">
        <v>177</v>
      </c>
      <c r="E70" s="20" t="s">
        <v>177</v>
      </c>
      <c r="F70" s="20" t="s">
        <v>170</v>
      </c>
      <c r="G70" s="21" t="s">
        <v>176</v>
      </c>
      <c r="H70" s="21" t="s">
        <v>148</v>
      </c>
      <c r="I70" s="21">
        <v>179.39</v>
      </c>
      <c r="J70" s="20">
        <v>179.39</v>
      </c>
      <c r="K70" s="21">
        <v>179.39</v>
      </c>
      <c r="L70" s="132" t="s">
        <v>149</v>
      </c>
      <c r="M70" s="20"/>
      <c r="N70" s="20"/>
      <c r="O70" s="134" t="s">
        <v>159</v>
      </c>
      <c r="P70" s="20" t="s">
        <v>185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>
        <v>33.82</v>
      </c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>
        <v>119.99</v>
      </c>
      <c r="AU70" s="21">
        <v>25.58</v>
      </c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131">
        <v>179.39</v>
      </c>
    </row>
    <row r="71" spans="1:82" ht="15" customHeight="1" x14ac:dyDescent="0.2">
      <c r="A71" s="20">
        <v>68</v>
      </c>
      <c r="B71" s="20" t="s">
        <v>344</v>
      </c>
      <c r="C71" s="20" t="s">
        <v>345</v>
      </c>
      <c r="D71" s="20" t="s">
        <v>346</v>
      </c>
      <c r="E71" s="20" t="s">
        <v>145</v>
      </c>
      <c r="F71" s="20" t="s">
        <v>170</v>
      </c>
      <c r="G71" s="21" t="s">
        <v>176</v>
      </c>
      <c r="H71" s="21" t="s">
        <v>148</v>
      </c>
      <c r="I71" s="21">
        <v>178.012</v>
      </c>
      <c r="J71" s="20">
        <v>178</v>
      </c>
      <c r="K71" s="21">
        <v>178</v>
      </c>
      <c r="L71" s="132" t="s">
        <v>347</v>
      </c>
      <c r="M71" s="20"/>
      <c r="N71" s="20"/>
      <c r="O71" s="134" t="s">
        <v>159</v>
      </c>
      <c r="P71" s="20" t="s">
        <v>185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>
        <v>2.66</v>
      </c>
      <c r="AJ71" s="21"/>
      <c r="AK71" s="21"/>
      <c r="AL71" s="21">
        <v>175.34</v>
      </c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131">
        <v>178</v>
      </c>
    </row>
    <row r="72" spans="1:82" ht="15" customHeight="1" x14ac:dyDescent="0.2">
      <c r="A72" s="20">
        <v>69</v>
      </c>
      <c r="B72" s="20" t="s">
        <v>348</v>
      </c>
      <c r="C72" s="20" t="s">
        <v>349</v>
      </c>
      <c r="D72" s="20" t="s">
        <v>179</v>
      </c>
      <c r="E72" s="20" t="s">
        <v>159</v>
      </c>
      <c r="F72" s="20" t="s">
        <v>146</v>
      </c>
      <c r="G72" s="21" t="s">
        <v>350</v>
      </c>
      <c r="H72" s="21" t="s">
        <v>351</v>
      </c>
      <c r="I72" s="21"/>
      <c r="J72" s="20"/>
      <c r="K72" s="21"/>
      <c r="L72" s="136" t="s">
        <v>159</v>
      </c>
      <c r="M72" s="20">
        <v>0.38333333333332997</v>
      </c>
      <c r="N72" s="20">
        <v>-0.38333333333332997</v>
      </c>
      <c r="O72" s="135" t="s">
        <v>149</v>
      </c>
      <c r="P72" s="20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131"/>
    </row>
    <row r="73" spans="1:82" ht="23.25" customHeight="1" x14ac:dyDescent="0.2">
      <c r="A73" s="20">
        <v>70</v>
      </c>
      <c r="B73" s="20" t="s">
        <v>352</v>
      </c>
      <c r="C73" s="20" t="s">
        <v>353</v>
      </c>
      <c r="D73" s="20" t="s">
        <v>154</v>
      </c>
      <c r="E73" s="20" t="s">
        <v>145</v>
      </c>
      <c r="F73" s="20" t="s">
        <v>170</v>
      </c>
      <c r="G73" s="21" t="s">
        <v>147</v>
      </c>
      <c r="H73" s="21" t="s">
        <v>148</v>
      </c>
      <c r="I73" s="21">
        <v>158</v>
      </c>
      <c r="J73" s="20">
        <v>158</v>
      </c>
      <c r="K73" s="21">
        <v>158</v>
      </c>
      <c r="L73" s="132" t="s">
        <v>149</v>
      </c>
      <c r="M73" s="20">
        <v>155.80000000000001</v>
      </c>
      <c r="N73" s="20">
        <v>2.2000000000000002</v>
      </c>
      <c r="O73" s="133" t="s">
        <v>354</v>
      </c>
      <c r="P73" s="20" t="s">
        <v>185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>
        <v>145.75</v>
      </c>
      <c r="AE73" s="21"/>
      <c r="AF73" s="21"/>
      <c r="AG73" s="21"/>
      <c r="AH73" s="21"/>
      <c r="AI73" s="21">
        <v>12.25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131">
        <v>158</v>
      </c>
    </row>
    <row r="74" spans="1:82" ht="15" customHeight="1" x14ac:dyDescent="0.2">
      <c r="A74" s="20">
        <v>71</v>
      </c>
      <c r="B74" s="20" t="s">
        <v>355</v>
      </c>
      <c r="C74" s="20" t="s">
        <v>356</v>
      </c>
      <c r="D74" s="20" t="s">
        <v>154</v>
      </c>
      <c r="E74" s="20" t="s">
        <v>145</v>
      </c>
      <c r="F74" s="20" t="s">
        <v>170</v>
      </c>
      <c r="G74" s="21" t="s">
        <v>147</v>
      </c>
      <c r="H74" s="21" t="s">
        <v>148</v>
      </c>
      <c r="I74" s="21">
        <v>97.16</v>
      </c>
      <c r="J74" s="20">
        <v>97.16</v>
      </c>
      <c r="K74" s="21">
        <v>97.16</v>
      </c>
      <c r="L74" s="132" t="s">
        <v>149</v>
      </c>
      <c r="M74" s="20"/>
      <c r="N74" s="20"/>
      <c r="O74" s="134" t="s">
        <v>159</v>
      </c>
      <c r="P74" s="20" t="s">
        <v>357</v>
      </c>
      <c r="Q74" s="21"/>
      <c r="R74" s="21"/>
      <c r="S74" s="21"/>
      <c r="T74" s="21">
        <v>94.35</v>
      </c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>
        <v>2.81</v>
      </c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131">
        <v>97.16</v>
      </c>
    </row>
    <row r="75" spans="1:82" ht="15" customHeight="1" x14ac:dyDescent="0.2">
      <c r="A75" s="20">
        <v>72</v>
      </c>
      <c r="B75" s="20" t="s">
        <v>358</v>
      </c>
      <c r="C75" s="20" t="s">
        <v>359</v>
      </c>
      <c r="D75" s="20" t="s">
        <v>159</v>
      </c>
      <c r="E75" s="20" t="s">
        <v>237</v>
      </c>
      <c r="F75" s="20" t="s">
        <v>146</v>
      </c>
      <c r="G75" s="21" t="s">
        <v>284</v>
      </c>
      <c r="H75" s="21" t="s">
        <v>238</v>
      </c>
      <c r="I75" s="21">
        <v>146</v>
      </c>
      <c r="J75" s="20">
        <v>146</v>
      </c>
      <c r="K75" s="21">
        <v>146</v>
      </c>
      <c r="L75" s="132" t="s">
        <v>149</v>
      </c>
      <c r="M75" s="20"/>
      <c r="N75" s="20"/>
      <c r="O75" s="134" t="s">
        <v>159</v>
      </c>
      <c r="P75" s="20" t="s">
        <v>193</v>
      </c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>
        <v>146</v>
      </c>
      <c r="BZ75" s="21"/>
      <c r="CA75" s="21"/>
      <c r="CB75" s="21"/>
      <c r="CC75" s="21"/>
      <c r="CD75" s="131">
        <v>146</v>
      </c>
    </row>
    <row r="76" spans="1:82" ht="15" customHeight="1" x14ac:dyDescent="0.2">
      <c r="A76" s="20">
        <v>73</v>
      </c>
      <c r="B76" s="20" t="s">
        <v>360</v>
      </c>
      <c r="C76" s="20" t="s">
        <v>361</v>
      </c>
      <c r="D76" s="20" t="s">
        <v>261</v>
      </c>
      <c r="E76" s="20" t="s">
        <v>194</v>
      </c>
      <c r="F76" s="20" t="s">
        <v>170</v>
      </c>
      <c r="G76" s="21" t="s">
        <v>147</v>
      </c>
      <c r="H76" s="21" t="s">
        <v>148</v>
      </c>
      <c r="I76" s="21">
        <v>174.65</v>
      </c>
      <c r="J76" s="20">
        <v>155.29</v>
      </c>
      <c r="K76" s="21">
        <v>155.29</v>
      </c>
      <c r="L76" s="132" t="s">
        <v>362</v>
      </c>
      <c r="M76" s="20"/>
      <c r="N76" s="20"/>
      <c r="O76" s="134" t="s">
        <v>159</v>
      </c>
      <c r="P76" s="20" t="s">
        <v>185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>
        <v>9.42</v>
      </c>
      <c r="AB76" s="21"/>
      <c r="AC76" s="21"/>
      <c r="AD76" s="21"/>
      <c r="AE76" s="21"/>
      <c r="AF76" s="21"/>
      <c r="AG76" s="21"/>
      <c r="AH76" s="21"/>
      <c r="AI76" s="21">
        <v>1.32</v>
      </c>
      <c r="AJ76" s="21"/>
      <c r="AK76" s="21"/>
      <c r="AL76" s="21"/>
      <c r="AM76" s="21"/>
      <c r="AN76" s="21"/>
      <c r="AO76" s="21"/>
      <c r="AP76" s="21"/>
      <c r="AQ76" s="21"/>
      <c r="AR76" s="21"/>
      <c r="AS76" s="21">
        <v>40.840000000000003</v>
      </c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>
        <v>103.29</v>
      </c>
      <c r="BF76" s="21"/>
      <c r="BG76" s="21"/>
      <c r="BH76" s="21">
        <v>0.42</v>
      </c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131">
        <v>155.29</v>
      </c>
    </row>
    <row r="77" spans="1:82" ht="15" customHeight="1" x14ac:dyDescent="0.2">
      <c r="A77" s="20">
        <v>74</v>
      </c>
      <c r="B77" s="20" t="s">
        <v>363</v>
      </c>
      <c r="C77" s="20" t="s">
        <v>364</v>
      </c>
      <c r="D77" s="20" t="s">
        <v>199</v>
      </c>
      <c r="E77" s="20" t="s">
        <v>199</v>
      </c>
      <c r="F77" s="20" t="s">
        <v>170</v>
      </c>
      <c r="G77" s="21" t="s">
        <v>147</v>
      </c>
      <c r="H77" s="21" t="s">
        <v>1067</v>
      </c>
      <c r="I77" s="21">
        <v>162</v>
      </c>
      <c r="J77" s="20">
        <v>162</v>
      </c>
      <c r="K77" s="21">
        <v>162</v>
      </c>
      <c r="L77" s="132" t="s">
        <v>149</v>
      </c>
      <c r="M77" s="20">
        <v>148.86666666667</v>
      </c>
      <c r="N77" s="20">
        <v>13.133333333333001</v>
      </c>
      <c r="O77" s="133" t="s">
        <v>365</v>
      </c>
      <c r="P77" s="20" t="s">
        <v>185</v>
      </c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>
        <v>162</v>
      </c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131">
        <v>162</v>
      </c>
    </row>
    <row r="78" spans="1:82" ht="23.25" customHeight="1" x14ac:dyDescent="0.2">
      <c r="A78" s="20">
        <v>75</v>
      </c>
      <c r="B78" s="20" t="s">
        <v>366</v>
      </c>
      <c r="C78" s="20" t="s">
        <v>367</v>
      </c>
      <c r="D78" s="20" t="s">
        <v>261</v>
      </c>
      <c r="E78" s="20" t="s">
        <v>194</v>
      </c>
      <c r="F78" s="20" t="s">
        <v>170</v>
      </c>
      <c r="G78" s="21" t="s">
        <v>158</v>
      </c>
      <c r="H78" s="21" t="s">
        <v>148</v>
      </c>
      <c r="I78" s="21">
        <v>163.30000000000001</v>
      </c>
      <c r="J78" s="20">
        <v>137.18</v>
      </c>
      <c r="K78" s="21">
        <v>137.18</v>
      </c>
      <c r="L78" s="132" t="s">
        <v>368</v>
      </c>
      <c r="M78" s="20"/>
      <c r="N78" s="20"/>
      <c r="O78" s="134" t="s">
        <v>159</v>
      </c>
      <c r="P78" s="20" t="s">
        <v>185</v>
      </c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>
        <v>11.5</v>
      </c>
      <c r="AB78" s="21"/>
      <c r="AC78" s="21"/>
      <c r="AD78" s="21"/>
      <c r="AE78" s="21"/>
      <c r="AF78" s="21"/>
      <c r="AG78" s="21"/>
      <c r="AH78" s="21"/>
      <c r="AI78" s="21">
        <v>3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>
        <v>26.32</v>
      </c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>
        <v>96.36</v>
      </c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131">
        <v>137.18</v>
      </c>
    </row>
    <row r="79" spans="1:82" ht="15" customHeight="1" x14ac:dyDescent="0.2">
      <c r="A79" s="20">
        <v>76</v>
      </c>
      <c r="B79" s="20" t="s">
        <v>369</v>
      </c>
      <c r="C79" s="20" t="s">
        <v>370</v>
      </c>
      <c r="D79" s="20" t="s">
        <v>197</v>
      </c>
      <c r="E79" s="20" t="s">
        <v>199</v>
      </c>
      <c r="F79" s="20" t="s">
        <v>170</v>
      </c>
      <c r="G79" s="21" t="s">
        <v>176</v>
      </c>
      <c r="H79" s="21" t="s">
        <v>148</v>
      </c>
      <c r="I79" s="21">
        <v>167.9</v>
      </c>
      <c r="J79" s="20">
        <v>167.9</v>
      </c>
      <c r="K79" s="21">
        <v>167.9</v>
      </c>
      <c r="L79" s="132" t="s">
        <v>149</v>
      </c>
      <c r="M79" s="20"/>
      <c r="N79" s="20"/>
      <c r="O79" s="134" t="s">
        <v>159</v>
      </c>
      <c r="P79" s="20" t="s">
        <v>185</v>
      </c>
      <c r="Q79" s="21"/>
      <c r="R79" s="21"/>
      <c r="S79" s="21"/>
      <c r="T79" s="21"/>
      <c r="U79" s="21">
        <v>152.57</v>
      </c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>
        <v>5.25</v>
      </c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>
        <v>10.08</v>
      </c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131">
        <v>167.9</v>
      </c>
    </row>
    <row r="80" spans="1:82" ht="15" customHeight="1" x14ac:dyDescent="0.2">
      <c r="A80" s="20">
        <v>77</v>
      </c>
      <c r="B80" s="20" t="s">
        <v>371</v>
      </c>
      <c r="C80" s="20" t="s">
        <v>372</v>
      </c>
      <c r="D80" s="20" t="s">
        <v>197</v>
      </c>
      <c r="E80" s="20" t="s">
        <v>199</v>
      </c>
      <c r="F80" s="20" t="s">
        <v>170</v>
      </c>
      <c r="G80" s="21" t="s">
        <v>176</v>
      </c>
      <c r="H80" s="21" t="s">
        <v>373</v>
      </c>
      <c r="I80" s="21">
        <v>165.71</v>
      </c>
      <c r="J80" s="20">
        <v>165.71</v>
      </c>
      <c r="K80" s="21">
        <v>165.71</v>
      </c>
      <c r="L80" s="132" t="s">
        <v>149</v>
      </c>
      <c r="M80" s="20">
        <v>176.93333333333001</v>
      </c>
      <c r="N80" s="20">
        <v>-11.223333333333001</v>
      </c>
      <c r="O80" s="133" t="s">
        <v>374</v>
      </c>
      <c r="P80" s="20" t="s">
        <v>185</v>
      </c>
      <c r="Q80" s="21"/>
      <c r="R80" s="21"/>
      <c r="S80" s="21"/>
      <c r="T80" s="21"/>
      <c r="U80" s="21">
        <v>17.829999999999998</v>
      </c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>
        <v>3.33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>
        <v>25.66</v>
      </c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>
        <v>3.75</v>
      </c>
      <c r="BW80" s="21">
        <v>115.14</v>
      </c>
      <c r="BX80" s="21"/>
      <c r="BY80" s="21"/>
      <c r="BZ80" s="21"/>
      <c r="CA80" s="21"/>
      <c r="CB80" s="21"/>
      <c r="CC80" s="21"/>
      <c r="CD80" s="131">
        <v>165.71</v>
      </c>
    </row>
    <row r="81" spans="1:82" ht="15" customHeight="1" x14ac:dyDescent="0.2">
      <c r="A81" s="20">
        <v>78</v>
      </c>
      <c r="B81" s="20" t="s">
        <v>375</v>
      </c>
      <c r="C81" s="20" t="s">
        <v>376</v>
      </c>
      <c r="D81" s="20" t="s">
        <v>154</v>
      </c>
      <c r="E81" s="20" t="s">
        <v>145</v>
      </c>
      <c r="F81" s="20" t="s">
        <v>170</v>
      </c>
      <c r="G81" s="21" t="s">
        <v>158</v>
      </c>
      <c r="H81" s="21" t="s">
        <v>148</v>
      </c>
      <c r="I81" s="21">
        <v>146.58000000000001</v>
      </c>
      <c r="J81" s="20">
        <v>146.58000000000001</v>
      </c>
      <c r="K81" s="21">
        <v>146.58000000000001</v>
      </c>
      <c r="L81" s="132" t="s">
        <v>149</v>
      </c>
      <c r="M81" s="20"/>
      <c r="N81" s="20"/>
      <c r="O81" s="134" t="s">
        <v>159</v>
      </c>
      <c r="P81" s="20" t="s">
        <v>185</v>
      </c>
      <c r="Q81" s="21"/>
      <c r="R81" s="21"/>
      <c r="S81" s="21"/>
      <c r="T81" s="21"/>
      <c r="U81" s="21"/>
      <c r="V81" s="21"/>
      <c r="W81" s="21"/>
      <c r="X81" s="21"/>
      <c r="Y81" s="21">
        <v>30.75</v>
      </c>
      <c r="Z81" s="21"/>
      <c r="AA81" s="21"/>
      <c r="AB81" s="21"/>
      <c r="AC81" s="21"/>
      <c r="AD81" s="21"/>
      <c r="AE81" s="21">
        <v>15.5</v>
      </c>
      <c r="AF81" s="21"/>
      <c r="AG81" s="21"/>
      <c r="AH81" s="21"/>
      <c r="AI81" s="21">
        <v>9.75</v>
      </c>
      <c r="AJ81" s="21"/>
      <c r="AK81" s="21"/>
      <c r="AL81" s="21"/>
      <c r="AM81" s="21"/>
      <c r="AN81" s="21"/>
      <c r="AO81" s="21"/>
      <c r="AP81" s="21"/>
      <c r="AQ81" s="21">
        <v>28.08</v>
      </c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>
        <v>43.75</v>
      </c>
      <c r="BH81" s="21"/>
      <c r="BI81" s="21"/>
      <c r="BJ81" s="21"/>
      <c r="BK81" s="21"/>
      <c r="BL81" s="21"/>
      <c r="BM81" s="21"/>
      <c r="BN81" s="21"/>
      <c r="BO81" s="21">
        <v>18.75</v>
      </c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131">
        <v>146.58000000000001</v>
      </c>
    </row>
    <row r="82" spans="1:82" ht="15" customHeight="1" x14ac:dyDescent="0.2">
      <c r="A82" s="20">
        <v>79</v>
      </c>
      <c r="B82" s="20" t="s">
        <v>377</v>
      </c>
      <c r="C82" s="20" t="s">
        <v>378</v>
      </c>
      <c r="D82" s="20" t="s">
        <v>237</v>
      </c>
      <c r="E82" s="20" t="s">
        <v>237</v>
      </c>
      <c r="F82" s="20" t="s">
        <v>146</v>
      </c>
      <c r="G82" s="21" t="s">
        <v>284</v>
      </c>
      <c r="H82" s="21" t="s">
        <v>238</v>
      </c>
      <c r="I82" s="21">
        <v>186</v>
      </c>
      <c r="J82" s="20">
        <v>139</v>
      </c>
      <c r="K82" s="21">
        <v>139</v>
      </c>
      <c r="L82" s="132" t="s">
        <v>379</v>
      </c>
      <c r="M82" s="20"/>
      <c r="N82" s="20"/>
      <c r="O82" s="134" t="s">
        <v>159</v>
      </c>
      <c r="P82" s="20" t="s">
        <v>185</v>
      </c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>
        <v>139</v>
      </c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131">
        <v>139</v>
      </c>
    </row>
    <row r="83" spans="1:82" ht="15" customHeight="1" x14ac:dyDescent="0.2">
      <c r="A83" s="20">
        <v>80</v>
      </c>
      <c r="B83" s="20" t="s">
        <v>380</v>
      </c>
      <c r="C83" s="20" t="s">
        <v>381</v>
      </c>
      <c r="D83" s="20" t="s">
        <v>317</v>
      </c>
      <c r="E83" s="20" t="s">
        <v>159</v>
      </c>
      <c r="F83" s="20" t="s">
        <v>146</v>
      </c>
      <c r="G83" s="21" t="s">
        <v>66</v>
      </c>
      <c r="H83" s="21" t="s">
        <v>382</v>
      </c>
      <c r="I83" s="21">
        <v>16</v>
      </c>
      <c r="J83" s="20">
        <v>16</v>
      </c>
      <c r="K83" s="21">
        <v>16</v>
      </c>
      <c r="L83" s="132" t="s">
        <v>149</v>
      </c>
      <c r="M83" s="20"/>
      <c r="N83" s="20"/>
      <c r="O83" s="134" t="s">
        <v>159</v>
      </c>
      <c r="P83" s="20" t="s">
        <v>151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>
        <v>16</v>
      </c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131">
        <v>16</v>
      </c>
    </row>
    <row r="84" spans="1:82" ht="15" customHeight="1" x14ac:dyDescent="0.2">
      <c r="A84" s="20">
        <v>81</v>
      </c>
      <c r="B84" s="20" t="s">
        <v>383</v>
      </c>
      <c r="C84" s="20" t="s">
        <v>384</v>
      </c>
      <c r="D84" s="20" t="s">
        <v>247</v>
      </c>
      <c r="E84" s="20" t="s">
        <v>194</v>
      </c>
      <c r="F84" s="20" t="s">
        <v>170</v>
      </c>
      <c r="G84" s="21" t="s">
        <v>176</v>
      </c>
      <c r="H84" s="21" t="s">
        <v>148</v>
      </c>
      <c r="I84" s="21"/>
      <c r="J84" s="20"/>
      <c r="K84" s="21"/>
      <c r="L84" s="136" t="s">
        <v>159</v>
      </c>
      <c r="M84" s="20"/>
      <c r="N84" s="20"/>
      <c r="O84" s="134" t="s">
        <v>159</v>
      </c>
      <c r="P84" s="20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131"/>
    </row>
    <row r="85" spans="1:82" ht="15" customHeight="1" x14ac:dyDescent="0.2">
      <c r="A85" s="20">
        <v>82</v>
      </c>
      <c r="B85" s="20" t="s">
        <v>346</v>
      </c>
      <c r="C85" s="20" t="s">
        <v>385</v>
      </c>
      <c r="D85" s="20" t="s">
        <v>145</v>
      </c>
      <c r="E85" s="20" t="s">
        <v>145</v>
      </c>
      <c r="F85" s="20" t="s">
        <v>146</v>
      </c>
      <c r="G85" s="21" t="s">
        <v>158</v>
      </c>
      <c r="H85" s="21" t="s">
        <v>148</v>
      </c>
      <c r="I85" s="21">
        <v>146.28</v>
      </c>
      <c r="J85" s="20">
        <v>146.28</v>
      </c>
      <c r="K85" s="21">
        <v>146.28</v>
      </c>
      <c r="L85" s="132" t="s">
        <v>149</v>
      </c>
      <c r="M85" s="20"/>
      <c r="N85" s="20"/>
      <c r="O85" s="134" t="s">
        <v>159</v>
      </c>
      <c r="P85" s="20" t="s">
        <v>185</v>
      </c>
      <c r="Q85" s="21"/>
      <c r="R85" s="21">
        <v>30.83</v>
      </c>
      <c r="S85" s="21"/>
      <c r="T85" s="21"/>
      <c r="U85" s="21"/>
      <c r="V85" s="21"/>
      <c r="W85" s="21"/>
      <c r="X85" s="21"/>
      <c r="Y85" s="21"/>
      <c r="Z85" s="21"/>
      <c r="AA85" s="21"/>
      <c r="AB85" s="21">
        <v>33.75</v>
      </c>
      <c r="AC85" s="21"/>
      <c r="AD85" s="21"/>
      <c r="AE85" s="21">
        <v>10</v>
      </c>
      <c r="AF85" s="21"/>
      <c r="AG85" s="21"/>
      <c r="AH85" s="21"/>
      <c r="AI85" s="21">
        <v>10.08</v>
      </c>
      <c r="AJ85" s="21"/>
      <c r="AK85" s="21"/>
      <c r="AL85" s="21">
        <v>61.62</v>
      </c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131">
        <v>146.28</v>
      </c>
    </row>
    <row r="86" spans="1:82" ht="15" customHeight="1" x14ac:dyDescent="0.2">
      <c r="A86" s="20">
        <v>83</v>
      </c>
      <c r="B86" s="20" t="s">
        <v>386</v>
      </c>
      <c r="C86" s="20" t="s">
        <v>387</v>
      </c>
      <c r="D86" s="20" t="s">
        <v>214</v>
      </c>
      <c r="E86" s="20" t="s">
        <v>199</v>
      </c>
      <c r="F86" s="20" t="s">
        <v>170</v>
      </c>
      <c r="G86" s="21" t="s">
        <v>176</v>
      </c>
      <c r="H86" s="21" t="s">
        <v>148</v>
      </c>
      <c r="I86" s="21">
        <v>165.25</v>
      </c>
      <c r="J86" s="20">
        <v>156.25</v>
      </c>
      <c r="K86" s="21">
        <v>156.25</v>
      </c>
      <c r="L86" s="132" t="s">
        <v>388</v>
      </c>
      <c r="M86" s="20"/>
      <c r="N86" s="20"/>
      <c r="O86" s="134" t="s">
        <v>159</v>
      </c>
      <c r="P86" s="20" t="s">
        <v>185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>
        <v>6.33</v>
      </c>
      <c r="AJ86" s="21"/>
      <c r="AK86" s="21"/>
      <c r="AL86" s="21"/>
      <c r="AM86" s="21"/>
      <c r="AN86" s="21"/>
      <c r="AO86" s="21">
        <v>23.17</v>
      </c>
      <c r="AP86" s="21"/>
      <c r="AQ86" s="21"/>
      <c r="AR86" s="21"/>
      <c r="AS86" s="21"/>
      <c r="AT86" s="21"/>
      <c r="AU86" s="21"/>
      <c r="AV86" s="21">
        <v>107</v>
      </c>
      <c r="AW86" s="21">
        <v>2.83</v>
      </c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>
        <v>8.5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>
        <v>8.42</v>
      </c>
      <c r="CC86" s="21"/>
      <c r="CD86" s="131">
        <v>156.25</v>
      </c>
    </row>
    <row r="87" spans="1:82" ht="15" customHeight="1" x14ac:dyDescent="0.2">
      <c r="A87" s="20">
        <v>84</v>
      </c>
      <c r="B87" s="20" t="s">
        <v>389</v>
      </c>
      <c r="C87" s="20" t="s">
        <v>390</v>
      </c>
      <c r="D87" s="20" t="s">
        <v>319</v>
      </c>
      <c r="E87" s="20" t="s">
        <v>145</v>
      </c>
      <c r="F87" s="20" t="s">
        <v>170</v>
      </c>
      <c r="G87" s="21" t="s">
        <v>176</v>
      </c>
      <c r="H87" s="21" t="s">
        <v>148</v>
      </c>
      <c r="I87" s="21">
        <v>170.87</v>
      </c>
      <c r="J87" s="20">
        <v>170.87</v>
      </c>
      <c r="K87" s="21">
        <v>170.87</v>
      </c>
      <c r="L87" s="132" t="s">
        <v>149</v>
      </c>
      <c r="M87" s="20">
        <v>173.23333333332999</v>
      </c>
      <c r="N87" s="20">
        <v>-2.3633333333333</v>
      </c>
      <c r="O87" s="133" t="s">
        <v>391</v>
      </c>
      <c r="P87" s="20" t="s">
        <v>185</v>
      </c>
      <c r="Q87" s="21"/>
      <c r="R87" s="21"/>
      <c r="S87" s="21"/>
      <c r="T87" s="21">
        <v>158.33000000000001</v>
      </c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>
        <v>12.54</v>
      </c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131">
        <v>170.87</v>
      </c>
    </row>
    <row r="88" spans="1:82" ht="15" customHeight="1" x14ac:dyDescent="0.2">
      <c r="A88" s="20">
        <v>85</v>
      </c>
      <c r="B88" s="20" t="s">
        <v>392</v>
      </c>
      <c r="C88" s="20" t="s">
        <v>393</v>
      </c>
      <c r="D88" s="20" t="s">
        <v>206</v>
      </c>
      <c r="E88" s="20" t="s">
        <v>177</v>
      </c>
      <c r="F88" s="20" t="s">
        <v>170</v>
      </c>
      <c r="G88" s="21" t="s">
        <v>147</v>
      </c>
      <c r="H88" s="21" t="s">
        <v>148</v>
      </c>
      <c r="I88" s="21">
        <v>55.43</v>
      </c>
      <c r="J88" s="20">
        <v>46.67</v>
      </c>
      <c r="K88" s="21">
        <v>46.67</v>
      </c>
      <c r="L88" s="132" t="s">
        <v>394</v>
      </c>
      <c r="M88" s="20">
        <v>61.983333333333</v>
      </c>
      <c r="N88" s="20">
        <v>-15.313333333333</v>
      </c>
      <c r="O88" s="135" t="s">
        <v>395</v>
      </c>
      <c r="P88" s="20" t="s">
        <v>185</v>
      </c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>
        <v>1.75</v>
      </c>
      <c r="AJ88" s="21"/>
      <c r="AK88" s="21"/>
      <c r="AL88" s="21"/>
      <c r="AM88" s="21"/>
      <c r="AN88" s="21">
        <v>28.25</v>
      </c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>
        <v>1.67</v>
      </c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>
        <v>15</v>
      </c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131">
        <v>46.67</v>
      </c>
    </row>
    <row r="89" spans="1:82" ht="15" customHeight="1" x14ac:dyDescent="0.2">
      <c r="A89" s="20">
        <v>86</v>
      </c>
      <c r="B89" s="20" t="s">
        <v>396</v>
      </c>
      <c r="C89" s="20">
        <v>209</v>
      </c>
      <c r="D89" s="20" t="s">
        <v>159</v>
      </c>
      <c r="E89" s="20" t="s">
        <v>159</v>
      </c>
      <c r="F89" s="20" t="s">
        <v>170</v>
      </c>
      <c r="G89" s="21" t="s">
        <v>66</v>
      </c>
      <c r="H89" s="21" t="s">
        <v>351</v>
      </c>
      <c r="I89" s="21"/>
      <c r="J89" s="20"/>
      <c r="K89" s="21"/>
      <c r="L89" s="136" t="s">
        <v>159</v>
      </c>
      <c r="M89" s="20"/>
      <c r="N89" s="20"/>
      <c r="O89" s="134" t="s">
        <v>159</v>
      </c>
      <c r="P89" s="20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131"/>
    </row>
    <row r="90" spans="1:82" ht="15" customHeight="1" x14ac:dyDescent="0.2">
      <c r="A90" s="20">
        <v>87</v>
      </c>
      <c r="B90" s="20" t="s">
        <v>397</v>
      </c>
      <c r="C90" s="20" t="s">
        <v>398</v>
      </c>
      <c r="D90" s="20" t="s">
        <v>399</v>
      </c>
      <c r="E90" s="20" t="s">
        <v>202</v>
      </c>
      <c r="F90" s="20" t="s">
        <v>146</v>
      </c>
      <c r="G90" s="21" t="s">
        <v>147</v>
      </c>
      <c r="H90" s="21" t="s">
        <v>184</v>
      </c>
      <c r="I90" s="21">
        <v>159</v>
      </c>
      <c r="J90" s="20">
        <v>151</v>
      </c>
      <c r="K90" s="21">
        <v>151</v>
      </c>
      <c r="L90" s="132" t="s">
        <v>400</v>
      </c>
      <c r="M90" s="20">
        <v>111.85</v>
      </c>
      <c r="N90" s="20">
        <v>39.15</v>
      </c>
      <c r="O90" s="135" t="s">
        <v>401</v>
      </c>
      <c r="P90" s="20" t="s">
        <v>185</v>
      </c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>
        <v>151</v>
      </c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131">
        <v>151</v>
      </c>
    </row>
    <row r="91" spans="1:82" ht="15" customHeight="1" x14ac:dyDescent="0.2">
      <c r="A91" s="20">
        <v>88</v>
      </c>
      <c r="B91" s="20" t="s">
        <v>402</v>
      </c>
      <c r="C91" s="20" t="s">
        <v>403</v>
      </c>
      <c r="D91" s="20" t="s">
        <v>404</v>
      </c>
      <c r="E91" s="20" t="s">
        <v>202</v>
      </c>
      <c r="F91" s="20" t="s">
        <v>146</v>
      </c>
      <c r="G91" s="21" t="s">
        <v>176</v>
      </c>
      <c r="H91" s="21" t="s">
        <v>184</v>
      </c>
      <c r="I91" s="21"/>
      <c r="J91" s="20"/>
      <c r="K91" s="21"/>
      <c r="L91" s="136" t="s">
        <v>159</v>
      </c>
      <c r="M91" s="20"/>
      <c r="N91" s="20"/>
      <c r="O91" s="134" t="s">
        <v>159</v>
      </c>
      <c r="P91" s="20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131"/>
    </row>
    <row r="92" spans="1:82" ht="15" customHeight="1" x14ac:dyDescent="0.2">
      <c r="A92" s="20">
        <v>89</v>
      </c>
      <c r="B92" s="20" t="s">
        <v>406</v>
      </c>
      <c r="C92" s="20" t="s">
        <v>407</v>
      </c>
      <c r="D92" s="20" t="s">
        <v>369</v>
      </c>
      <c r="E92" s="20" t="s">
        <v>199</v>
      </c>
      <c r="F92" s="20" t="s">
        <v>170</v>
      </c>
      <c r="G92" s="21" t="s">
        <v>176</v>
      </c>
      <c r="H92" s="21" t="s">
        <v>148</v>
      </c>
      <c r="I92" s="21">
        <v>178.85</v>
      </c>
      <c r="J92" s="20">
        <v>178.85</v>
      </c>
      <c r="K92" s="21">
        <v>178.85</v>
      </c>
      <c r="L92" s="132" t="s">
        <v>149</v>
      </c>
      <c r="M92" s="20"/>
      <c r="N92" s="20"/>
      <c r="O92" s="134" t="s">
        <v>159</v>
      </c>
      <c r="P92" s="20" t="s">
        <v>185</v>
      </c>
      <c r="Q92" s="21"/>
      <c r="R92" s="21"/>
      <c r="S92" s="21"/>
      <c r="T92" s="21"/>
      <c r="U92" s="21">
        <v>152.68</v>
      </c>
      <c r="V92" s="21"/>
      <c r="W92" s="21">
        <v>0.5</v>
      </c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>
        <v>3.33</v>
      </c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>
        <v>9.17</v>
      </c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>
        <v>13.17</v>
      </c>
      <c r="CB92" s="21"/>
      <c r="CC92" s="21"/>
      <c r="CD92" s="131">
        <v>178.85</v>
      </c>
    </row>
    <row r="93" spans="1:82" ht="23.25" customHeight="1" x14ac:dyDescent="0.2">
      <c r="A93" s="20">
        <v>90</v>
      </c>
      <c r="B93" s="20" t="s">
        <v>408</v>
      </c>
      <c r="C93" s="20" t="s">
        <v>409</v>
      </c>
      <c r="D93" s="20" t="s">
        <v>380</v>
      </c>
      <c r="E93" s="20" t="s">
        <v>380</v>
      </c>
      <c r="F93" s="20" t="s">
        <v>170</v>
      </c>
      <c r="G93" s="21" t="s">
        <v>147</v>
      </c>
      <c r="H93" s="21" t="s">
        <v>382</v>
      </c>
      <c r="I93" s="21"/>
      <c r="J93" s="20"/>
      <c r="K93" s="21"/>
      <c r="L93" s="136" t="s">
        <v>159</v>
      </c>
      <c r="M93" s="20"/>
      <c r="N93" s="20"/>
      <c r="O93" s="134" t="s">
        <v>159</v>
      </c>
      <c r="P93" s="20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131"/>
    </row>
    <row r="94" spans="1:82" ht="15" customHeight="1" x14ac:dyDescent="0.2">
      <c r="A94" s="20">
        <v>91</v>
      </c>
      <c r="B94" s="20" t="s">
        <v>410</v>
      </c>
      <c r="C94" s="20" t="s">
        <v>411</v>
      </c>
      <c r="D94" s="20" t="s">
        <v>412</v>
      </c>
      <c r="E94" s="20" t="s">
        <v>412</v>
      </c>
      <c r="F94" s="20" t="s">
        <v>170</v>
      </c>
      <c r="G94" s="21" t="s">
        <v>213</v>
      </c>
      <c r="H94" s="21" t="s">
        <v>238</v>
      </c>
      <c r="I94" s="21">
        <v>171</v>
      </c>
      <c r="J94" s="20">
        <v>153</v>
      </c>
      <c r="K94" s="21">
        <v>153</v>
      </c>
      <c r="L94" s="132" t="s">
        <v>414</v>
      </c>
      <c r="M94" s="20"/>
      <c r="N94" s="20"/>
      <c r="O94" s="134" t="s">
        <v>159</v>
      </c>
      <c r="P94" s="20" t="s">
        <v>185</v>
      </c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>
        <v>153</v>
      </c>
      <c r="BZ94" s="21"/>
      <c r="CA94" s="21"/>
      <c r="CB94" s="21"/>
      <c r="CC94" s="21"/>
      <c r="CD94" s="131">
        <v>153</v>
      </c>
    </row>
    <row r="95" spans="1:82" ht="15" customHeight="1" x14ac:dyDescent="0.2">
      <c r="A95" s="20">
        <v>92</v>
      </c>
      <c r="B95" s="20" t="s">
        <v>415</v>
      </c>
      <c r="C95" s="20" t="s">
        <v>416</v>
      </c>
      <c r="D95" s="20" t="s">
        <v>317</v>
      </c>
      <c r="E95" s="20" t="s">
        <v>159</v>
      </c>
      <c r="F95" s="20" t="s">
        <v>170</v>
      </c>
      <c r="G95" s="21" t="s">
        <v>318</v>
      </c>
      <c r="H95" s="21" t="s">
        <v>417</v>
      </c>
      <c r="I95" s="21"/>
      <c r="J95" s="20"/>
      <c r="K95" s="21"/>
      <c r="L95" s="136" t="s">
        <v>159</v>
      </c>
      <c r="M95" s="20"/>
      <c r="N95" s="20"/>
      <c r="O95" s="134" t="s">
        <v>159</v>
      </c>
      <c r="P95" s="20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131"/>
    </row>
    <row r="96" spans="1:82" ht="15" customHeight="1" x14ac:dyDescent="0.2">
      <c r="A96" s="20">
        <v>93</v>
      </c>
      <c r="B96" s="20" t="s">
        <v>418</v>
      </c>
      <c r="C96" s="20" t="s">
        <v>419</v>
      </c>
      <c r="D96" s="20" t="s">
        <v>145</v>
      </c>
      <c r="E96" s="20" t="s">
        <v>145</v>
      </c>
      <c r="F96" s="20" t="s">
        <v>146</v>
      </c>
      <c r="G96" s="21" t="s">
        <v>213</v>
      </c>
      <c r="H96" s="21" t="s">
        <v>148</v>
      </c>
      <c r="I96" s="21">
        <v>181.12</v>
      </c>
      <c r="J96" s="20">
        <v>181.12</v>
      </c>
      <c r="K96" s="21">
        <v>181.12</v>
      </c>
      <c r="L96" s="132" t="s">
        <v>149</v>
      </c>
      <c r="M96" s="20"/>
      <c r="N96" s="20"/>
      <c r="O96" s="134" t="s">
        <v>159</v>
      </c>
      <c r="P96" s="20" t="s">
        <v>185</v>
      </c>
      <c r="Q96" s="21"/>
      <c r="R96" s="21"/>
      <c r="S96" s="21"/>
      <c r="T96" s="21">
        <v>166.68</v>
      </c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>
        <v>14.44</v>
      </c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131">
        <v>181.12</v>
      </c>
    </row>
    <row r="97" spans="1:82" ht="23.25" customHeight="1" x14ac:dyDescent="0.2">
      <c r="A97" s="20">
        <v>94</v>
      </c>
      <c r="B97" s="20" t="s">
        <v>420</v>
      </c>
      <c r="C97" s="20" t="s">
        <v>421</v>
      </c>
      <c r="D97" s="20" t="s">
        <v>247</v>
      </c>
      <c r="E97" s="20" t="s">
        <v>194</v>
      </c>
      <c r="F97" s="20" t="s">
        <v>170</v>
      </c>
      <c r="G97" s="21" t="s">
        <v>213</v>
      </c>
      <c r="H97" s="21" t="s">
        <v>148</v>
      </c>
      <c r="I97" s="21">
        <v>157.46</v>
      </c>
      <c r="J97" s="20">
        <v>117.89</v>
      </c>
      <c r="K97" s="21">
        <v>117.89</v>
      </c>
      <c r="L97" s="132" t="s">
        <v>422</v>
      </c>
      <c r="M97" s="20"/>
      <c r="N97" s="20"/>
      <c r="O97" s="134" t="s">
        <v>159</v>
      </c>
      <c r="P97" s="20" t="s">
        <v>185</v>
      </c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>
        <v>50.34</v>
      </c>
      <c r="AB97" s="21"/>
      <c r="AC97" s="21"/>
      <c r="AD97" s="21"/>
      <c r="AE97" s="21"/>
      <c r="AF97" s="21"/>
      <c r="AG97" s="21"/>
      <c r="AH97" s="21"/>
      <c r="AI97" s="21">
        <v>15.93</v>
      </c>
      <c r="AJ97" s="21"/>
      <c r="AK97" s="21">
        <v>1.25</v>
      </c>
      <c r="AL97" s="21"/>
      <c r="AM97" s="21"/>
      <c r="AN97" s="21"/>
      <c r="AO97" s="21"/>
      <c r="AP97" s="21">
        <v>17.420000000000002</v>
      </c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>
        <v>8.25</v>
      </c>
      <c r="BL97" s="21"/>
      <c r="BM97" s="21"/>
      <c r="BN97" s="21"/>
      <c r="BO97" s="21"/>
      <c r="BP97" s="21">
        <v>24.7</v>
      </c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131">
        <v>117.89</v>
      </c>
    </row>
    <row r="98" spans="1:82" ht="23.25" customHeight="1" x14ac:dyDescent="0.2">
      <c r="A98" s="20">
        <v>95</v>
      </c>
      <c r="B98" s="20" t="s">
        <v>399</v>
      </c>
      <c r="C98" s="20" t="s">
        <v>423</v>
      </c>
      <c r="D98" s="20" t="s">
        <v>179</v>
      </c>
      <c r="E98" s="20" t="s">
        <v>202</v>
      </c>
      <c r="F98" s="20" t="s">
        <v>146</v>
      </c>
      <c r="G98" s="21" t="s">
        <v>213</v>
      </c>
      <c r="H98" s="21" t="s">
        <v>184</v>
      </c>
      <c r="I98" s="21">
        <v>158</v>
      </c>
      <c r="J98" s="20">
        <v>134</v>
      </c>
      <c r="K98" s="21">
        <v>134</v>
      </c>
      <c r="L98" s="132" t="s">
        <v>424</v>
      </c>
      <c r="M98" s="20"/>
      <c r="N98" s="20"/>
      <c r="O98" s="134" t="s">
        <v>159</v>
      </c>
      <c r="P98" s="20" t="s">
        <v>185</v>
      </c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>
        <v>134</v>
      </c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131">
        <v>134</v>
      </c>
    </row>
    <row r="99" spans="1:82" ht="15" customHeight="1" x14ac:dyDescent="0.2">
      <c r="A99" s="20">
        <v>96</v>
      </c>
      <c r="B99" s="20" t="s">
        <v>425</v>
      </c>
      <c r="C99" s="20" t="s">
        <v>426</v>
      </c>
      <c r="D99" s="20" t="s">
        <v>261</v>
      </c>
      <c r="E99" s="20" t="s">
        <v>194</v>
      </c>
      <c r="F99" s="20" t="s">
        <v>170</v>
      </c>
      <c r="G99" s="21" t="s">
        <v>176</v>
      </c>
      <c r="H99" s="21" t="s">
        <v>148</v>
      </c>
      <c r="I99" s="21">
        <v>162.27000000000001</v>
      </c>
      <c r="J99" s="20">
        <v>130.19</v>
      </c>
      <c r="K99" s="21">
        <v>130.19</v>
      </c>
      <c r="L99" s="132" t="s">
        <v>427</v>
      </c>
      <c r="M99" s="20"/>
      <c r="N99" s="20"/>
      <c r="O99" s="134" t="s">
        <v>159</v>
      </c>
      <c r="P99" s="20" t="s">
        <v>185</v>
      </c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>
        <v>19.010000000000002</v>
      </c>
      <c r="AB99" s="21"/>
      <c r="AC99" s="21"/>
      <c r="AD99" s="21"/>
      <c r="AE99" s="21"/>
      <c r="AF99" s="21"/>
      <c r="AG99" s="21"/>
      <c r="AH99" s="21"/>
      <c r="AI99" s="21">
        <v>0.5</v>
      </c>
      <c r="AJ99" s="21"/>
      <c r="AK99" s="21">
        <v>10.07</v>
      </c>
      <c r="AL99" s="21"/>
      <c r="AM99" s="21"/>
      <c r="AN99" s="21"/>
      <c r="AO99" s="21"/>
      <c r="AP99" s="21">
        <v>40.06</v>
      </c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>
        <v>11.24</v>
      </c>
      <c r="BE99" s="21"/>
      <c r="BF99" s="21"/>
      <c r="BG99" s="21"/>
      <c r="BH99" s="21"/>
      <c r="BI99" s="21"/>
      <c r="BJ99" s="21"/>
      <c r="BK99" s="21">
        <v>0.75</v>
      </c>
      <c r="BL99" s="21"/>
      <c r="BM99" s="21"/>
      <c r="BN99" s="21"/>
      <c r="BO99" s="21"/>
      <c r="BP99" s="21">
        <v>48.56</v>
      </c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131">
        <v>130.19</v>
      </c>
    </row>
    <row r="100" spans="1:82" ht="15" customHeight="1" x14ac:dyDescent="0.2">
      <c r="A100" s="20">
        <v>97</v>
      </c>
      <c r="B100" s="20" t="s">
        <v>428</v>
      </c>
      <c r="C100" s="20" t="s">
        <v>429</v>
      </c>
      <c r="D100" s="20" t="s">
        <v>380</v>
      </c>
      <c r="E100" s="20" t="s">
        <v>380</v>
      </c>
      <c r="F100" s="20" t="s">
        <v>170</v>
      </c>
      <c r="G100" s="21" t="s">
        <v>382</v>
      </c>
      <c r="H100" s="21" t="s">
        <v>382</v>
      </c>
      <c r="I100" s="21"/>
      <c r="J100" s="20"/>
      <c r="K100" s="21"/>
      <c r="L100" s="136" t="s">
        <v>159</v>
      </c>
      <c r="M100" s="20"/>
      <c r="N100" s="20"/>
      <c r="O100" s="134" t="s">
        <v>159</v>
      </c>
      <c r="P100" s="20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131"/>
    </row>
    <row r="101" spans="1:82" ht="15" customHeight="1" x14ac:dyDescent="0.2">
      <c r="A101" s="20">
        <v>98</v>
      </c>
      <c r="B101" s="20" t="s">
        <v>430</v>
      </c>
      <c r="C101" s="20" t="s">
        <v>431</v>
      </c>
      <c r="D101" s="20" t="s">
        <v>197</v>
      </c>
      <c r="E101" s="20" t="s">
        <v>199</v>
      </c>
      <c r="F101" s="20" t="s">
        <v>170</v>
      </c>
      <c r="G101" s="21" t="s">
        <v>176</v>
      </c>
      <c r="H101" s="21" t="s">
        <v>148</v>
      </c>
      <c r="I101" s="21">
        <v>16.059999999999999</v>
      </c>
      <c r="J101" s="20">
        <v>16.059999999999999</v>
      </c>
      <c r="K101" s="21">
        <v>16.059999999999999</v>
      </c>
      <c r="L101" s="132" t="s">
        <v>149</v>
      </c>
      <c r="M101" s="20">
        <v>16.45</v>
      </c>
      <c r="N101" s="20">
        <v>-0.39</v>
      </c>
      <c r="O101" s="133" t="s">
        <v>432</v>
      </c>
      <c r="P101" s="20" t="s">
        <v>151</v>
      </c>
      <c r="Q101" s="21"/>
      <c r="R101" s="21"/>
      <c r="S101" s="21"/>
      <c r="T101" s="21"/>
      <c r="U101" s="21">
        <v>0.67</v>
      </c>
      <c r="V101" s="21"/>
      <c r="W101" s="21"/>
      <c r="X101" s="21"/>
      <c r="Y101" s="21"/>
      <c r="Z101" s="21">
        <v>8.14</v>
      </c>
      <c r="AA101" s="21"/>
      <c r="AB101" s="21"/>
      <c r="AC101" s="21"/>
      <c r="AD101" s="21"/>
      <c r="AE101" s="21"/>
      <c r="AF101" s="21">
        <v>6.25</v>
      </c>
      <c r="AG101" s="21"/>
      <c r="AH101" s="21"/>
      <c r="AI101" s="21">
        <v>1</v>
      </c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131">
        <v>16.059999999999999</v>
      </c>
    </row>
    <row r="102" spans="1:82" ht="15" customHeight="1" x14ac:dyDescent="0.2">
      <c r="A102" s="20">
        <v>99</v>
      </c>
      <c r="B102" s="20" t="s">
        <v>433</v>
      </c>
      <c r="C102" s="20" t="s">
        <v>434</v>
      </c>
      <c r="D102" s="20" t="s">
        <v>197</v>
      </c>
      <c r="E102" s="20" t="s">
        <v>199</v>
      </c>
      <c r="F102" s="20" t="s">
        <v>170</v>
      </c>
      <c r="G102" s="21" t="s">
        <v>158</v>
      </c>
      <c r="H102" s="21" t="s">
        <v>148</v>
      </c>
      <c r="I102" s="21">
        <v>55.32</v>
      </c>
      <c r="J102" s="20">
        <v>55.32</v>
      </c>
      <c r="K102" s="21">
        <v>55.32</v>
      </c>
      <c r="L102" s="132" t="s">
        <v>149</v>
      </c>
      <c r="M102" s="20">
        <v>53.366666666667001</v>
      </c>
      <c r="N102" s="20">
        <v>1.9533333333333001</v>
      </c>
      <c r="O102" s="133" t="s">
        <v>435</v>
      </c>
      <c r="P102" s="20" t="s">
        <v>185</v>
      </c>
      <c r="Q102" s="21"/>
      <c r="R102" s="21"/>
      <c r="S102" s="21"/>
      <c r="T102" s="21"/>
      <c r="U102" s="21">
        <v>43.49</v>
      </c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>
        <v>11.83</v>
      </c>
      <c r="CD102" s="131">
        <v>55.32</v>
      </c>
    </row>
    <row r="103" spans="1:82" ht="15" customHeight="1" x14ac:dyDescent="0.2">
      <c r="A103" s="20">
        <v>100</v>
      </c>
      <c r="B103" s="20" t="s">
        <v>436</v>
      </c>
      <c r="C103" s="20" t="s">
        <v>437</v>
      </c>
      <c r="D103" s="20" t="s">
        <v>438</v>
      </c>
      <c r="E103" s="20" t="s">
        <v>199</v>
      </c>
      <c r="F103" s="20" t="s">
        <v>170</v>
      </c>
      <c r="G103" s="21" t="s">
        <v>176</v>
      </c>
      <c r="H103" s="21" t="s">
        <v>148</v>
      </c>
      <c r="I103" s="21">
        <v>99.24</v>
      </c>
      <c r="J103" s="20">
        <v>94.24</v>
      </c>
      <c r="K103" s="21">
        <v>94.24</v>
      </c>
      <c r="L103" s="132" t="s">
        <v>439</v>
      </c>
      <c r="M103" s="20"/>
      <c r="N103" s="20"/>
      <c r="O103" s="134" t="s">
        <v>159</v>
      </c>
      <c r="P103" s="20" t="s">
        <v>185</v>
      </c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>
        <v>11</v>
      </c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>
        <v>83.24</v>
      </c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131">
        <v>94.24</v>
      </c>
    </row>
    <row r="104" spans="1:82" ht="15" customHeight="1" x14ac:dyDescent="0.2">
      <c r="A104" s="20">
        <v>101</v>
      </c>
      <c r="B104" s="20" t="s">
        <v>440</v>
      </c>
      <c r="C104" s="20" t="s">
        <v>441</v>
      </c>
      <c r="D104" s="20" t="s">
        <v>159</v>
      </c>
      <c r="E104" s="20" t="s">
        <v>145</v>
      </c>
      <c r="F104" s="20" t="s">
        <v>170</v>
      </c>
      <c r="G104" s="21" t="s">
        <v>176</v>
      </c>
      <c r="H104" s="21" t="s">
        <v>148</v>
      </c>
      <c r="I104" s="21"/>
      <c r="J104" s="20"/>
      <c r="K104" s="21"/>
      <c r="L104" s="136" t="s">
        <v>159</v>
      </c>
      <c r="M104" s="20"/>
      <c r="N104" s="20"/>
      <c r="O104" s="134" t="s">
        <v>159</v>
      </c>
      <c r="P104" s="20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131"/>
    </row>
    <row r="105" spans="1:82" ht="15" customHeight="1" x14ac:dyDescent="0.2">
      <c r="A105" s="20">
        <v>102</v>
      </c>
      <c r="B105" s="20" t="s">
        <v>442</v>
      </c>
      <c r="C105" s="20" t="s">
        <v>443</v>
      </c>
      <c r="D105" s="20" t="s">
        <v>444</v>
      </c>
      <c r="E105" s="20" t="s">
        <v>145</v>
      </c>
      <c r="F105" s="20" t="s">
        <v>170</v>
      </c>
      <c r="G105" s="21" t="s">
        <v>176</v>
      </c>
      <c r="H105" s="21" t="s">
        <v>148</v>
      </c>
      <c r="I105" s="21">
        <v>133.22</v>
      </c>
      <c r="J105" s="20">
        <v>133.22</v>
      </c>
      <c r="K105" s="21">
        <v>133.22</v>
      </c>
      <c r="L105" s="132" t="s">
        <v>149</v>
      </c>
      <c r="M105" s="20"/>
      <c r="N105" s="20"/>
      <c r="O105" s="134" t="s">
        <v>159</v>
      </c>
      <c r="P105" s="20" t="s">
        <v>185</v>
      </c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>
        <v>5.83</v>
      </c>
      <c r="AJ105" s="21"/>
      <c r="AK105" s="21"/>
      <c r="AL105" s="21"/>
      <c r="AM105" s="21"/>
      <c r="AN105" s="21"/>
      <c r="AO105" s="21"/>
      <c r="AP105" s="21"/>
      <c r="AQ105" s="21"/>
      <c r="AR105" s="21">
        <v>127.39</v>
      </c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131">
        <v>133.22</v>
      </c>
    </row>
    <row r="106" spans="1:82" ht="15" customHeight="1" x14ac:dyDescent="0.2">
      <c r="A106" s="20">
        <v>103</v>
      </c>
      <c r="B106" s="20" t="s">
        <v>445</v>
      </c>
      <c r="C106" s="20" t="s">
        <v>446</v>
      </c>
      <c r="D106" s="20" t="s">
        <v>154</v>
      </c>
      <c r="E106" s="20" t="s">
        <v>145</v>
      </c>
      <c r="F106" s="20" t="s">
        <v>170</v>
      </c>
      <c r="G106" s="21" t="s">
        <v>176</v>
      </c>
      <c r="H106" s="21" t="s">
        <v>148</v>
      </c>
      <c r="I106" s="21">
        <v>164</v>
      </c>
      <c r="J106" s="20">
        <v>164</v>
      </c>
      <c r="K106" s="21">
        <v>164</v>
      </c>
      <c r="L106" s="132" t="s">
        <v>149</v>
      </c>
      <c r="M106" s="20"/>
      <c r="N106" s="20"/>
      <c r="O106" s="134" t="s">
        <v>159</v>
      </c>
      <c r="P106" s="20" t="s">
        <v>185</v>
      </c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>
        <v>100.01</v>
      </c>
      <c r="AD106" s="21"/>
      <c r="AE106" s="21"/>
      <c r="AF106" s="21"/>
      <c r="AG106" s="21"/>
      <c r="AH106" s="21"/>
      <c r="AI106" s="21">
        <v>10.14</v>
      </c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>
        <v>53.85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131">
        <v>164</v>
      </c>
    </row>
    <row r="107" spans="1:82" ht="15" customHeight="1" x14ac:dyDescent="0.2">
      <c r="A107" s="20">
        <v>104</v>
      </c>
      <c r="B107" s="20" t="s">
        <v>447</v>
      </c>
      <c r="C107" s="20" t="s">
        <v>448</v>
      </c>
      <c r="D107" s="20" t="s">
        <v>444</v>
      </c>
      <c r="E107" s="20" t="s">
        <v>145</v>
      </c>
      <c r="F107" s="20" t="s">
        <v>170</v>
      </c>
      <c r="G107" s="21" t="s">
        <v>158</v>
      </c>
      <c r="H107" s="21" t="s">
        <v>148</v>
      </c>
      <c r="I107" s="21"/>
      <c r="J107" s="20"/>
      <c r="K107" s="21"/>
      <c r="L107" s="136" t="s">
        <v>159</v>
      </c>
      <c r="M107" s="20"/>
      <c r="N107" s="20"/>
      <c r="O107" s="134" t="s">
        <v>159</v>
      </c>
      <c r="P107" s="20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131"/>
    </row>
    <row r="108" spans="1:82" ht="15" customHeight="1" x14ac:dyDescent="0.2">
      <c r="A108" s="20">
        <v>105</v>
      </c>
      <c r="B108" s="20" t="s">
        <v>449</v>
      </c>
      <c r="C108" s="20" t="s">
        <v>450</v>
      </c>
      <c r="D108" s="20" t="s">
        <v>197</v>
      </c>
      <c r="E108" s="20" t="s">
        <v>199</v>
      </c>
      <c r="F108" s="20" t="s">
        <v>170</v>
      </c>
      <c r="G108" s="21" t="s">
        <v>158</v>
      </c>
      <c r="H108" s="21" t="s">
        <v>148</v>
      </c>
      <c r="I108" s="21">
        <v>133.02000000000001</v>
      </c>
      <c r="J108" s="20">
        <v>133.02000000000001</v>
      </c>
      <c r="K108" s="21">
        <v>133.02000000000001</v>
      </c>
      <c r="L108" s="132" t="s">
        <v>149</v>
      </c>
      <c r="M108" s="20"/>
      <c r="N108" s="20"/>
      <c r="O108" s="134" t="s">
        <v>159</v>
      </c>
      <c r="P108" s="20" t="s">
        <v>151</v>
      </c>
      <c r="Q108" s="21"/>
      <c r="R108" s="21"/>
      <c r="S108" s="21"/>
      <c r="T108" s="21"/>
      <c r="U108" s="21"/>
      <c r="V108" s="21"/>
      <c r="W108" s="21">
        <v>104.25</v>
      </c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>
        <v>28.77</v>
      </c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131">
        <v>133.02000000000001</v>
      </c>
    </row>
    <row r="109" spans="1:82" ht="15" customHeight="1" x14ac:dyDescent="0.2">
      <c r="A109" s="20">
        <v>106</v>
      </c>
      <c r="B109" s="20" t="s">
        <v>451</v>
      </c>
      <c r="C109" s="20" t="s">
        <v>452</v>
      </c>
      <c r="D109" s="20" t="s">
        <v>346</v>
      </c>
      <c r="E109" s="20" t="s">
        <v>145</v>
      </c>
      <c r="F109" s="20" t="s">
        <v>170</v>
      </c>
      <c r="G109" s="21" t="s">
        <v>176</v>
      </c>
      <c r="H109" s="21" t="s">
        <v>148</v>
      </c>
      <c r="I109" s="21">
        <v>165.06</v>
      </c>
      <c r="J109" s="20">
        <v>165.06</v>
      </c>
      <c r="K109" s="21">
        <v>165.06</v>
      </c>
      <c r="L109" s="132" t="s">
        <v>149</v>
      </c>
      <c r="M109" s="20"/>
      <c r="N109" s="20"/>
      <c r="O109" s="134" t="s">
        <v>159</v>
      </c>
      <c r="P109" s="20" t="s">
        <v>185</v>
      </c>
      <c r="Q109" s="21"/>
      <c r="R109" s="21">
        <v>139.25</v>
      </c>
      <c r="S109" s="21"/>
      <c r="T109" s="21"/>
      <c r="U109" s="21"/>
      <c r="V109" s="21"/>
      <c r="W109" s="21"/>
      <c r="X109" s="21"/>
      <c r="Y109" s="21"/>
      <c r="Z109" s="21"/>
      <c r="AA109" s="21"/>
      <c r="AB109" s="21">
        <v>2.5</v>
      </c>
      <c r="AC109" s="21"/>
      <c r="AD109" s="21"/>
      <c r="AE109" s="21">
        <v>18.25</v>
      </c>
      <c r="AF109" s="21"/>
      <c r="AG109" s="21"/>
      <c r="AH109" s="21"/>
      <c r="AI109" s="21">
        <v>4</v>
      </c>
      <c r="AJ109" s="21"/>
      <c r="AK109" s="21"/>
      <c r="AL109" s="21">
        <v>1.06</v>
      </c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131">
        <v>165.06</v>
      </c>
    </row>
    <row r="110" spans="1:82" ht="15" customHeight="1" x14ac:dyDescent="0.2">
      <c r="A110" s="20">
        <v>107</v>
      </c>
      <c r="B110" s="20" t="s">
        <v>453</v>
      </c>
      <c r="C110" s="20" t="s">
        <v>454</v>
      </c>
      <c r="D110" s="20" t="s">
        <v>220</v>
      </c>
      <c r="E110" s="20" t="s">
        <v>220</v>
      </c>
      <c r="F110" s="20" t="s">
        <v>170</v>
      </c>
      <c r="G110" s="21" t="s">
        <v>176</v>
      </c>
      <c r="H110" s="21" t="s">
        <v>221</v>
      </c>
      <c r="I110" s="21"/>
      <c r="J110" s="20"/>
      <c r="K110" s="21"/>
      <c r="L110" s="136" t="s">
        <v>159</v>
      </c>
      <c r="M110" s="20"/>
      <c r="N110" s="20"/>
      <c r="O110" s="134" t="s">
        <v>159</v>
      </c>
      <c r="P110" s="20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131"/>
    </row>
    <row r="111" spans="1:82" ht="15" customHeight="1" x14ac:dyDescent="0.2">
      <c r="A111" s="20">
        <v>108</v>
      </c>
      <c r="B111" s="20" t="s">
        <v>455</v>
      </c>
      <c r="C111" s="20" t="s">
        <v>456</v>
      </c>
      <c r="D111" s="20" t="s">
        <v>220</v>
      </c>
      <c r="E111" s="20" t="s">
        <v>220</v>
      </c>
      <c r="F111" s="20" t="s">
        <v>170</v>
      </c>
      <c r="G111" s="21" t="s">
        <v>176</v>
      </c>
      <c r="H111" s="21" t="s">
        <v>221</v>
      </c>
      <c r="I111" s="21">
        <v>169.03</v>
      </c>
      <c r="J111" s="20">
        <v>169.03</v>
      </c>
      <c r="K111" s="21">
        <v>169.03</v>
      </c>
      <c r="L111" s="132" t="s">
        <v>149</v>
      </c>
      <c r="M111" s="20">
        <v>172.95</v>
      </c>
      <c r="N111" s="20">
        <v>-3.92</v>
      </c>
      <c r="O111" s="133" t="s">
        <v>457</v>
      </c>
      <c r="P111" s="20" t="s">
        <v>185</v>
      </c>
      <c r="Q111" s="21">
        <v>0.75</v>
      </c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>
        <v>6.33</v>
      </c>
      <c r="AC111" s="21"/>
      <c r="AD111" s="21"/>
      <c r="AE111" s="21"/>
      <c r="AF111" s="21"/>
      <c r="AG111" s="21"/>
      <c r="AH111" s="21"/>
      <c r="AI111" s="21">
        <v>117.43</v>
      </c>
      <c r="AJ111" s="21"/>
      <c r="AK111" s="21"/>
      <c r="AL111" s="21"/>
      <c r="AM111" s="21">
        <v>3</v>
      </c>
      <c r="AN111" s="21">
        <v>9</v>
      </c>
      <c r="AO111" s="21"/>
      <c r="AP111" s="21"/>
      <c r="AQ111" s="21"/>
      <c r="AR111" s="21"/>
      <c r="AS111" s="21"/>
      <c r="AT111" s="21"/>
      <c r="AU111" s="21">
        <v>23.76</v>
      </c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>
        <v>8.76</v>
      </c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131">
        <v>169.03</v>
      </c>
    </row>
    <row r="112" spans="1:82" ht="15" customHeight="1" x14ac:dyDescent="0.2">
      <c r="A112" s="20">
        <v>109</v>
      </c>
      <c r="B112" s="20" t="s">
        <v>458</v>
      </c>
      <c r="C112" s="20" t="s">
        <v>459</v>
      </c>
      <c r="D112" s="20" t="s">
        <v>220</v>
      </c>
      <c r="E112" s="20" t="s">
        <v>220</v>
      </c>
      <c r="F112" s="20" t="s">
        <v>170</v>
      </c>
      <c r="G112" s="21" t="s">
        <v>176</v>
      </c>
      <c r="H112" s="21" t="s">
        <v>221</v>
      </c>
      <c r="I112" s="21">
        <v>168.77</v>
      </c>
      <c r="J112" s="20">
        <v>168.77</v>
      </c>
      <c r="K112" s="21">
        <v>168.77</v>
      </c>
      <c r="L112" s="132" t="s">
        <v>149</v>
      </c>
      <c r="M112" s="20">
        <v>191.85</v>
      </c>
      <c r="N112" s="20">
        <v>-23.08</v>
      </c>
      <c r="O112" s="133" t="s">
        <v>460</v>
      </c>
      <c r="P112" s="20" t="s">
        <v>185</v>
      </c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>
        <v>30.76</v>
      </c>
      <c r="AH112" s="21"/>
      <c r="AI112" s="21">
        <v>132.43</v>
      </c>
      <c r="AJ112" s="21"/>
      <c r="AK112" s="21"/>
      <c r="AL112" s="21"/>
      <c r="AM112" s="21">
        <v>2</v>
      </c>
      <c r="AN112" s="21">
        <v>3.58</v>
      </c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131">
        <v>168.77</v>
      </c>
    </row>
    <row r="113" spans="1:82" ht="15" customHeight="1" x14ac:dyDescent="0.2">
      <c r="A113" s="20">
        <v>110</v>
      </c>
      <c r="B113" s="20" t="s">
        <v>461</v>
      </c>
      <c r="C113" s="20" t="s">
        <v>462</v>
      </c>
      <c r="D113" s="20" t="s">
        <v>220</v>
      </c>
      <c r="E113" s="20" t="s">
        <v>220</v>
      </c>
      <c r="F113" s="20" t="s">
        <v>170</v>
      </c>
      <c r="G113" s="21" t="s">
        <v>176</v>
      </c>
      <c r="H113" s="21" t="s">
        <v>221</v>
      </c>
      <c r="I113" s="21">
        <v>22.42</v>
      </c>
      <c r="J113" s="20">
        <v>22.42</v>
      </c>
      <c r="K113" s="21">
        <v>22.42</v>
      </c>
      <c r="L113" s="132" t="s">
        <v>149</v>
      </c>
      <c r="M113" s="20">
        <v>30.15</v>
      </c>
      <c r="N113" s="20">
        <v>-7.73</v>
      </c>
      <c r="O113" s="135" t="s">
        <v>463</v>
      </c>
      <c r="P113" s="20" t="s">
        <v>185</v>
      </c>
      <c r="Q113" s="21">
        <v>6.42</v>
      </c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>
        <v>13.5</v>
      </c>
      <c r="AJ113" s="21"/>
      <c r="AK113" s="21"/>
      <c r="AL113" s="21"/>
      <c r="AM113" s="21">
        <v>0.5</v>
      </c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>
        <v>2</v>
      </c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131">
        <v>22.42</v>
      </c>
    </row>
    <row r="114" spans="1:82" ht="15" customHeight="1" x14ac:dyDescent="0.2">
      <c r="A114" s="20">
        <v>111</v>
      </c>
      <c r="B114" s="20" t="s">
        <v>464</v>
      </c>
      <c r="C114" s="20" t="s">
        <v>465</v>
      </c>
      <c r="D114" s="20" t="s">
        <v>220</v>
      </c>
      <c r="E114" s="20" t="s">
        <v>220</v>
      </c>
      <c r="F114" s="20" t="s">
        <v>170</v>
      </c>
      <c r="G114" s="21" t="s">
        <v>176</v>
      </c>
      <c r="H114" s="21" t="s">
        <v>221</v>
      </c>
      <c r="I114" s="21"/>
      <c r="J114" s="20"/>
      <c r="K114" s="21"/>
      <c r="L114" s="136" t="s">
        <v>159</v>
      </c>
      <c r="M114" s="20"/>
      <c r="N114" s="20"/>
      <c r="O114" s="134" t="s">
        <v>159</v>
      </c>
      <c r="P114" s="20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131"/>
    </row>
    <row r="115" spans="1:82" ht="15" customHeight="1" x14ac:dyDescent="0.2">
      <c r="A115" s="20">
        <v>112</v>
      </c>
      <c r="B115" s="20" t="s">
        <v>466</v>
      </c>
      <c r="C115" s="20" t="s">
        <v>467</v>
      </c>
      <c r="D115" s="20" t="s">
        <v>220</v>
      </c>
      <c r="E115" s="20" t="s">
        <v>220</v>
      </c>
      <c r="F115" s="20" t="s">
        <v>170</v>
      </c>
      <c r="G115" s="21" t="s">
        <v>176</v>
      </c>
      <c r="H115" s="21" t="s">
        <v>221</v>
      </c>
      <c r="I115" s="21"/>
      <c r="J115" s="20"/>
      <c r="K115" s="21"/>
      <c r="L115" s="136" t="s">
        <v>159</v>
      </c>
      <c r="M115" s="20"/>
      <c r="N115" s="20"/>
      <c r="O115" s="134" t="s">
        <v>159</v>
      </c>
      <c r="P115" s="20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131"/>
    </row>
    <row r="116" spans="1:82" ht="15" customHeight="1" x14ac:dyDescent="0.2">
      <c r="A116" s="20">
        <v>113</v>
      </c>
      <c r="B116" s="20" t="s">
        <v>468</v>
      </c>
      <c r="C116" s="20" t="s">
        <v>469</v>
      </c>
      <c r="D116" s="20" t="s">
        <v>220</v>
      </c>
      <c r="E116" s="20" t="s">
        <v>220</v>
      </c>
      <c r="F116" s="20" t="s">
        <v>170</v>
      </c>
      <c r="G116" s="21" t="s">
        <v>176</v>
      </c>
      <c r="H116" s="21" t="s">
        <v>221</v>
      </c>
      <c r="I116" s="21">
        <v>30.08</v>
      </c>
      <c r="J116" s="20">
        <v>30.08</v>
      </c>
      <c r="K116" s="21">
        <v>30.08</v>
      </c>
      <c r="L116" s="132" t="s">
        <v>149</v>
      </c>
      <c r="M116" s="20"/>
      <c r="N116" s="20"/>
      <c r="O116" s="134" t="s">
        <v>159</v>
      </c>
      <c r="P116" s="20" t="s">
        <v>185</v>
      </c>
      <c r="Q116" s="21">
        <v>19.5</v>
      </c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>
        <v>6.58</v>
      </c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>
        <v>4</v>
      </c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131">
        <v>30.08</v>
      </c>
    </row>
    <row r="117" spans="1:82" ht="15" customHeight="1" x14ac:dyDescent="0.2">
      <c r="A117" s="20">
        <v>114</v>
      </c>
      <c r="B117" s="20" t="s">
        <v>470</v>
      </c>
      <c r="C117" s="20" t="s">
        <v>471</v>
      </c>
      <c r="D117" s="20" t="s">
        <v>179</v>
      </c>
      <c r="E117" s="20" t="s">
        <v>472</v>
      </c>
      <c r="F117" s="20" t="s">
        <v>146</v>
      </c>
      <c r="G117" s="21" t="s">
        <v>162</v>
      </c>
      <c r="H117" s="21" t="s">
        <v>238</v>
      </c>
      <c r="I117" s="21">
        <v>158.65</v>
      </c>
      <c r="J117" s="20">
        <v>136.63</v>
      </c>
      <c r="K117" s="21">
        <v>136.63</v>
      </c>
      <c r="L117" s="132" t="s">
        <v>473</v>
      </c>
      <c r="M117" s="20"/>
      <c r="N117" s="20"/>
      <c r="O117" s="134" t="s">
        <v>159</v>
      </c>
      <c r="P117" s="20" t="s">
        <v>185</v>
      </c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>
        <v>11.67</v>
      </c>
      <c r="AJ117" s="21"/>
      <c r="AK117" s="21"/>
      <c r="AL117" s="21"/>
      <c r="AM117" s="21">
        <v>69.709999999999994</v>
      </c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>
        <v>5.49</v>
      </c>
      <c r="BF117" s="21"/>
      <c r="BG117" s="21"/>
      <c r="BH117" s="21"/>
      <c r="BI117" s="21">
        <v>49.76</v>
      </c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131">
        <v>136.63</v>
      </c>
    </row>
    <row r="118" spans="1:82" ht="15" customHeight="1" x14ac:dyDescent="0.2">
      <c r="A118" s="20">
        <v>115</v>
      </c>
      <c r="B118" s="20" t="s">
        <v>474</v>
      </c>
      <c r="C118" s="20" t="s">
        <v>475</v>
      </c>
      <c r="D118" s="20" t="s">
        <v>261</v>
      </c>
      <c r="E118" s="20" t="s">
        <v>194</v>
      </c>
      <c r="F118" s="20" t="s">
        <v>146</v>
      </c>
      <c r="G118" s="21" t="s">
        <v>158</v>
      </c>
      <c r="H118" s="21" t="s">
        <v>148</v>
      </c>
      <c r="I118" s="21">
        <v>145.26</v>
      </c>
      <c r="J118" s="20">
        <v>124.42</v>
      </c>
      <c r="K118" s="21">
        <v>124.42</v>
      </c>
      <c r="L118" s="132" t="s">
        <v>476</v>
      </c>
      <c r="M118" s="20"/>
      <c r="N118" s="20"/>
      <c r="O118" s="134" t="s">
        <v>159</v>
      </c>
      <c r="P118" s="20" t="s">
        <v>185</v>
      </c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>
        <v>26.27</v>
      </c>
      <c r="AB118" s="21"/>
      <c r="AC118" s="21"/>
      <c r="AD118" s="21"/>
      <c r="AE118" s="21"/>
      <c r="AF118" s="21"/>
      <c r="AG118" s="21"/>
      <c r="AH118" s="21"/>
      <c r="AI118" s="21">
        <v>98.15</v>
      </c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131">
        <v>124.42</v>
      </c>
    </row>
    <row r="119" spans="1:82" ht="15" customHeight="1" x14ac:dyDescent="0.2">
      <c r="A119" s="20">
        <v>116</v>
      </c>
      <c r="B119" s="20" t="s">
        <v>477</v>
      </c>
      <c r="C119" s="20" t="s">
        <v>478</v>
      </c>
      <c r="D119" s="20" t="s">
        <v>444</v>
      </c>
      <c r="E119" s="20" t="s">
        <v>145</v>
      </c>
      <c r="F119" s="20" t="s">
        <v>170</v>
      </c>
      <c r="G119" s="21" t="s">
        <v>158</v>
      </c>
      <c r="H119" s="21" t="s">
        <v>148</v>
      </c>
      <c r="I119" s="21">
        <v>96.99</v>
      </c>
      <c r="J119" s="20">
        <v>96.99</v>
      </c>
      <c r="K119" s="21">
        <v>96.99</v>
      </c>
      <c r="L119" s="132" t="s">
        <v>149</v>
      </c>
      <c r="M119" s="20">
        <v>81.816666666667004</v>
      </c>
      <c r="N119" s="20">
        <v>15.173333333333</v>
      </c>
      <c r="O119" s="133" t="s">
        <v>479</v>
      </c>
      <c r="P119" s="20" t="s">
        <v>185</v>
      </c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>
        <v>12</v>
      </c>
      <c r="AJ119" s="21"/>
      <c r="AK119" s="21"/>
      <c r="AL119" s="21"/>
      <c r="AM119" s="21"/>
      <c r="AN119" s="21"/>
      <c r="AO119" s="21"/>
      <c r="AP119" s="21"/>
      <c r="AQ119" s="21"/>
      <c r="AR119" s="21">
        <v>84.99</v>
      </c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131">
        <v>96.99</v>
      </c>
    </row>
    <row r="120" spans="1:82" ht="15" customHeight="1" x14ac:dyDescent="0.2">
      <c r="A120" s="20">
        <v>117</v>
      </c>
      <c r="B120" s="20" t="s">
        <v>480</v>
      </c>
      <c r="C120" s="20" t="s">
        <v>481</v>
      </c>
      <c r="D120" s="20" t="s">
        <v>154</v>
      </c>
      <c r="E120" s="20" t="s">
        <v>145</v>
      </c>
      <c r="F120" s="20" t="s">
        <v>170</v>
      </c>
      <c r="G120" s="21" t="s">
        <v>176</v>
      </c>
      <c r="H120" s="21" t="s">
        <v>148</v>
      </c>
      <c r="I120" s="21">
        <v>140.43</v>
      </c>
      <c r="J120" s="20">
        <v>140.43</v>
      </c>
      <c r="K120" s="21">
        <v>140.43</v>
      </c>
      <c r="L120" s="132" t="s">
        <v>149</v>
      </c>
      <c r="M120" s="20"/>
      <c r="N120" s="20"/>
      <c r="O120" s="134" t="s">
        <v>159</v>
      </c>
      <c r="P120" s="20" t="s">
        <v>185</v>
      </c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>
        <v>3</v>
      </c>
      <c r="AD120" s="21">
        <v>3</v>
      </c>
      <c r="AE120" s="21">
        <v>33.58</v>
      </c>
      <c r="AF120" s="21"/>
      <c r="AG120" s="21"/>
      <c r="AH120" s="21"/>
      <c r="AI120" s="21">
        <v>15.25</v>
      </c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>
        <v>43.84</v>
      </c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>
        <v>19.010000000000002</v>
      </c>
      <c r="BH120" s="21"/>
      <c r="BI120" s="21"/>
      <c r="BJ120" s="21"/>
      <c r="BK120" s="21"/>
      <c r="BL120" s="21"/>
      <c r="BM120" s="21"/>
      <c r="BN120" s="21"/>
      <c r="BO120" s="21">
        <v>22.75</v>
      </c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131">
        <v>140.43</v>
      </c>
    </row>
    <row r="121" spans="1:82" ht="23.25" customHeight="1" x14ac:dyDescent="0.2">
      <c r="A121" s="20">
        <v>118</v>
      </c>
      <c r="B121" s="20" t="s">
        <v>482</v>
      </c>
      <c r="C121" s="20" t="s">
        <v>483</v>
      </c>
      <c r="D121" s="20" t="s">
        <v>177</v>
      </c>
      <c r="E121" s="20" t="s">
        <v>177</v>
      </c>
      <c r="F121" s="20" t="s">
        <v>170</v>
      </c>
      <c r="G121" s="21" t="s">
        <v>176</v>
      </c>
      <c r="H121" s="21" t="s">
        <v>294</v>
      </c>
      <c r="I121" s="21">
        <v>83.9</v>
      </c>
      <c r="J121" s="20">
        <v>83.9</v>
      </c>
      <c r="K121" s="21">
        <v>83.9</v>
      </c>
      <c r="L121" s="132" t="s">
        <v>149</v>
      </c>
      <c r="M121" s="20"/>
      <c r="N121" s="20"/>
      <c r="O121" s="134" t="s">
        <v>159</v>
      </c>
      <c r="P121" s="20" t="s">
        <v>185</v>
      </c>
      <c r="Q121" s="21">
        <v>2</v>
      </c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>
        <v>39.32</v>
      </c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>
        <v>32.25</v>
      </c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>
        <v>7.33</v>
      </c>
      <c r="BF121" s="21"/>
      <c r="BG121" s="21"/>
      <c r="BH121" s="21"/>
      <c r="BI121" s="21"/>
      <c r="BJ121" s="21"/>
      <c r="BK121" s="21">
        <v>3</v>
      </c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131">
        <v>83.9</v>
      </c>
    </row>
    <row r="122" spans="1:82" ht="15" customHeight="1" x14ac:dyDescent="0.2">
      <c r="A122" s="20">
        <v>119</v>
      </c>
      <c r="B122" s="20" t="s">
        <v>484</v>
      </c>
      <c r="C122" s="20" t="s">
        <v>485</v>
      </c>
      <c r="D122" s="20" t="s">
        <v>197</v>
      </c>
      <c r="E122" s="20" t="s">
        <v>199</v>
      </c>
      <c r="F122" s="20" t="s">
        <v>170</v>
      </c>
      <c r="G122" s="21" t="s">
        <v>176</v>
      </c>
      <c r="H122" s="21" t="s">
        <v>148</v>
      </c>
      <c r="I122" s="21">
        <v>119.49</v>
      </c>
      <c r="J122" s="20">
        <v>119.49</v>
      </c>
      <c r="K122" s="21">
        <v>119.49</v>
      </c>
      <c r="L122" s="132" t="s">
        <v>149</v>
      </c>
      <c r="M122" s="20"/>
      <c r="N122" s="20"/>
      <c r="O122" s="134" t="s">
        <v>159</v>
      </c>
      <c r="P122" s="20" t="s">
        <v>185</v>
      </c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>
        <v>8.33</v>
      </c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>
        <v>111.16</v>
      </c>
      <c r="CB122" s="21"/>
      <c r="CC122" s="21"/>
      <c r="CD122" s="131">
        <v>119.49</v>
      </c>
    </row>
    <row r="123" spans="1:82" ht="15" customHeight="1" x14ac:dyDescent="0.2">
      <c r="A123" s="20">
        <v>120</v>
      </c>
      <c r="B123" s="20" t="s">
        <v>486</v>
      </c>
      <c r="C123" s="20" t="s">
        <v>487</v>
      </c>
      <c r="D123" s="20" t="s">
        <v>247</v>
      </c>
      <c r="E123" s="20" t="s">
        <v>247</v>
      </c>
      <c r="F123" s="20" t="s">
        <v>170</v>
      </c>
      <c r="G123" s="21" t="s">
        <v>176</v>
      </c>
      <c r="H123" s="21" t="s">
        <v>148</v>
      </c>
      <c r="I123" s="21"/>
      <c r="J123" s="20"/>
      <c r="K123" s="21"/>
      <c r="L123" s="136" t="s">
        <v>159</v>
      </c>
      <c r="M123" s="20"/>
      <c r="N123" s="20"/>
      <c r="O123" s="134" t="s">
        <v>159</v>
      </c>
      <c r="P123" s="20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131"/>
    </row>
    <row r="124" spans="1:82" ht="15" customHeight="1" x14ac:dyDescent="0.2">
      <c r="A124" s="20">
        <v>121</v>
      </c>
      <c r="B124" s="20" t="s">
        <v>488</v>
      </c>
      <c r="C124" s="20" t="s">
        <v>489</v>
      </c>
      <c r="D124" s="20" t="s">
        <v>177</v>
      </c>
      <c r="E124" s="20" t="s">
        <v>177</v>
      </c>
      <c r="F124" s="20" t="s">
        <v>170</v>
      </c>
      <c r="G124" s="21" t="s">
        <v>158</v>
      </c>
      <c r="H124" s="21" t="s">
        <v>148</v>
      </c>
      <c r="I124" s="21">
        <v>82</v>
      </c>
      <c r="J124" s="20">
        <v>82</v>
      </c>
      <c r="K124" s="21">
        <v>82</v>
      </c>
      <c r="L124" s="132" t="s">
        <v>149</v>
      </c>
      <c r="M124" s="20"/>
      <c r="N124" s="20"/>
      <c r="O124" s="134" t="s">
        <v>159</v>
      </c>
      <c r="P124" s="20" t="s">
        <v>185</v>
      </c>
      <c r="Q124" s="21">
        <v>36</v>
      </c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>
        <v>8</v>
      </c>
      <c r="AJ124" s="21"/>
      <c r="AK124" s="21"/>
      <c r="AL124" s="21"/>
      <c r="AM124" s="21">
        <v>9.5</v>
      </c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>
        <v>5</v>
      </c>
      <c r="BA124" s="21"/>
      <c r="BB124" s="21"/>
      <c r="BC124" s="21"/>
      <c r="BD124" s="21"/>
      <c r="BE124" s="21">
        <v>19.5</v>
      </c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>
        <v>4</v>
      </c>
      <c r="BU124" s="21"/>
      <c r="BV124" s="21"/>
      <c r="BW124" s="21"/>
      <c r="BX124" s="21"/>
      <c r="BY124" s="21"/>
      <c r="BZ124" s="21"/>
      <c r="CA124" s="21"/>
      <c r="CB124" s="21"/>
      <c r="CC124" s="21"/>
      <c r="CD124" s="131">
        <v>82</v>
      </c>
    </row>
    <row r="125" spans="1:82" ht="15" customHeight="1" x14ac:dyDescent="0.2">
      <c r="A125" s="20">
        <v>122</v>
      </c>
      <c r="B125" s="20" t="s">
        <v>490</v>
      </c>
      <c r="C125" s="20" t="s">
        <v>491</v>
      </c>
      <c r="D125" s="20" t="s">
        <v>145</v>
      </c>
      <c r="E125" s="20" t="s">
        <v>145</v>
      </c>
      <c r="F125" s="20" t="s">
        <v>170</v>
      </c>
      <c r="G125" s="21" t="s">
        <v>176</v>
      </c>
      <c r="H125" s="21" t="s">
        <v>148</v>
      </c>
      <c r="I125" s="21">
        <v>113.26</v>
      </c>
      <c r="J125" s="20">
        <v>113.26</v>
      </c>
      <c r="K125" s="21">
        <v>113.26</v>
      </c>
      <c r="L125" s="132" t="s">
        <v>149</v>
      </c>
      <c r="M125" s="20"/>
      <c r="N125" s="20"/>
      <c r="O125" s="134" t="s">
        <v>159</v>
      </c>
      <c r="P125" s="20" t="s">
        <v>185</v>
      </c>
      <c r="Q125" s="21"/>
      <c r="R125" s="21"/>
      <c r="S125" s="21"/>
      <c r="T125" s="21">
        <v>52.58</v>
      </c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>
        <v>60.68</v>
      </c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131">
        <v>113.26</v>
      </c>
    </row>
    <row r="126" spans="1:82" ht="15" customHeight="1" x14ac:dyDescent="0.2">
      <c r="A126" s="20">
        <v>123</v>
      </c>
      <c r="B126" s="20" t="s">
        <v>492</v>
      </c>
      <c r="C126" s="20" t="s">
        <v>493</v>
      </c>
      <c r="D126" s="20" t="s">
        <v>261</v>
      </c>
      <c r="E126" s="20" t="s">
        <v>194</v>
      </c>
      <c r="F126" s="20" t="s">
        <v>170</v>
      </c>
      <c r="G126" s="21" t="s">
        <v>176</v>
      </c>
      <c r="H126" s="21" t="s">
        <v>148</v>
      </c>
      <c r="I126" s="21">
        <v>85.09</v>
      </c>
      <c r="J126" s="20">
        <v>81.59</v>
      </c>
      <c r="K126" s="21">
        <v>81.59</v>
      </c>
      <c r="L126" s="132" t="s">
        <v>494</v>
      </c>
      <c r="M126" s="20">
        <v>201.68333333333001</v>
      </c>
      <c r="N126" s="20">
        <v>-120.09333333332999</v>
      </c>
      <c r="O126" s="135" t="s">
        <v>495</v>
      </c>
      <c r="P126" s="20" t="s">
        <v>151</v>
      </c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>
        <v>22.59</v>
      </c>
      <c r="AI126" s="21">
        <v>1.5</v>
      </c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>
        <v>2.75</v>
      </c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>
        <v>54.75</v>
      </c>
      <c r="BV126" s="21"/>
      <c r="BW126" s="21"/>
      <c r="BX126" s="21"/>
      <c r="BY126" s="21"/>
      <c r="BZ126" s="21"/>
      <c r="CA126" s="21"/>
      <c r="CB126" s="21"/>
      <c r="CC126" s="21"/>
      <c r="CD126" s="131">
        <v>81.59</v>
      </c>
    </row>
    <row r="127" spans="1:82" ht="15" customHeight="1" x14ac:dyDescent="0.2">
      <c r="A127" s="20">
        <v>124</v>
      </c>
      <c r="B127" s="20" t="s">
        <v>496</v>
      </c>
      <c r="C127" s="20" t="s">
        <v>497</v>
      </c>
      <c r="D127" s="20" t="s">
        <v>199</v>
      </c>
      <c r="E127" s="20" t="s">
        <v>199</v>
      </c>
      <c r="F127" s="20" t="s">
        <v>146</v>
      </c>
      <c r="G127" s="21" t="s">
        <v>158</v>
      </c>
      <c r="H127" s="21" t="s">
        <v>148</v>
      </c>
      <c r="I127" s="21">
        <v>40.92</v>
      </c>
      <c r="J127" s="20">
        <v>40.92</v>
      </c>
      <c r="K127" s="21">
        <v>40.92</v>
      </c>
      <c r="L127" s="132" t="s">
        <v>149</v>
      </c>
      <c r="M127" s="20">
        <v>28.333333333333002</v>
      </c>
      <c r="N127" s="20">
        <v>12.586666666667</v>
      </c>
      <c r="O127" s="135" t="s">
        <v>498</v>
      </c>
      <c r="P127" s="20" t="s">
        <v>185</v>
      </c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>
        <v>5.5</v>
      </c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>
        <v>35.42</v>
      </c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131">
        <v>40.92</v>
      </c>
    </row>
    <row r="128" spans="1:82" ht="15" customHeight="1" x14ac:dyDescent="0.2">
      <c r="A128" s="20">
        <v>125</v>
      </c>
      <c r="B128" s="20" t="s">
        <v>499</v>
      </c>
      <c r="C128" s="20" t="s">
        <v>500</v>
      </c>
      <c r="D128" s="20" t="s">
        <v>247</v>
      </c>
      <c r="E128" s="20" t="s">
        <v>194</v>
      </c>
      <c r="F128" s="20" t="s">
        <v>146</v>
      </c>
      <c r="G128" s="21" t="s">
        <v>158</v>
      </c>
      <c r="H128" s="21" t="s">
        <v>148</v>
      </c>
      <c r="I128" s="21">
        <v>161.58000000000001</v>
      </c>
      <c r="J128" s="20">
        <v>145</v>
      </c>
      <c r="K128" s="21">
        <v>145</v>
      </c>
      <c r="L128" s="132" t="s">
        <v>501</v>
      </c>
      <c r="M128" s="20"/>
      <c r="N128" s="20"/>
      <c r="O128" s="134" t="s">
        <v>159</v>
      </c>
      <c r="P128" s="20" t="s">
        <v>185</v>
      </c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>
        <v>127.17</v>
      </c>
      <c r="AJ128" s="21"/>
      <c r="AK128" s="21">
        <v>0.33</v>
      </c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>
        <v>17.5</v>
      </c>
      <c r="BV128" s="21"/>
      <c r="BW128" s="21"/>
      <c r="BX128" s="21"/>
      <c r="BY128" s="21"/>
      <c r="BZ128" s="21"/>
      <c r="CA128" s="21"/>
      <c r="CB128" s="21"/>
      <c r="CC128" s="21"/>
      <c r="CD128" s="131">
        <v>145</v>
      </c>
    </row>
    <row r="129" spans="1:82" ht="15" customHeight="1" x14ac:dyDescent="0.2">
      <c r="A129" s="20">
        <v>126</v>
      </c>
      <c r="B129" s="20" t="s">
        <v>502</v>
      </c>
      <c r="C129" s="20" t="s">
        <v>503</v>
      </c>
      <c r="D129" s="20" t="s">
        <v>404</v>
      </c>
      <c r="E129" s="20" t="s">
        <v>404</v>
      </c>
      <c r="F129" s="20" t="s">
        <v>170</v>
      </c>
      <c r="G129" s="21" t="s">
        <v>504</v>
      </c>
      <c r="H129" s="21" t="s">
        <v>351</v>
      </c>
      <c r="I129" s="21">
        <v>163.86</v>
      </c>
      <c r="J129" s="20">
        <v>148.86000000000001</v>
      </c>
      <c r="K129" s="21">
        <v>148.86000000000001</v>
      </c>
      <c r="L129" s="132" t="s">
        <v>505</v>
      </c>
      <c r="M129" s="20"/>
      <c r="N129" s="20"/>
      <c r="O129" s="134" t="s">
        <v>159</v>
      </c>
      <c r="P129" s="20" t="s">
        <v>185</v>
      </c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>
        <v>148.86000000000001</v>
      </c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131">
        <v>148.86000000000001</v>
      </c>
    </row>
    <row r="130" spans="1:82" ht="15" customHeight="1" x14ac:dyDescent="0.2">
      <c r="A130" s="20">
        <v>127</v>
      </c>
      <c r="B130" s="20" t="s">
        <v>506</v>
      </c>
      <c r="C130" s="20" t="s">
        <v>507</v>
      </c>
      <c r="D130" s="20" t="s">
        <v>154</v>
      </c>
      <c r="E130" s="20" t="s">
        <v>145</v>
      </c>
      <c r="F130" s="20" t="s">
        <v>170</v>
      </c>
      <c r="G130" s="21" t="s">
        <v>158</v>
      </c>
      <c r="H130" s="21" t="s">
        <v>148</v>
      </c>
      <c r="I130" s="21">
        <v>164.32</v>
      </c>
      <c r="J130" s="20">
        <v>164.32</v>
      </c>
      <c r="K130" s="21">
        <v>164.32</v>
      </c>
      <c r="L130" s="132" t="s">
        <v>149</v>
      </c>
      <c r="M130" s="20">
        <v>88.933333333332996</v>
      </c>
      <c r="N130" s="20">
        <v>75.386666666666997</v>
      </c>
      <c r="O130" s="135" t="s">
        <v>508</v>
      </c>
      <c r="P130" s="20" t="s">
        <v>151</v>
      </c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>
        <v>23.75</v>
      </c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>
        <v>8.67</v>
      </c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>
        <v>131.9</v>
      </c>
      <c r="CA130" s="21"/>
      <c r="CB130" s="21"/>
      <c r="CC130" s="21"/>
      <c r="CD130" s="131">
        <v>164.32</v>
      </c>
    </row>
    <row r="131" spans="1:82" ht="15" customHeight="1" x14ac:dyDescent="0.2">
      <c r="A131" s="20">
        <v>128</v>
      </c>
      <c r="B131" s="20" t="s">
        <v>509</v>
      </c>
      <c r="C131" s="20" t="s">
        <v>510</v>
      </c>
      <c r="D131" s="20" t="s">
        <v>197</v>
      </c>
      <c r="E131" s="20" t="s">
        <v>199</v>
      </c>
      <c r="F131" s="20" t="s">
        <v>170</v>
      </c>
      <c r="G131" s="21" t="s">
        <v>176</v>
      </c>
      <c r="H131" s="21" t="s">
        <v>148</v>
      </c>
      <c r="I131" s="21">
        <v>141</v>
      </c>
      <c r="J131" s="20">
        <v>141</v>
      </c>
      <c r="K131" s="21">
        <v>141</v>
      </c>
      <c r="L131" s="132" t="s">
        <v>149</v>
      </c>
      <c r="M131" s="20"/>
      <c r="N131" s="20"/>
      <c r="O131" s="134" t="s">
        <v>159</v>
      </c>
      <c r="P131" s="20" t="s">
        <v>185</v>
      </c>
      <c r="Q131" s="21"/>
      <c r="R131" s="21"/>
      <c r="S131" s="21"/>
      <c r="T131" s="21"/>
      <c r="U131" s="21">
        <v>102.18</v>
      </c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>
        <v>35.25</v>
      </c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>
        <v>3.57</v>
      </c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131">
        <v>141</v>
      </c>
    </row>
    <row r="132" spans="1:82" ht="15" customHeight="1" x14ac:dyDescent="0.2">
      <c r="A132" s="20">
        <v>129</v>
      </c>
      <c r="B132" s="20" t="s">
        <v>511</v>
      </c>
      <c r="C132" s="20" t="s">
        <v>512</v>
      </c>
      <c r="D132" s="20" t="s">
        <v>247</v>
      </c>
      <c r="E132" s="20" t="s">
        <v>194</v>
      </c>
      <c r="F132" s="20" t="s">
        <v>170</v>
      </c>
      <c r="G132" s="21" t="s">
        <v>176</v>
      </c>
      <c r="H132" s="21" t="s">
        <v>148</v>
      </c>
      <c r="I132" s="21">
        <v>113.88</v>
      </c>
      <c r="J132" s="20">
        <v>98.47</v>
      </c>
      <c r="K132" s="21">
        <v>98.47</v>
      </c>
      <c r="L132" s="132" t="s">
        <v>513</v>
      </c>
      <c r="M132" s="20"/>
      <c r="N132" s="20"/>
      <c r="O132" s="134" t="s">
        <v>159</v>
      </c>
      <c r="P132" s="20" t="s">
        <v>185</v>
      </c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>
        <v>74.98</v>
      </c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>
        <v>2.25</v>
      </c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>
        <v>21.24</v>
      </c>
      <c r="BV132" s="21"/>
      <c r="BW132" s="21"/>
      <c r="BX132" s="21"/>
      <c r="BY132" s="21"/>
      <c r="BZ132" s="21"/>
      <c r="CA132" s="21"/>
      <c r="CB132" s="21"/>
      <c r="CC132" s="21"/>
      <c r="CD132" s="131">
        <v>98.47</v>
      </c>
    </row>
    <row r="133" spans="1:82" ht="15" customHeight="1" x14ac:dyDescent="0.2">
      <c r="A133" s="20">
        <v>130</v>
      </c>
      <c r="B133" s="20" t="s">
        <v>514</v>
      </c>
      <c r="C133" s="20" t="s">
        <v>515</v>
      </c>
      <c r="D133" s="20" t="s">
        <v>179</v>
      </c>
      <c r="E133" s="20" t="s">
        <v>159</v>
      </c>
      <c r="F133" s="20" t="s">
        <v>146</v>
      </c>
      <c r="G133" s="21" t="s">
        <v>304</v>
      </c>
      <c r="H133" s="21" t="s">
        <v>238</v>
      </c>
      <c r="I133" s="21"/>
      <c r="J133" s="20"/>
      <c r="K133" s="21"/>
      <c r="L133" s="136" t="s">
        <v>159</v>
      </c>
      <c r="M133" s="20"/>
      <c r="N133" s="20"/>
      <c r="O133" s="134" t="s">
        <v>159</v>
      </c>
      <c r="P133" s="20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131"/>
    </row>
    <row r="134" spans="1:82" ht="15" customHeight="1" x14ac:dyDescent="0.2">
      <c r="A134" s="20">
        <v>131</v>
      </c>
      <c r="B134" s="20" t="s">
        <v>516</v>
      </c>
      <c r="C134" s="20" t="s">
        <v>517</v>
      </c>
      <c r="D134" s="20" t="s">
        <v>179</v>
      </c>
      <c r="E134" s="20" t="s">
        <v>159</v>
      </c>
      <c r="F134" s="20" t="s">
        <v>170</v>
      </c>
      <c r="G134" s="21" t="s">
        <v>350</v>
      </c>
      <c r="H134" s="21" t="s">
        <v>148</v>
      </c>
      <c r="I134" s="21">
        <v>88</v>
      </c>
      <c r="J134" s="20">
        <v>88</v>
      </c>
      <c r="K134" s="21">
        <v>88</v>
      </c>
      <c r="L134" s="132" t="s">
        <v>149</v>
      </c>
      <c r="M134" s="20">
        <v>32.450000000000003</v>
      </c>
      <c r="N134" s="20">
        <v>55.55</v>
      </c>
      <c r="O134" s="135" t="s">
        <v>518</v>
      </c>
      <c r="P134" s="20" t="s">
        <v>151</v>
      </c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>
        <v>40</v>
      </c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>
        <v>48</v>
      </c>
      <c r="BZ134" s="21"/>
      <c r="CA134" s="21"/>
      <c r="CB134" s="21"/>
      <c r="CC134" s="21"/>
      <c r="CD134" s="131">
        <v>88</v>
      </c>
    </row>
    <row r="135" spans="1:82" ht="15" customHeight="1" x14ac:dyDescent="0.2">
      <c r="A135" s="20">
        <v>132</v>
      </c>
      <c r="B135" s="20" t="s">
        <v>519</v>
      </c>
      <c r="C135" s="20" t="s">
        <v>520</v>
      </c>
      <c r="D135" s="20" t="s">
        <v>220</v>
      </c>
      <c r="E135" s="20" t="s">
        <v>269</v>
      </c>
      <c r="F135" s="20" t="s">
        <v>170</v>
      </c>
      <c r="G135" s="21" t="s">
        <v>176</v>
      </c>
      <c r="H135" s="21" t="s">
        <v>221</v>
      </c>
      <c r="I135" s="21">
        <v>7.25</v>
      </c>
      <c r="J135" s="20">
        <v>7.25</v>
      </c>
      <c r="K135" s="21">
        <v>7.25</v>
      </c>
      <c r="L135" s="132" t="s">
        <v>149</v>
      </c>
      <c r="M135" s="20"/>
      <c r="N135" s="20"/>
      <c r="O135" s="134" t="s">
        <v>159</v>
      </c>
      <c r="P135" s="20" t="s">
        <v>185</v>
      </c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>
        <v>7.25</v>
      </c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131">
        <v>7.25</v>
      </c>
    </row>
    <row r="136" spans="1:82" ht="15" customHeight="1" x14ac:dyDescent="0.2">
      <c r="A136" s="20">
        <v>133</v>
      </c>
      <c r="B136" s="20" t="s">
        <v>521</v>
      </c>
      <c r="C136" s="20" t="s">
        <v>522</v>
      </c>
      <c r="D136" s="20" t="s">
        <v>220</v>
      </c>
      <c r="E136" s="20" t="s">
        <v>269</v>
      </c>
      <c r="F136" s="20" t="s">
        <v>170</v>
      </c>
      <c r="G136" s="21" t="s">
        <v>176</v>
      </c>
      <c r="H136" s="21" t="s">
        <v>221</v>
      </c>
      <c r="I136" s="21"/>
      <c r="J136" s="20"/>
      <c r="K136" s="21"/>
      <c r="L136" s="136" t="s">
        <v>159</v>
      </c>
      <c r="M136" s="20"/>
      <c r="N136" s="20"/>
      <c r="O136" s="134" t="s">
        <v>159</v>
      </c>
      <c r="P136" s="20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131"/>
    </row>
    <row r="137" spans="1:82" ht="15" customHeight="1" x14ac:dyDescent="0.2">
      <c r="A137" s="20">
        <v>134</v>
      </c>
      <c r="B137" s="20" t="s">
        <v>523</v>
      </c>
      <c r="C137" s="20" t="s">
        <v>524</v>
      </c>
      <c r="D137" s="20" t="s">
        <v>220</v>
      </c>
      <c r="E137" s="20" t="s">
        <v>269</v>
      </c>
      <c r="F137" s="20" t="s">
        <v>170</v>
      </c>
      <c r="G137" s="21" t="s">
        <v>176</v>
      </c>
      <c r="H137" s="21" t="s">
        <v>221</v>
      </c>
      <c r="I137" s="21"/>
      <c r="J137" s="20"/>
      <c r="K137" s="21"/>
      <c r="L137" s="136" t="s">
        <v>159</v>
      </c>
      <c r="M137" s="20"/>
      <c r="N137" s="20"/>
      <c r="O137" s="134" t="s">
        <v>159</v>
      </c>
      <c r="P137" s="20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131"/>
    </row>
    <row r="138" spans="1:82" ht="23.25" customHeight="1" x14ac:dyDescent="0.2">
      <c r="A138" s="20">
        <v>135</v>
      </c>
      <c r="B138" s="20" t="s">
        <v>525</v>
      </c>
      <c r="C138" s="20" t="s">
        <v>526</v>
      </c>
      <c r="D138" s="20" t="s">
        <v>220</v>
      </c>
      <c r="E138" s="20" t="s">
        <v>269</v>
      </c>
      <c r="F138" s="20" t="s">
        <v>170</v>
      </c>
      <c r="G138" s="21" t="s">
        <v>176</v>
      </c>
      <c r="H138" s="21" t="s">
        <v>221</v>
      </c>
      <c r="I138" s="21"/>
      <c r="J138" s="20"/>
      <c r="K138" s="21"/>
      <c r="L138" s="136" t="s">
        <v>159</v>
      </c>
      <c r="M138" s="20"/>
      <c r="N138" s="20"/>
      <c r="O138" s="134" t="s">
        <v>159</v>
      </c>
      <c r="P138" s="20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131"/>
    </row>
    <row r="139" spans="1:82" ht="15" customHeight="1" x14ac:dyDescent="0.2">
      <c r="A139" s="20">
        <v>136</v>
      </c>
      <c r="B139" s="20" t="s">
        <v>527</v>
      </c>
      <c r="C139" s="20" t="s">
        <v>528</v>
      </c>
      <c r="D139" s="20" t="s">
        <v>404</v>
      </c>
      <c r="E139" s="20" t="s">
        <v>404</v>
      </c>
      <c r="F139" s="20" t="s">
        <v>146</v>
      </c>
      <c r="G139" s="21" t="s">
        <v>504</v>
      </c>
      <c r="H139" s="21" t="s">
        <v>351</v>
      </c>
      <c r="I139" s="21">
        <v>40</v>
      </c>
      <c r="J139" s="20">
        <v>40</v>
      </c>
      <c r="K139" s="21">
        <v>40</v>
      </c>
      <c r="L139" s="132" t="s">
        <v>149</v>
      </c>
      <c r="M139" s="20"/>
      <c r="N139" s="20"/>
      <c r="O139" s="134" t="s">
        <v>159</v>
      </c>
      <c r="P139" s="20" t="s">
        <v>234</v>
      </c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>
        <v>40</v>
      </c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131">
        <v>40</v>
      </c>
    </row>
    <row r="140" spans="1:82" ht="15" customHeight="1" x14ac:dyDescent="0.2">
      <c r="A140" s="20">
        <v>137</v>
      </c>
      <c r="B140" s="20" t="s">
        <v>529</v>
      </c>
      <c r="C140" s="20" t="s">
        <v>530</v>
      </c>
      <c r="D140" s="20" t="s">
        <v>214</v>
      </c>
      <c r="E140" s="20" t="s">
        <v>199</v>
      </c>
      <c r="F140" s="20" t="s">
        <v>170</v>
      </c>
      <c r="G140" s="21" t="s">
        <v>176</v>
      </c>
      <c r="H140" s="21" t="s">
        <v>148</v>
      </c>
      <c r="I140" s="21">
        <v>60</v>
      </c>
      <c r="J140" s="20">
        <v>60</v>
      </c>
      <c r="K140" s="21">
        <v>60</v>
      </c>
      <c r="L140" s="132" t="s">
        <v>149</v>
      </c>
      <c r="M140" s="20">
        <v>59.466666666667003</v>
      </c>
      <c r="N140" s="20">
        <v>0.53333333333333</v>
      </c>
      <c r="O140" s="133" t="s">
        <v>531</v>
      </c>
      <c r="P140" s="20" t="s">
        <v>185</v>
      </c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>
        <v>60</v>
      </c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131">
        <v>60</v>
      </c>
    </row>
    <row r="141" spans="1:82" ht="15" customHeight="1" x14ac:dyDescent="0.2">
      <c r="A141" s="20">
        <v>138</v>
      </c>
      <c r="B141" s="20" t="s">
        <v>532</v>
      </c>
      <c r="C141" s="20" t="s">
        <v>533</v>
      </c>
      <c r="D141" s="20" t="s">
        <v>380</v>
      </c>
      <c r="E141" s="20" t="s">
        <v>380</v>
      </c>
      <c r="F141" s="20" t="s">
        <v>170</v>
      </c>
      <c r="G141" s="21" t="s">
        <v>147</v>
      </c>
      <c r="H141" s="21" t="s">
        <v>382</v>
      </c>
      <c r="I141" s="21">
        <v>40</v>
      </c>
      <c r="J141" s="20">
        <v>24</v>
      </c>
      <c r="K141" s="21">
        <v>24</v>
      </c>
      <c r="L141" s="132" t="s">
        <v>534</v>
      </c>
      <c r="M141" s="20"/>
      <c r="N141" s="20"/>
      <c r="O141" s="134" t="s">
        <v>159</v>
      </c>
      <c r="P141" s="20" t="s">
        <v>185</v>
      </c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>
        <v>24</v>
      </c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131">
        <v>24</v>
      </c>
    </row>
    <row r="142" spans="1:82" ht="15" customHeight="1" x14ac:dyDescent="0.2">
      <c r="A142" s="20">
        <v>139</v>
      </c>
      <c r="B142" s="20" t="s">
        <v>535</v>
      </c>
      <c r="C142" s="20" t="s">
        <v>536</v>
      </c>
      <c r="D142" s="20" t="s">
        <v>269</v>
      </c>
      <c r="E142" s="20" t="s">
        <v>269</v>
      </c>
      <c r="F142" s="20" t="s">
        <v>170</v>
      </c>
      <c r="G142" s="21" t="s">
        <v>176</v>
      </c>
      <c r="H142" s="21" t="s">
        <v>221</v>
      </c>
      <c r="I142" s="21"/>
      <c r="J142" s="20"/>
      <c r="K142" s="21"/>
      <c r="L142" s="136" t="s">
        <v>159</v>
      </c>
      <c r="M142" s="20"/>
      <c r="N142" s="20"/>
      <c r="O142" s="134" t="s">
        <v>159</v>
      </c>
      <c r="P142" s="20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131"/>
    </row>
    <row r="143" spans="1:82" ht="15" customHeight="1" x14ac:dyDescent="0.2">
      <c r="A143" s="20">
        <v>140</v>
      </c>
      <c r="B143" s="20" t="s">
        <v>537</v>
      </c>
      <c r="C143" s="20" t="s">
        <v>538</v>
      </c>
      <c r="D143" s="20" t="s">
        <v>159</v>
      </c>
      <c r="E143" s="20" t="s">
        <v>380</v>
      </c>
      <c r="F143" s="20" t="s">
        <v>170</v>
      </c>
      <c r="G143" s="21" t="s">
        <v>147</v>
      </c>
      <c r="H143" s="21" t="s">
        <v>382</v>
      </c>
      <c r="I143" s="21">
        <v>32</v>
      </c>
      <c r="J143" s="20">
        <v>24</v>
      </c>
      <c r="K143" s="21">
        <v>24</v>
      </c>
      <c r="L143" s="132" t="s">
        <v>539</v>
      </c>
      <c r="M143" s="20"/>
      <c r="N143" s="20"/>
      <c r="O143" s="134" t="s">
        <v>159</v>
      </c>
      <c r="P143" s="20" t="s">
        <v>185</v>
      </c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>
        <v>24</v>
      </c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131">
        <v>24</v>
      </c>
    </row>
    <row r="144" spans="1:82" ht="15" customHeight="1" x14ac:dyDescent="0.2">
      <c r="A144" s="20">
        <v>141</v>
      </c>
      <c r="B144" s="20" t="s">
        <v>540</v>
      </c>
      <c r="C144" s="20" t="s">
        <v>541</v>
      </c>
      <c r="D144" s="20" t="s">
        <v>261</v>
      </c>
      <c r="E144" s="20" t="s">
        <v>261</v>
      </c>
      <c r="F144" s="20" t="s">
        <v>146</v>
      </c>
      <c r="G144" s="21" t="s">
        <v>158</v>
      </c>
      <c r="H144" s="21" t="s">
        <v>148</v>
      </c>
      <c r="I144" s="21"/>
      <c r="J144" s="20"/>
      <c r="K144" s="21"/>
      <c r="L144" s="136" t="s">
        <v>159</v>
      </c>
      <c r="M144" s="20">
        <v>1.5833333333333</v>
      </c>
      <c r="N144" s="20">
        <v>-1.5833333333333</v>
      </c>
      <c r="O144" s="135" t="s">
        <v>149</v>
      </c>
      <c r="P144" s="20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131"/>
    </row>
    <row r="145" spans="1:82" ht="15" customHeight="1" thickBot="1" x14ac:dyDescent="0.25">
      <c r="A145" s="20">
        <v>142</v>
      </c>
      <c r="B145" s="20" t="s">
        <v>542</v>
      </c>
      <c r="C145" s="20" t="s">
        <v>543</v>
      </c>
      <c r="D145" s="20" t="s">
        <v>220</v>
      </c>
      <c r="E145" s="20" t="s">
        <v>269</v>
      </c>
      <c r="F145" s="20" t="s">
        <v>146</v>
      </c>
      <c r="G145" s="21" t="s">
        <v>176</v>
      </c>
      <c r="H145" s="21" t="s">
        <v>221</v>
      </c>
      <c r="I145" s="21"/>
      <c r="J145" s="20"/>
      <c r="K145" s="21"/>
      <c r="L145" s="136" t="s">
        <v>159</v>
      </c>
      <c r="M145" s="20"/>
      <c r="N145" s="20"/>
      <c r="O145" s="134" t="s">
        <v>159</v>
      </c>
      <c r="P145" s="20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131"/>
    </row>
    <row r="146" spans="1:82" ht="15" customHeight="1" thickTop="1" thickBot="1" x14ac:dyDescent="0.3">
      <c r="A146" s="137" t="s">
        <v>544</v>
      </c>
      <c r="B146" s="138"/>
      <c r="C146" s="138"/>
      <c r="D146" s="138"/>
      <c r="E146" s="138"/>
      <c r="F146" s="138"/>
      <c r="G146" s="139"/>
      <c r="H146" s="139"/>
      <c r="I146" s="139">
        <v>14645.462</v>
      </c>
      <c r="J146" s="138">
        <v>14125.92</v>
      </c>
      <c r="K146" s="139">
        <v>14125.92</v>
      </c>
      <c r="L146" s="140" t="s">
        <v>1068</v>
      </c>
      <c r="M146" s="138">
        <v>3863.9333333333002</v>
      </c>
      <c r="N146" s="138">
        <v>164.92666666667</v>
      </c>
      <c r="O146" s="141" t="s">
        <v>545</v>
      </c>
      <c r="P146" s="138"/>
      <c r="Q146" s="139">
        <v>120.33</v>
      </c>
      <c r="R146" s="139">
        <v>193.58</v>
      </c>
      <c r="S146" s="139">
        <v>258.94</v>
      </c>
      <c r="T146" s="139">
        <v>606.6</v>
      </c>
      <c r="U146" s="139">
        <v>546.82000000000005</v>
      </c>
      <c r="V146" s="139">
        <v>28.34</v>
      </c>
      <c r="W146" s="139">
        <v>106.75</v>
      </c>
      <c r="X146" s="139">
        <v>451</v>
      </c>
      <c r="Y146" s="139">
        <v>177</v>
      </c>
      <c r="Z146" s="139">
        <v>8.14</v>
      </c>
      <c r="AA146" s="139">
        <v>360.04</v>
      </c>
      <c r="AB146" s="139">
        <v>95.83</v>
      </c>
      <c r="AC146" s="139">
        <v>465.76</v>
      </c>
      <c r="AD146" s="139">
        <v>160.25</v>
      </c>
      <c r="AE146" s="139">
        <v>97.33</v>
      </c>
      <c r="AF146" s="139">
        <v>6.25</v>
      </c>
      <c r="AG146" s="139">
        <v>218.03</v>
      </c>
      <c r="AH146" s="139">
        <v>45.66</v>
      </c>
      <c r="AI146" s="139">
        <v>3319.78</v>
      </c>
      <c r="AJ146" s="139">
        <v>28</v>
      </c>
      <c r="AK146" s="139">
        <v>14.65</v>
      </c>
      <c r="AL146" s="139">
        <v>240.02</v>
      </c>
      <c r="AM146" s="139">
        <v>163.63999999999999</v>
      </c>
      <c r="AN146" s="139">
        <v>665.59</v>
      </c>
      <c r="AO146" s="139">
        <v>23.17</v>
      </c>
      <c r="AP146" s="139">
        <v>64.23</v>
      </c>
      <c r="AQ146" s="139">
        <v>109.08</v>
      </c>
      <c r="AR146" s="139">
        <v>300.45999999999998</v>
      </c>
      <c r="AS146" s="139">
        <v>68.16</v>
      </c>
      <c r="AT146" s="139">
        <v>712.81</v>
      </c>
      <c r="AU146" s="139">
        <v>108.66</v>
      </c>
      <c r="AV146" s="139">
        <v>116.75</v>
      </c>
      <c r="AW146" s="139">
        <v>8</v>
      </c>
      <c r="AX146" s="139">
        <v>92.1</v>
      </c>
      <c r="AY146" s="139">
        <v>131.25</v>
      </c>
      <c r="AZ146" s="139">
        <v>142.72999999999999</v>
      </c>
      <c r="BA146" s="139">
        <v>152.16</v>
      </c>
      <c r="BB146" s="139">
        <v>109.66</v>
      </c>
      <c r="BC146" s="139">
        <v>2.84</v>
      </c>
      <c r="BD146" s="139">
        <v>19.489999999999998</v>
      </c>
      <c r="BE146" s="139">
        <v>435.61</v>
      </c>
      <c r="BF146" s="139">
        <v>18.25</v>
      </c>
      <c r="BG146" s="139">
        <v>149.51</v>
      </c>
      <c r="BH146" s="139">
        <v>24.5</v>
      </c>
      <c r="BI146" s="139">
        <v>49.76</v>
      </c>
      <c r="BJ146" s="139">
        <v>19.25</v>
      </c>
      <c r="BK146" s="139">
        <v>40.590000000000003</v>
      </c>
      <c r="BL146" s="139">
        <v>403.66</v>
      </c>
      <c r="BM146" s="139">
        <v>57.09</v>
      </c>
      <c r="BN146" s="139">
        <v>51</v>
      </c>
      <c r="BO146" s="139">
        <v>48.5</v>
      </c>
      <c r="BP146" s="139">
        <v>83.26</v>
      </c>
      <c r="BQ146" s="139">
        <v>195.64</v>
      </c>
      <c r="BR146" s="139">
        <v>68.010000000000005</v>
      </c>
      <c r="BS146" s="139">
        <v>87</v>
      </c>
      <c r="BT146" s="139">
        <v>118.74</v>
      </c>
      <c r="BU146" s="139">
        <v>139.13999999999999</v>
      </c>
      <c r="BV146" s="139">
        <v>4.25</v>
      </c>
      <c r="BW146" s="139">
        <v>136.29</v>
      </c>
      <c r="BX146" s="139">
        <v>70.599999999999994</v>
      </c>
      <c r="BY146" s="139">
        <v>469.57</v>
      </c>
      <c r="BZ146" s="139">
        <v>185.15</v>
      </c>
      <c r="CA146" s="139">
        <v>509.07</v>
      </c>
      <c r="CB146" s="139">
        <v>96.93</v>
      </c>
      <c r="CC146" s="139">
        <v>124.67</v>
      </c>
      <c r="CD146" s="142">
        <v>14125.92</v>
      </c>
    </row>
    <row r="147" spans="1:82" ht="15" customHeight="1" thickTop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</row>
    <row r="148" spans="1:82" ht="15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</row>
    <row r="149" spans="1:82" ht="15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</row>
    <row r="150" spans="1:82" ht="15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</row>
    <row r="151" spans="1:82" ht="15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</row>
    <row r="152" spans="1:82" ht="15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 spans="1:82" ht="15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</row>
    <row r="154" spans="1:82" ht="15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</row>
    <row r="155" spans="1:82" ht="15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 spans="1:82" ht="15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</row>
    <row r="157" spans="1:82" ht="15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</row>
    <row r="158" spans="1:82" ht="15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</row>
    <row r="159" spans="1:82" ht="15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</row>
    <row r="160" spans="1:82" ht="15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</row>
    <row r="161" spans="1:16" ht="15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</row>
    <row r="162" spans="1:16" ht="15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</row>
    <row r="163" spans="1:16" ht="15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</row>
    <row r="164" spans="1:16" ht="15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</row>
    <row r="165" spans="1:16" ht="15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</row>
    <row r="166" spans="1:16" ht="15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 spans="1:16" ht="15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</row>
    <row r="168" spans="1:16" ht="15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</row>
    <row r="169" spans="1:16" ht="15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</row>
    <row r="170" spans="1:16" ht="15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</row>
    <row r="171" spans="1:16" ht="15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 spans="1:16" ht="15" customHeight="1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3" spans="1:16" ht="15" customHeight="1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</row>
    <row r="174" spans="1:16" ht="15" customHeight="1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</row>
    <row r="175" spans="1:16" ht="15" customHeight="1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</row>
    <row r="176" spans="1:16" ht="15" customHeight="1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</row>
    <row r="177" spans="1:16" ht="15" customHeight="1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</row>
    <row r="178" spans="1:16" ht="15" customHeight="1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 spans="1:16" ht="15" customHeight="1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</row>
    <row r="180" spans="1:16" ht="15" customHeight="1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</row>
    <row r="181" spans="1:16" ht="15" customHeight="1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</row>
    <row r="182" spans="1:16" ht="15" customHeight="1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spans="1:16" ht="15" customHeight="1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</row>
    <row r="184" spans="1:16" ht="15" customHeight="1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</row>
    <row r="185" spans="1:16" ht="15" customHeight="1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</row>
    <row r="186" spans="1:16" ht="15" customHeight="1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</row>
    <row r="187" spans="1:16" ht="15" customHeight="1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</row>
    <row r="188" spans="1:16" ht="15" customHeight="1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</row>
    <row r="189" spans="1:16" ht="15" customHeight="1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</row>
    <row r="190" spans="1:16" ht="15" customHeight="1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 spans="1:16" ht="15" customHeight="1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</row>
    <row r="192" spans="1:16" ht="15" customHeight="1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</row>
    <row r="193" spans="1:16" ht="15" customHeight="1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</row>
    <row r="194" spans="1:16" ht="15" customHeight="1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</row>
    <row r="195" spans="1:16" ht="15" customHeight="1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</row>
    <row r="196" spans="1:16" ht="15" customHeight="1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</row>
    <row r="197" spans="1:16" ht="15" customHeight="1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</row>
    <row r="198" spans="1:16" ht="15" customHeight="1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</row>
    <row r="199" spans="1:16" ht="15" customHeight="1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</row>
    <row r="200" spans="1:16" ht="15" customHeight="1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</row>
    <row r="201" spans="1:16" ht="15" customHeight="1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</row>
    <row r="202" spans="1:16" ht="15" customHeight="1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 spans="1:16" ht="15" customHeight="1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AF50"/>
  </sheetPr>
  <dimension ref="A1:V203"/>
  <sheetViews>
    <sheetView topLeftCell="A96" zoomScaleNormal="100" workbookViewId="0"/>
  </sheetViews>
  <sheetFormatPr baseColWidth="10" defaultColWidth="8.6640625" defaultRowHeight="15" customHeight="1" x14ac:dyDescent="0.2"/>
  <cols>
    <col min="1" max="1" width="16" customWidth="1"/>
    <col min="2" max="2" width="18" customWidth="1"/>
    <col min="3" max="3" width="12" customWidth="1"/>
    <col min="4" max="5" width="10" customWidth="1"/>
    <col min="6" max="7" width="16" customWidth="1"/>
    <col min="8" max="8" width="14" customWidth="1"/>
    <col min="9" max="9" width="12" customWidth="1"/>
    <col min="10" max="10" width="18" customWidth="1"/>
    <col min="11" max="11" width="10" customWidth="1"/>
    <col min="12" max="12" width="8" customWidth="1"/>
    <col min="13" max="14" width="12" customWidth="1"/>
    <col min="15" max="15" width="10" customWidth="1"/>
    <col min="16" max="16" width="12" customWidth="1"/>
    <col min="17" max="17" width="10" customWidth="1"/>
    <col min="18" max="18" width="8" customWidth="1"/>
    <col min="19" max="19" width="14" customWidth="1"/>
    <col min="20" max="20" width="12" customWidth="1"/>
    <col min="21" max="21" width="24" customWidth="1"/>
    <col min="22" max="22" width="12" customWidth="1"/>
  </cols>
  <sheetData>
    <row r="1" spans="1:22" ht="17.25" customHeight="1" x14ac:dyDescent="0.2">
      <c r="A1" s="144" t="s">
        <v>546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</row>
    <row r="2" spans="1:22" ht="15" customHeight="1" x14ac:dyDescent="0.2">
      <c r="A2" s="145" t="s">
        <v>547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</row>
    <row r="3" spans="1:22" ht="23.25" customHeight="1" x14ac:dyDescent="0.2">
      <c r="A3" s="24" t="s">
        <v>548</v>
      </c>
      <c r="B3" s="24" t="s">
        <v>63</v>
      </c>
      <c r="C3" s="24" t="s">
        <v>549</v>
      </c>
      <c r="D3" s="24" t="s">
        <v>550</v>
      </c>
      <c r="E3" s="24" t="s">
        <v>551</v>
      </c>
      <c r="F3" s="24" t="s">
        <v>552</v>
      </c>
      <c r="G3" s="24" t="s">
        <v>553</v>
      </c>
      <c r="H3" s="24" t="s">
        <v>554</v>
      </c>
      <c r="I3" s="24" t="s">
        <v>555</v>
      </c>
      <c r="J3" s="24" t="s">
        <v>556</v>
      </c>
      <c r="K3" s="24" t="s">
        <v>557</v>
      </c>
      <c r="L3" s="24" t="s">
        <v>558</v>
      </c>
      <c r="M3" s="24" t="s">
        <v>559</v>
      </c>
      <c r="N3" s="24" t="s">
        <v>560</v>
      </c>
      <c r="O3" s="24" t="s">
        <v>561</v>
      </c>
      <c r="P3" s="24" t="s">
        <v>562</v>
      </c>
      <c r="Q3" s="24" t="s">
        <v>563</v>
      </c>
      <c r="R3" s="24" t="s">
        <v>564</v>
      </c>
      <c r="S3" s="24" t="s">
        <v>565</v>
      </c>
      <c r="T3" s="24" t="s">
        <v>566</v>
      </c>
      <c r="U3" s="24" t="s">
        <v>567</v>
      </c>
      <c r="V3" s="24" t="s">
        <v>568</v>
      </c>
    </row>
    <row r="4" spans="1:22" ht="15" customHeight="1" x14ac:dyDescent="0.2">
      <c r="A4" s="22" t="s">
        <v>207</v>
      </c>
      <c r="B4" s="22" t="s">
        <v>569</v>
      </c>
      <c r="C4" s="22" t="s">
        <v>570</v>
      </c>
      <c r="D4" s="22">
        <v>35000</v>
      </c>
      <c r="E4" s="22">
        <v>0</v>
      </c>
      <c r="F4" s="22">
        <v>17500</v>
      </c>
      <c r="G4" s="22">
        <v>5000</v>
      </c>
      <c r="H4" s="22">
        <v>12500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70000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70000</v>
      </c>
    </row>
    <row r="5" spans="1:22" ht="15" customHeight="1" x14ac:dyDescent="0.2">
      <c r="A5" s="22" t="s">
        <v>210</v>
      </c>
      <c r="B5" s="22" t="s">
        <v>571</v>
      </c>
      <c r="C5" s="22" t="s">
        <v>570</v>
      </c>
      <c r="D5" s="22">
        <v>21500</v>
      </c>
      <c r="E5" s="22">
        <v>0</v>
      </c>
      <c r="F5" s="22">
        <v>10750</v>
      </c>
      <c r="G5" s="22">
        <v>4750</v>
      </c>
      <c r="H5" s="22">
        <v>6000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43000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43000</v>
      </c>
    </row>
    <row r="6" spans="1:22" ht="15" customHeight="1" x14ac:dyDescent="0.2">
      <c r="A6" s="22" t="s">
        <v>219</v>
      </c>
      <c r="B6" s="22" t="s">
        <v>572</v>
      </c>
      <c r="C6" s="22" t="s">
        <v>570</v>
      </c>
      <c r="D6" s="22">
        <v>67500</v>
      </c>
      <c r="E6" s="22">
        <v>0</v>
      </c>
      <c r="F6" s="22">
        <v>33750</v>
      </c>
      <c r="G6" s="22">
        <v>16875</v>
      </c>
      <c r="H6" s="22">
        <v>0</v>
      </c>
      <c r="I6" s="22">
        <v>16875</v>
      </c>
      <c r="J6" s="22">
        <v>0</v>
      </c>
      <c r="K6" s="22">
        <v>0</v>
      </c>
      <c r="L6" s="22">
        <v>0</v>
      </c>
      <c r="M6" s="22">
        <v>0</v>
      </c>
      <c r="N6" s="22">
        <v>135000</v>
      </c>
      <c r="O6" s="22">
        <v>0</v>
      </c>
      <c r="P6" s="22">
        <v>9615</v>
      </c>
      <c r="Q6" s="22">
        <v>0</v>
      </c>
      <c r="R6" s="22">
        <v>385</v>
      </c>
      <c r="S6" s="22">
        <v>10000</v>
      </c>
      <c r="T6" s="22">
        <v>0</v>
      </c>
      <c r="U6" s="22">
        <v>0</v>
      </c>
      <c r="V6" s="22">
        <v>125000</v>
      </c>
    </row>
    <row r="7" spans="1:22" ht="15" customHeight="1" x14ac:dyDescent="0.2">
      <c r="A7" s="22" t="s">
        <v>187</v>
      </c>
      <c r="B7" s="22" t="s">
        <v>573</v>
      </c>
      <c r="C7" s="22" t="s">
        <v>570</v>
      </c>
      <c r="D7" s="22">
        <v>31250</v>
      </c>
      <c r="E7" s="22">
        <v>0</v>
      </c>
      <c r="F7" s="22">
        <v>15625</v>
      </c>
      <c r="G7" s="22">
        <v>7813</v>
      </c>
      <c r="H7" s="22">
        <v>3000</v>
      </c>
      <c r="I7" s="22">
        <v>4812</v>
      </c>
      <c r="J7" s="22">
        <v>0</v>
      </c>
      <c r="K7" s="22">
        <v>0</v>
      </c>
      <c r="L7" s="22">
        <v>0</v>
      </c>
      <c r="M7" s="22">
        <v>0</v>
      </c>
      <c r="N7" s="22">
        <v>62500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62500</v>
      </c>
    </row>
    <row r="8" spans="1:22" ht="15" customHeight="1" x14ac:dyDescent="0.2">
      <c r="A8" s="22" t="s">
        <v>215</v>
      </c>
      <c r="B8" s="22" t="s">
        <v>574</v>
      </c>
      <c r="C8" s="22" t="s">
        <v>570</v>
      </c>
      <c r="D8" s="22">
        <v>50000</v>
      </c>
      <c r="E8" s="22">
        <v>0</v>
      </c>
      <c r="F8" s="22">
        <v>25000</v>
      </c>
      <c r="G8" s="22">
        <v>12500</v>
      </c>
      <c r="H8" s="22">
        <v>0</v>
      </c>
      <c r="I8" s="22">
        <v>12500</v>
      </c>
      <c r="J8" s="22">
        <v>0</v>
      </c>
      <c r="K8" s="22">
        <v>0</v>
      </c>
      <c r="L8" s="22">
        <v>0</v>
      </c>
      <c r="M8" s="22">
        <v>0</v>
      </c>
      <c r="N8" s="22">
        <v>100000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100000</v>
      </c>
    </row>
    <row r="9" spans="1:22" ht="15" customHeight="1" x14ac:dyDescent="0.2">
      <c r="A9" s="22" t="s">
        <v>241</v>
      </c>
      <c r="B9" s="22" t="s">
        <v>575</v>
      </c>
      <c r="C9" s="22" t="s">
        <v>570</v>
      </c>
      <c r="D9" s="22">
        <v>50000</v>
      </c>
      <c r="E9" s="22">
        <v>0</v>
      </c>
      <c r="F9" s="22">
        <v>25000</v>
      </c>
      <c r="G9" s="22">
        <v>12500</v>
      </c>
      <c r="H9" s="22">
        <v>0</v>
      </c>
      <c r="I9" s="22">
        <v>12500</v>
      </c>
      <c r="J9" s="22">
        <v>0</v>
      </c>
      <c r="K9" s="22">
        <v>0</v>
      </c>
      <c r="L9" s="22">
        <v>0</v>
      </c>
      <c r="M9" s="22">
        <v>0</v>
      </c>
      <c r="N9" s="22">
        <v>100000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100000</v>
      </c>
    </row>
    <row r="10" spans="1:22" ht="15" customHeight="1" x14ac:dyDescent="0.2">
      <c r="A10" s="22" t="s">
        <v>198</v>
      </c>
      <c r="B10" s="22" t="s">
        <v>576</v>
      </c>
      <c r="C10" s="22" t="s">
        <v>570</v>
      </c>
      <c r="D10" s="22">
        <v>67500</v>
      </c>
      <c r="E10" s="22">
        <v>0</v>
      </c>
      <c r="F10" s="22">
        <v>33750</v>
      </c>
      <c r="G10" s="22">
        <v>13750</v>
      </c>
      <c r="H10" s="22">
        <v>20000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135000</v>
      </c>
      <c r="O10" s="22">
        <v>0</v>
      </c>
      <c r="P10" s="22">
        <v>9615</v>
      </c>
      <c r="Q10" s="22">
        <v>0</v>
      </c>
      <c r="R10" s="22">
        <v>385</v>
      </c>
      <c r="S10" s="22">
        <v>10000</v>
      </c>
      <c r="T10" s="22">
        <v>0</v>
      </c>
      <c r="U10" s="22">
        <v>0</v>
      </c>
      <c r="V10" s="22">
        <v>125000</v>
      </c>
    </row>
    <row r="11" spans="1:22" ht="15" customHeight="1" x14ac:dyDescent="0.2">
      <c r="A11" s="22" t="s">
        <v>144</v>
      </c>
      <c r="B11" s="22" t="s">
        <v>444</v>
      </c>
      <c r="C11" s="22" t="s">
        <v>570</v>
      </c>
      <c r="D11" s="22">
        <v>30000</v>
      </c>
      <c r="E11" s="22">
        <v>0</v>
      </c>
      <c r="F11" s="22">
        <v>15000</v>
      </c>
      <c r="G11" s="22">
        <v>7500</v>
      </c>
      <c r="H11" s="22">
        <v>0</v>
      </c>
      <c r="I11" s="22">
        <v>7500</v>
      </c>
      <c r="J11" s="22">
        <v>0</v>
      </c>
      <c r="K11" s="22">
        <v>0</v>
      </c>
      <c r="L11" s="22">
        <v>0</v>
      </c>
      <c r="M11" s="22">
        <v>0</v>
      </c>
      <c r="N11" s="22">
        <v>60000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60000</v>
      </c>
    </row>
    <row r="12" spans="1:22" ht="15" customHeight="1" x14ac:dyDescent="0.2">
      <c r="A12" s="22" t="s">
        <v>201</v>
      </c>
      <c r="B12" s="22" t="s">
        <v>577</v>
      </c>
      <c r="C12" s="22" t="s">
        <v>570</v>
      </c>
      <c r="D12" s="22">
        <v>35000</v>
      </c>
      <c r="E12" s="22">
        <v>0</v>
      </c>
      <c r="F12" s="22">
        <v>17500</v>
      </c>
      <c r="G12" s="22">
        <v>8750</v>
      </c>
      <c r="H12" s="22">
        <v>0</v>
      </c>
      <c r="I12" s="22">
        <v>8750</v>
      </c>
      <c r="J12" s="22">
        <v>0</v>
      </c>
      <c r="K12" s="22">
        <v>0</v>
      </c>
      <c r="L12" s="22">
        <v>0</v>
      </c>
      <c r="M12" s="22">
        <v>0</v>
      </c>
      <c r="N12" s="22">
        <v>70000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70000</v>
      </c>
    </row>
    <row r="13" spans="1:22" ht="15" customHeight="1" x14ac:dyDescent="0.2">
      <c r="A13" s="22" t="s">
        <v>246</v>
      </c>
      <c r="B13" s="22" t="s">
        <v>438</v>
      </c>
      <c r="C13" s="22" t="s">
        <v>570</v>
      </c>
      <c r="D13" s="22">
        <v>27500</v>
      </c>
      <c r="E13" s="22">
        <v>0</v>
      </c>
      <c r="F13" s="22">
        <v>13750</v>
      </c>
      <c r="G13" s="22">
        <v>6875</v>
      </c>
      <c r="H13" s="22">
        <v>0</v>
      </c>
      <c r="I13" s="22">
        <v>6875</v>
      </c>
      <c r="J13" s="22">
        <v>0</v>
      </c>
      <c r="K13" s="22">
        <v>0</v>
      </c>
      <c r="L13" s="22">
        <v>0</v>
      </c>
      <c r="M13" s="22">
        <v>0</v>
      </c>
      <c r="N13" s="22">
        <v>55000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55000</v>
      </c>
    </row>
    <row r="14" spans="1:22" ht="15" customHeight="1" x14ac:dyDescent="0.2">
      <c r="A14" s="22" t="s">
        <v>250</v>
      </c>
      <c r="B14" s="22" t="s">
        <v>578</v>
      </c>
      <c r="C14" s="22" t="s">
        <v>570</v>
      </c>
      <c r="D14" s="22">
        <v>25500</v>
      </c>
      <c r="E14" s="22">
        <v>0</v>
      </c>
      <c r="F14" s="22">
        <v>12750</v>
      </c>
      <c r="G14" s="22">
        <v>6375</v>
      </c>
      <c r="H14" s="22">
        <v>0</v>
      </c>
      <c r="I14" s="22">
        <v>6375</v>
      </c>
      <c r="J14" s="22">
        <v>0</v>
      </c>
      <c r="K14" s="22">
        <v>0</v>
      </c>
      <c r="L14" s="22">
        <v>0</v>
      </c>
      <c r="M14" s="22">
        <v>0</v>
      </c>
      <c r="N14" s="22">
        <v>51000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51000</v>
      </c>
    </row>
    <row r="15" spans="1:22" ht="15" customHeight="1" x14ac:dyDescent="0.2">
      <c r="A15" s="22" t="s">
        <v>153</v>
      </c>
      <c r="B15" s="22" t="s">
        <v>579</v>
      </c>
      <c r="C15" s="22" t="s">
        <v>570</v>
      </c>
      <c r="D15" s="22">
        <v>22500</v>
      </c>
      <c r="E15" s="22">
        <v>0</v>
      </c>
      <c r="F15" s="22">
        <v>11250</v>
      </c>
      <c r="G15" s="22">
        <v>5625</v>
      </c>
      <c r="H15" s="22">
        <v>5000</v>
      </c>
      <c r="I15" s="22">
        <v>625</v>
      </c>
      <c r="J15" s="22">
        <v>0</v>
      </c>
      <c r="K15" s="22">
        <v>0</v>
      </c>
      <c r="L15" s="22">
        <v>0</v>
      </c>
      <c r="M15" s="22">
        <v>0</v>
      </c>
      <c r="N15" s="22">
        <v>45000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45000</v>
      </c>
    </row>
    <row r="16" spans="1:22" ht="15" customHeight="1" x14ac:dyDescent="0.2">
      <c r="A16" s="22" t="s">
        <v>236</v>
      </c>
      <c r="B16" s="22" t="s">
        <v>580</v>
      </c>
      <c r="C16" s="22" t="s">
        <v>570</v>
      </c>
      <c r="D16" s="22">
        <v>79167</v>
      </c>
      <c r="E16" s="22">
        <v>0</v>
      </c>
      <c r="F16" s="22">
        <v>39584</v>
      </c>
      <c r="G16" s="22">
        <v>19792</v>
      </c>
      <c r="H16" s="22">
        <v>0</v>
      </c>
      <c r="I16" s="22">
        <v>19791</v>
      </c>
      <c r="J16" s="22">
        <v>0</v>
      </c>
      <c r="K16" s="22">
        <v>0</v>
      </c>
      <c r="L16" s="22">
        <v>0</v>
      </c>
      <c r="M16" s="22">
        <v>0</v>
      </c>
      <c r="N16" s="22">
        <v>158334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158334</v>
      </c>
    </row>
    <row r="17" spans="1:22" ht="15" customHeight="1" x14ac:dyDescent="0.2">
      <c r="A17" s="22" t="s">
        <v>157</v>
      </c>
      <c r="B17" s="22" t="s">
        <v>581</v>
      </c>
      <c r="C17" s="22" t="s">
        <v>570</v>
      </c>
      <c r="D17" s="22">
        <v>32500</v>
      </c>
      <c r="E17" s="22">
        <v>0</v>
      </c>
      <c r="F17" s="22">
        <v>16250</v>
      </c>
      <c r="G17" s="22">
        <v>8125</v>
      </c>
      <c r="H17" s="22">
        <v>0</v>
      </c>
      <c r="I17" s="22">
        <v>8125</v>
      </c>
      <c r="J17" s="22">
        <v>0</v>
      </c>
      <c r="K17" s="22">
        <v>0</v>
      </c>
      <c r="L17" s="22">
        <v>0</v>
      </c>
      <c r="M17" s="22">
        <v>0</v>
      </c>
      <c r="N17" s="22">
        <v>65000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65000</v>
      </c>
    </row>
    <row r="18" spans="1:22" ht="15" customHeight="1" x14ac:dyDescent="0.2">
      <c r="A18" s="22" t="s">
        <v>244</v>
      </c>
      <c r="B18" s="22" t="s">
        <v>582</v>
      </c>
      <c r="C18" s="22" t="s">
        <v>570</v>
      </c>
      <c r="D18" s="22">
        <v>104167</v>
      </c>
      <c r="E18" s="22">
        <v>0</v>
      </c>
      <c r="F18" s="22">
        <v>52084</v>
      </c>
      <c r="G18" s="22">
        <v>26042</v>
      </c>
      <c r="H18" s="22">
        <v>0</v>
      </c>
      <c r="I18" s="22">
        <v>26040</v>
      </c>
      <c r="J18" s="22">
        <v>0</v>
      </c>
      <c r="K18" s="22">
        <v>0</v>
      </c>
      <c r="L18" s="22">
        <v>0</v>
      </c>
      <c r="M18" s="22">
        <v>0</v>
      </c>
      <c r="N18" s="22">
        <v>208333</v>
      </c>
      <c r="O18" s="22">
        <v>0</v>
      </c>
      <c r="P18" s="22">
        <v>20673</v>
      </c>
      <c r="Q18" s="22">
        <v>0</v>
      </c>
      <c r="R18" s="22">
        <v>827</v>
      </c>
      <c r="S18" s="22">
        <v>21500</v>
      </c>
      <c r="T18" s="22">
        <v>0</v>
      </c>
      <c r="U18" s="22">
        <v>0</v>
      </c>
      <c r="V18" s="22">
        <v>186833</v>
      </c>
    </row>
    <row r="19" spans="1:22" ht="15" customHeight="1" x14ac:dyDescent="0.2">
      <c r="A19" s="22" t="s">
        <v>161</v>
      </c>
      <c r="B19" s="22" t="s">
        <v>154</v>
      </c>
      <c r="C19" s="22" t="s">
        <v>570</v>
      </c>
      <c r="D19" s="22">
        <v>42000</v>
      </c>
      <c r="E19" s="22">
        <v>0</v>
      </c>
      <c r="F19" s="22">
        <v>21000</v>
      </c>
      <c r="G19" s="22">
        <v>10500</v>
      </c>
      <c r="H19" s="22">
        <v>0</v>
      </c>
      <c r="I19" s="22">
        <v>10500</v>
      </c>
      <c r="J19" s="22">
        <v>0</v>
      </c>
      <c r="K19" s="22">
        <v>0</v>
      </c>
      <c r="L19" s="22">
        <v>0</v>
      </c>
      <c r="M19" s="22">
        <v>0</v>
      </c>
      <c r="N19" s="22">
        <v>84000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84000</v>
      </c>
    </row>
    <row r="20" spans="1:22" ht="15" customHeight="1" x14ac:dyDescent="0.2">
      <c r="A20" s="22" t="s">
        <v>264</v>
      </c>
      <c r="B20" s="22" t="s">
        <v>583</v>
      </c>
      <c r="C20" s="22" t="s">
        <v>570</v>
      </c>
      <c r="D20" s="22">
        <v>21500</v>
      </c>
      <c r="E20" s="22">
        <v>0</v>
      </c>
      <c r="F20" s="22">
        <v>10750</v>
      </c>
      <c r="G20" s="22">
        <v>5375</v>
      </c>
      <c r="H20" s="22">
        <v>0</v>
      </c>
      <c r="I20" s="22">
        <v>5375</v>
      </c>
      <c r="J20" s="22">
        <v>0</v>
      </c>
      <c r="K20" s="22">
        <v>0</v>
      </c>
      <c r="L20" s="22">
        <v>0</v>
      </c>
      <c r="M20" s="22">
        <v>0</v>
      </c>
      <c r="N20" s="22">
        <v>43000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43000</v>
      </c>
    </row>
    <row r="21" spans="1:22" ht="15" customHeight="1" x14ac:dyDescent="0.2">
      <c r="A21" s="22" t="s">
        <v>266</v>
      </c>
      <c r="B21" s="22" t="s">
        <v>584</v>
      </c>
      <c r="C21" s="22" t="s">
        <v>570</v>
      </c>
      <c r="D21" s="22">
        <v>22500</v>
      </c>
      <c r="E21" s="22">
        <v>0</v>
      </c>
      <c r="F21" s="22">
        <v>11250</v>
      </c>
      <c r="G21" s="22">
        <v>5625</v>
      </c>
      <c r="H21" s="22">
        <v>0</v>
      </c>
      <c r="I21" s="22">
        <v>5625</v>
      </c>
      <c r="J21" s="22">
        <v>0</v>
      </c>
      <c r="K21" s="22">
        <v>0</v>
      </c>
      <c r="L21" s="22">
        <v>5000</v>
      </c>
      <c r="M21" s="22">
        <v>0</v>
      </c>
      <c r="N21" s="22">
        <v>50000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50000</v>
      </c>
    </row>
    <row r="22" spans="1:22" ht="15" customHeight="1" x14ac:dyDescent="0.2">
      <c r="A22" s="22" t="s">
        <v>268</v>
      </c>
      <c r="B22" s="22" t="s">
        <v>220</v>
      </c>
      <c r="C22" s="22" t="s">
        <v>570</v>
      </c>
      <c r="D22" s="22">
        <v>115834</v>
      </c>
      <c r="E22" s="22">
        <v>0</v>
      </c>
      <c r="F22" s="22">
        <v>57917</v>
      </c>
      <c r="G22" s="22">
        <v>28958</v>
      </c>
      <c r="H22" s="22">
        <v>0</v>
      </c>
      <c r="I22" s="22">
        <v>28958</v>
      </c>
      <c r="J22" s="22">
        <v>0</v>
      </c>
      <c r="K22" s="22">
        <v>0</v>
      </c>
      <c r="L22" s="22">
        <v>0</v>
      </c>
      <c r="M22" s="22">
        <v>0</v>
      </c>
      <c r="N22" s="22">
        <v>231667</v>
      </c>
      <c r="O22" s="22">
        <v>0</v>
      </c>
      <c r="P22" s="22">
        <v>33654</v>
      </c>
      <c r="Q22" s="22">
        <v>0</v>
      </c>
      <c r="R22" s="22">
        <v>1346</v>
      </c>
      <c r="S22" s="22">
        <v>35000</v>
      </c>
      <c r="T22" s="22">
        <v>0</v>
      </c>
      <c r="U22" s="22">
        <v>0</v>
      </c>
      <c r="V22" s="22">
        <v>196667</v>
      </c>
    </row>
    <row r="23" spans="1:22" ht="15" customHeight="1" x14ac:dyDescent="0.2">
      <c r="A23" s="22" t="s">
        <v>585</v>
      </c>
      <c r="B23" s="22" t="s">
        <v>586</v>
      </c>
      <c r="C23" s="22" t="s">
        <v>570</v>
      </c>
      <c r="D23" s="22">
        <v>19250</v>
      </c>
      <c r="E23" s="22">
        <v>0</v>
      </c>
      <c r="F23" s="22">
        <v>9625</v>
      </c>
      <c r="G23" s="22">
        <v>4813</v>
      </c>
      <c r="H23" s="22">
        <v>0</v>
      </c>
      <c r="I23" s="22">
        <v>4812</v>
      </c>
      <c r="J23" s="22">
        <v>0</v>
      </c>
      <c r="K23" s="22">
        <v>0</v>
      </c>
      <c r="L23" s="22">
        <v>0</v>
      </c>
      <c r="M23" s="22">
        <v>0</v>
      </c>
      <c r="N23" s="22">
        <v>38500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38500</v>
      </c>
      <c r="U23" s="22">
        <v>0</v>
      </c>
      <c r="V23" s="22">
        <v>0</v>
      </c>
    </row>
    <row r="24" spans="1:22" ht="15" customHeight="1" x14ac:dyDescent="0.2">
      <c r="A24" s="22" t="s">
        <v>165</v>
      </c>
      <c r="B24" s="22" t="s">
        <v>587</v>
      </c>
      <c r="C24" s="22" t="s">
        <v>570</v>
      </c>
      <c r="D24" s="22">
        <v>22500</v>
      </c>
      <c r="E24" s="22">
        <v>0</v>
      </c>
      <c r="F24" s="22">
        <v>11250</v>
      </c>
      <c r="G24" s="22">
        <v>5625</v>
      </c>
      <c r="H24" s="22">
        <v>0</v>
      </c>
      <c r="I24" s="22">
        <v>5625</v>
      </c>
      <c r="J24" s="22">
        <v>0</v>
      </c>
      <c r="K24" s="22">
        <v>0</v>
      </c>
      <c r="L24" s="22">
        <v>0</v>
      </c>
      <c r="M24" s="22">
        <v>0</v>
      </c>
      <c r="N24" s="22">
        <v>45000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45000</v>
      </c>
    </row>
    <row r="25" spans="1:22" ht="15" customHeight="1" x14ac:dyDescent="0.2">
      <c r="A25" s="22" t="s">
        <v>278</v>
      </c>
      <c r="B25" s="22" t="s">
        <v>588</v>
      </c>
      <c r="C25" s="22" t="s">
        <v>570</v>
      </c>
      <c r="D25" s="22">
        <v>87500</v>
      </c>
      <c r="E25" s="22">
        <v>0</v>
      </c>
      <c r="F25" s="22">
        <v>43750</v>
      </c>
      <c r="G25" s="22">
        <v>21875</v>
      </c>
      <c r="H25" s="22">
        <v>0</v>
      </c>
      <c r="I25" s="22">
        <v>21875</v>
      </c>
      <c r="J25" s="22">
        <v>0</v>
      </c>
      <c r="K25" s="22">
        <v>0</v>
      </c>
      <c r="L25" s="22">
        <v>0</v>
      </c>
      <c r="M25" s="22">
        <v>0</v>
      </c>
      <c r="N25" s="22">
        <v>175000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175000</v>
      </c>
    </row>
    <row r="26" spans="1:22" ht="15" customHeight="1" x14ac:dyDescent="0.2">
      <c r="A26" s="22" t="s">
        <v>281</v>
      </c>
      <c r="B26" s="22" t="s">
        <v>589</v>
      </c>
      <c r="C26" s="22" t="s">
        <v>570</v>
      </c>
      <c r="D26" s="22">
        <v>77667</v>
      </c>
      <c r="E26" s="22">
        <v>0</v>
      </c>
      <c r="F26" s="22">
        <v>38834</v>
      </c>
      <c r="G26" s="22">
        <v>19417</v>
      </c>
      <c r="H26" s="22">
        <v>0</v>
      </c>
      <c r="I26" s="22">
        <v>19416</v>
      </c>
      <c r="J26" s="22">
        <v>0</v>
      </c>
      <c r="K26" s="22">
        <v>0</v>
      </c>
      <c r="L26" s="22">
        <v>0</v>
      </c>
      <c r="M26" s="22">
        <v>0</v>
      </c>
      <c r="N26" s="22">
        <v>155334</v>
      </c>
      <c r="O26" s="22">
        <v>0</v>
      </c>
      <c r="P26" s="22">
        <v>9615</v>
      </c>
      <c r="Q26" s="22">
        <v>0</v>
      </c>
      <c r="R26" s="22">
        <v>385</v>
      </c>
      <c r="S26" s="22">
        <v>10000</v>
      </c>
      <c r="T26" s="22">
        <v>0</v>
      </c>
      <c r="U26" s="22">
        <v>0</v>
      </c>
      <c r="V26" s="22">
        <v>145334</v>
      </c>
    </row>
    <row r="27" spans="1:22" ht="15" customHeight="1" x14ac:dyDescent="0.2">
      <c r="A27" s="22" t="s">
        <v>283</v>
      </c>
      <c r="B27" s="22" t="s">
        <v>590</v>
      </c>
      <c r="C27" s="22" t="s">
        <v>570</v>
      </c>
      <c r="D27" s="22">
        <v>116667</v>
      </c>
      <c r="E27" s="22">
        <v>0</v>
      </c>
      <c r="F27" s="22">
        <v>58334</v>
      </c>
      <c r="G27" s="22">
        <v>29167</v>
      </c>
      <c r="H27" s="22">
        <v>0</v>
      </c>
      <c r="I27" s="22">
        <v>29166</v>
      </c>
      <c r="J27" s="22">
        <v>0</v>
      </c>
      <c r="K27" s="22">
        <v>0</v>
      </c>
      <c r="L27" s="22">
        <v>0</v>
      </c>
      <c r="M27" s="22">
        <v>0</v>
      </c>
      <c r="N27" s="22">
        <v>233334</v>
      </c>
      <c r="O27" s="22">
        <v>0</v>
      </c>
      <c r="P27" s="22">
        <v>38654</v>
      </c>
      <c r="Q27" s="22">
        <v>0</v>
      </c>
      <c r="R27" s="22">
        <v>1546</v>
      </c>
      <c r="S27" s="22">
        <v>40200</v>
      </c>
      <c r="T27" s="22">
        <v>0</v>
      </c>
      <c r="U27" s="22">
        <v>0</v>
      </c>
      <c r="V27" s="22">
        <v>193134</v>
      </c>
    </row>
    <row r="28" spans="1:22" ht="15" customHeight="1" x14ac:dyDescent="0.2">
      <c r="A28" s="22" t="s">
        <v>286</v>
      </c>
      <c r="B28" s="22" t="s">
        <v>591</v>
      </c>
      <c r="C28" s="22" t="s">
        <v>570</v>
      </c>
      <c r="D28" s="22">
        <v>18000</v>
      </c>
      <c r="E28" s="22">
        <v>0</v>
      </c>
      <c r="F28" s="22">
        <v>9000</v>
      </c>
      <c r="G28" s="22">
        <v>4500</v>
      </c>
      <c r="H28" s="22">
        <v>0</v>
      </c>
      <c r="I28" s="22">
        <v>4500</v>
      </c>
      <c r="J28" s="22">
        <v>0</v>
      </c>
      <c r="K28" s="22">
        <v>0</v>
      </c>
      <c r="L28" s="22">
        <v>0</v>
      </c>
      <c r="M28" s="22">
        <v>0</v>
      </c>
      <c r="N28" s="22">
        <v>36000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36000</v>
      </c>
    </row>
    <row r="29" spans="1:22" ht="15" customHeight="1" x14ac:dyDescent="0.2">
      <c r="A29" s="22" t="s">
        <v>289</v>
      </c>
      <c r="B29" s="22" t="s">
        <v>592</v>
      </c>
      <c r="C29" s="22" t="s">
        <v>570</v>
      </c>
      <c r="D29" s="22">
        <v>16500</v>
      </c>
      <c r="E29" s="22">
        <v>0</v>
      </c>
      <c r="F29" s="22">
        <v>8250</v>
      </c>
      <c r="G29" s="22">
        <v>4125</v>
      </c>
      <c r="H29" s="22">
        <v>0</v>
      </c>
      <c r="I29" s="22">
        <v>4125</v>
      </c>
      <c r="J29" s="22">
        <v>0</v>
      </c>
      <c r="K29" s="22">
        <v>0</v>
      </c>
      <c r="L29" s="22">
        <v>0</v>
      </c>
      <c r="M29" s="22">
        <v>0</v>
      </c>
      <c r="N29" s="22">
        <v>33000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33000</v>
      </c>
      <c r="U29" s="22">
        <v>0</v>
      </c>
      <c r="V29" s="22">
        <v>0</v>
      </c>
    </row>
    <row r="30" spans="1:22" ht="15" customHeight="1" x14ac:dyDescent="0.2">
      <c r="A30" s="22" t="s">
        <v>303</v>
      </c>
      <c r="B30" s="22" t="s">
        <v>593</v>
      </c>
      <c r="C30" s="22" t="s">
        <v>570</v>
      </c>
      <c r="D30" s="22">
        <v>170834</v>
      </c>
      <c r="E30" s="22">
        <v>0</v>
      </c>
      <c r="F30" s="22">
        <v>85417</v>
      </c>
      <c r="G30" s="22">
        <v>42708</v>
      </c>
      <c r="H30" s="22">
        <v>0</v>
      </c>
      <c r="I30" s="22">
        <v>42708</v>
      </c>
      <c r="J30" s="22">
        <v>0</v>
      </c>
      <c r="K30" s="22">
        <v>0</v>
      </c>
      <c r="L30" s="22">
        <v>140000</v>
      </c>
      <c r="M30" s="22">
        <v>0</v>
      </c>
      <c r="N30" s="22">
        <v>481667</v>
      </c>
      <c r="O30" s="22">
        <v>0</v>
      </c>
      <c r="P30" s="22">
        <v>70673</v>
      </c>
      <c r="Q30" s="22">
        <v>0</v>
      </c>
      <c r="R30" s="22">
        <v>2827</v>
      </c>
      <c r="S30" s="22">
        <v>73500</v>
      </c>
      <c r="T30" s="22">
        <v>0</v>
      </c>
      <c r="U30" s="22">
        <v>0</v>
      </c>
      <c r="V30" s="22">
        <v>408167</v>
      </c>
    </row>
    <row r="31" spans="1:22" ht="15" customHeight="1" x14ac:dyDescent="0.2">
      <c r="A31" s="22" t="s">
        <v>253</v>
      </c>
      <c r="B31" s="22" t="s">
        <v>594</v>
      </c>
      <c r="C31" s="22" t="s">
        <v>570</v>
      </c>
      <c r="D31" s="22">
        <v>31500</v>
      </c>
      <c r="E31" s="22">
        <v>0</v>
      </c>
      <c r="F31" s="22">
        <v>15750</v>
      </c>
      <c r="G31" s="22">
        <v>7875</v>
      </c>
      <c r="H31" s="22">
        <v>0</v>
      </c>
      <c r="I31" s="22">
        <v>7875</v>
      </c>
      <c r="J31" s="22">
        <v>0</v>
      </c>
      <c r="K31" s="22">
        <v>0</v>
      </c>
      <c r="L31" s="22">
        <v>0</v>
      </c>
      <c r="M31" s="22">
        <v>0</v>
      </c>
      <c r="N31" s="22">
        <v>63000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63000</v>
      </c>
    </row>
    <row r="32" spans="1:22" ht="15" customHeight="1" x14ac:dyDescent="0.2">
      <c r="A32" s="22" t="s">
        <v>337</v>
      </c>
      <c r="B32" s="22" t="s">
        <v>595</v>
      </c>
      <c r="C32" s="22" t="s">
        <v>570</v>
      </c>
      <c r="D32" s="22">
        <v>17500</v>
      </c>
      <c r="E32" s="22">
        <v>0</v>
      </c>
      <c r="F32" s="22">
        <v>8750</v>
      </c>
      <c r="G32" s="22">
        <v>4375</v>
      </c>
      <c r="H32" s="22">
        <v>0</v>
      </c>
      <c r="I32" s="22">
        <v>4375</v>
      </c>
      <c r="J32" s="22">
        <v>0</v>
      </c>
      <c r="K32" s="22">
        <v>0</v>
      </c>
      <c r="L32" s="22">
        <v>0</v>
      </c>
      <c r="M32" s="22">
        <v>0</v>
      </c>
      <c r="N32" s="22">
        <v>35000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35000</v>
      </c>
    </row>
    <row r="33" spans="1:22" ht="15" customHeight="1" x14ac:dyDescent="0.2">
      <c r="A33" s="22" t="s">
        <v>349</v>
      </c>
      <c r="B33" s="22" t="s">
        <v>404</v>
      </c>
      <c r="C33" s="22" t="s">
        <v>570</v>
      </c>
      <c r="D33" s="22">
        <v>62500</v>
      </c>
      <c r="E33" s="22">
        <v>0</v>
      </c>
      <c r="F33" s="22">
        <v>31250</v>
      </c>
      <c r="G33" s="22">
        <v>15625</v>
      </c>
      <c r="H33" s="22">
        <v>0</v>
      </c>
      <c r="I33" s="22">
        <v>15625</v>
      </c>
      <c r="J33" s="22">
        <v>0</v>
      </c>
      <c r="K33" s="22">
        <v>0</v>
      </c>
      <c r="L33" s="22">
        <v>0</v>
      </c>
      <c r="M33" s="22">
        <v>0</v>
      </c>
      <c r="N33" s="22">
        <v>125000</v>
      </c>
      <c r="O33" s="22">
        <v>0</v>
      </c>
      <c r="P33" s="22">
        <v>8654</v>
      </c>
      <c r="Q33" s="22">
        <v>0</v>
      </c>
      <c r="R33" s="22">
        <v>346</v>
      </c>
      <c r="S33" s="22">
        <v>9000</v>
      </c>
      <c r="T33" s="22">
        <v>0</v>
      </c>
      <c r="U33" s="22">
        <v>0</v>
      </c>
      <c r="V33" s="22">
        <v>116000</v>
      </c>
    </row>
    <row r="34" spans="1:22" ht="15" customHeight="1" x14ac:dyDescent="0.2">
      <c r="A34" s="22" t="s">
        <v>167</v>
      </c>
      <c r="B34" s="22" t="s">
        <v>596</v>
      </c>
      <c r="C34" s="22" t="s">
        <v>570</v>
      </c>
      <c r="D34" s="22">
        <v>20000</v>
      </c>
      <c r="E34" s="22">
        <v>0</v>
      </c>
      <c r="F34" s="22">
        <v>10000</v>
      </c>
      <c r="G34" s="22">
        <v>5000</v>
      </c>
      <c r="H34" s="22">
        <v>0</v>
      </c>
      <c r="I34" s="22">
        <v>5000</v>
      </c>
      <c r="J34" s="22">
        <v>0</v>
      </c>
      <c r="K34" s="22">
        <v>0</v>
      </c>
      <c r="L34" s="22">
        <v>0</v>
      </c>
      <c r="M34" s="22">
        <v>0</v>
      </c>
      <c r="N34" s="22">
        <v>40000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40000</v>
      </c>
    </row>
    <row r="35" spans="1:22" ht="15" customHeight="1" x14ac:dyDescent="0.2">
      <c r="A35" s="22" t="s">
        <v>259</v>
      </c>
      <c r="B35" s="22" t="s">
        <v>597</v>
      </c>
      <c r="C35" s="22" t="s">
        <v>570</v>
      </c>
      <c r="D35" s="22">
        <v>25000</v>
      </c>
      <c r="E35" s="22">
        <v>0</v>
      </c>
      <c r="F35" s="22">
        <v>12500</v>
      </c>
      <c r="G35" s="22">
        <v>6250</v>
      </c>
      <c r="H35" s="22">
        <v>0</v>
      </c>
      <c r="I35" s="22">
        <v>6250</v>
      </c>
      <c r="J35" s="22">
        <v>0</v>
      </c>
      <c r="K35" s="22">
        <v>0</v>
      </c>
      <c r="L35" s="22">
        <v>0</v>
      </c>
      <c r="M35" s="22">
        <v>0</v>
      </c>
      <c r="N35" s="22">
        <v>50000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50000</v>
      </c>
    </row>
    <row r="36" spans="1:22" ht="15" customHeight="1" x14ac:dyDescent="0.2">
      <c r="A36" s="22" t="s">
        <v>328</v>
      </c>
      <c r="B36" s="22" t="s">
        <v>598</v>
      </c>
      <c r="C36" s="22" t="s">
        <v>570</v>
      </c>
      <c r="D36" s="22">
        <v>37500</v>
      </c>
      <c r="E36" s="22">
        <v>0</v>
      </c>
      <c r="F36" s="22">
        <v>18750</v>
      </c>
      <c r="G36" s="22">
        <v>9375</v>
      </c>
      <c r="H36" s="22">
        <v>0</v>
      </c>
      <c r="I36" s="22">
        <v>9375</v>
      </c>
      <c r="J36" s="22">
        <v>0</v>
      </c>
      <c r="K36" s="22">
        <v>0</v>
      </c>
      <c r="L36" s="22">
        <v>0</v>
      </c>
      <c r="M36" s="22">
        <v>0</v>
      </c>
      <c r="N36" s="22">
        <v>75000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75000</v>
      </c>
    </row>
    <row r="37" spans="1:22" ht="15" customHeight="1" x14ac:dyDescent="0.2">
      <c r="A37" s="22" t="s">
        <v>205</v>
      </c>
      <c r="B37" s="22" t="s">
        <v>599</v>
      </c>
      <c r="C37" s="22" t="s">
        <v>570</v>
      </c>
      <c r="D37" s="22">
        <v>35000</v>
      </c>
      <c r="E37" s="22">
        <v>0</v>
      </c>
      <c r="F37" s="22">
        <v>17500</v>
      </c>
      <c r="G37" s="22">
        <v>8750</v>
      </c>
      <c r="H37" s="22">
        <v>0</v>
      </c>
      <c r="I37" s="22">
        <v>8750</v>
      </c>
      <c r="J37" s="22">
        <v>0</v>
      </c>
      <c r="K37" s="22">
        <v>0</v>
      </c>
      <c r="L37" s="22">
        <v>0</v>
      </c>
      <c r="M37" s="22">
        <v>0</v>
      </c>
      <c r="N37" s="22">
        <v>70000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70000</v>
      </c>
    </row>
    <row r="38" spans="1:22" ht="15" customHeight="1" x14ac:dyDescent="0.2">
      <c r="A38" s="22" t="s">
        <v>255</v>
      </c>
      <c r="B38" s="22" t="s">
        <v>600</v>
      </c>
      <c r="C38" s="22" t="s">
        <v>570</v>
      </c>
      <c r="D38" s="22">
        <v>20000</v>
      </c>
      <c r="E38" s="22">
        <v>0</v>
      </c>
      <c r="F38" s="22">
        <v>10000</v>
      </c>
      <c r="G38" s="22">
        <v>5000</v>
      </c>
      <c r="H38" s="22">
        <v>0</v>
      </c>
      <c r="I38" s="22">
        <v>5000</v>
      </c>
      <c r="J38" s="22">
        <v>0</v>
      </c>
      <c r="K38" s="22">
        <v>0</v>
      </c>
      <c r="L38" s="22">
        <v>0</v>
      </c>
      <c r="M38" s="22">
        <v>0</v>
      </c>
      <c r="N38" s="22">
        <v>40000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40000</v>
      </c>
    </row>
    <row r="39" spans="1:22" ht="15" customHeight="1" x14ac:dyDescent="0.2">
      <c r="A39" s="22" t="s">
        <v>359</v>
      </c>
      <c r="B39" s="22" t="s">
        <v>412</v>
      </c>
      <c r="C39" s="22" t="s">
        <v>570</v>
      </c>
      <c r="D39" s="22">
        <v>158334</v>
      </c>
      <c r="E39" s="22">
        <v>0</v>
      </c>
      <c r="F39" s="22">
        <v>79167</v>
      </c>
      <c r="G39" s="22">
        <v>39583</v>
      </c>
      <c r="H39" s="22">
        <v>0</v>
      </c>
      <c r="I39" s="22">
        <v>39583</v>
      </c>
      <c r="J39" s="22">
        <v>0</v>
      </c>
      <c r="K39" s="22">
        <v>0</v>
      </c>
      <c r="L39" s="22">
        <v>0</v>
      </c>
      <c r="M39" s="22">
        <v>0</v>
      </c>
      <c r="N39" s="22">
        <v>316667</v>
      </c>
      <c r="O39" s="22">
        <v>0</v>
      </c>
      <c r="P39" s="22">
        <v>63558</v>
      </c>
      <c r="Q39" s="22">
        <v>0</v>
      </c>
      <c r="R39" s="22">
        <v>2542</v>
      </c>
      <c r="S39" s="22">
        <v>66100</v>
      </c>
      <c r="T39" s="22">
        <v>0</v>
      </c>
      <c r="U39" s="22">
        <v>0</v>
      </c>
      <c r="V39" s="22">
        <v>250567</v>
      </c>
    </row>
    <row r="40" spans="1:22" ht="15" customHeight="1" x14ac:dyDescent="0.2">
      <c r="A40" s="22" t="s">
        <v>169</v>
      </c>
      <c r="B40" s="22" t="s">
        <v>601</v>
      </c>
      <c r="C40" s="22" t="s">
        <v>570</v>
      </c>
      <c r="D40" s="22">
        <v>20000</v>
      </c>
      <c r="E40" s="22">
        <v>0</v>
      </c>
      <c r="F40" s="22">
        <v>10000</v>
      </c>
      <c r="G40" s="22">
        <v>5000</v>
      </c>
      <c r="H40" s="22">
        <v>0</v>
      </c>
      <c r="I40" s="22">
        <v>5000</v>
      </c>
      <c r="J40" s="22">
        <v>0</v>
      </c>
      <c r="K40" s="22">
        <v>0</v>
      </c>
      <c r="L40" s="22">
        <v>0</v>
      </c>
      <c r="M40" s="22">
        <v>0</v>
      </c>
      <c r="N40" s="22">
        <v>40000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40000</v>
      </c>
    </row>
    <row r="41" spans="1:22" ht="15" customHeight="1" x14ac:dyDescent="0.2">
      <c r="A41" s="22" t="s">
        <v>378</v>
      </c>
      <c r="B41" s="22" t="s">
        <v>602</v>
      </c>
      <c r="C41" s="22" t="s">
        <v>570</v>
      </c>
      <c r="D41" s="22">
        <v>104167</v>
      </c>
      <c r="E41" s="22">
        <v>0</v>
      </c>
      <c r="F41" s="22">
        <v>52084</v>
      </c>
      <c r="G41" s="22">
        <v>26042</v>
      </c>
      <c r="H41" s="22">
        <v>0</v>
      </c>
      <c r="I41" s="22">
        <v>26041</v>
      </c>
      <c r="J41" s="22">
        <v>0</v>
      </c>
      <c r="K41" s="22">
        <v>0</v>
      </c>
      <c r="L41" s="22">
        <v>0</v>
      </c>
      <c r="M41" s="22">
        <v>0</v>
      </c>
      <c r="N41" s="22">
        <v>208334</v>
      </c>
      <c r="O41" s="22">
        <v>0</v>
      </c>
      <c r="P41" s="22">
        <v>14904</v>
      </c>
      <c r="Q41" s="22">
        <v>0</v>
      </c>
      <c r="R41" s="22">
        <v>596</v>
      </c>
      <c r="S41" s="22">
        <v>15500</v>
      </c>
      <c r="T41" s="22">
        <v>0</v>
      </c>
      <c r="U41" s="22">
        <v>0</v>
      </c>
      <c r="V41" s="22">
        <v>192834</v>
      </c>
    </row>
    <row r="42" spans="1:22" ht="15" customHeight="1" x14ac:dyDescent="0.2">
      <c r="A42" s="22" t="s">
        <v>385</v>
      </c>
      <c r="B42" s="22" t="s">
        <v>603</v>
      </c>
      <c r="C42" s="22" t="s">
        <v>570</v>
      </c>
      <c r="D42" s="22">
        <v>40000</v>
      </c>
      <c r="E42" s="22">
        <v>0</v>
      </c>
      <c r="F42" s="22">
        <v>20000</v>
      </c>
      <c r="G42" s="22">
        <v>10000</v>
      </c>
      <c r="H42" s="22">
        <v>0</v>
      </c>
      <c r="I42" s="22">
        <v>10000</v>
      </c>
      <c r="J42" s="22">
        <v>0</v>
      </c>
      <c r="K42" s="22">
        <v>0</v>
      </c>
      <c r="L42" s="22">
        <v>0</v>
      </c>
      <c r="M42" s="22">
        <v>0</v>
      </c>
      <c r="N42" s="22">
        <v>80000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80000</v>
      </c>
    </row>
    <row r="43" spans="1:22" ht="15" customHeight="1" x14ac:dyDescent="0.2">
      <c r="A43" s="22" t="s">
        <v>174</v>
      </c>
      <c r="B43" s="22" t="s">
        <v>604</v>
      </c>
      <c r="C43" s="22" t="s">
        <v>570</v>
      </c>
      <c r="D43" s="22">
        <v>25000</v>
      </c>
      <c r="E43" s="22">
        <v>0</v>
      </c>
      <c r="F43" s="22">
        <v>12500</v>
      </c>
      <c r="G43" s="22">
        <v>6250</v>
      </c>
      <c r="H43" s="22">
        <v>0</v>
      </c>
      <c r="I43" s="22">
        <v>6250</v>
      </c>
      <c r="J43" s="22">
        <v>0</v>
      </c>
      <c r="K43" s="22">
        <v>0</v>
      </c>
      <c r="L43" s="22">
        <v>0</v>
      </c>
      <c r="M43" s="22">
        <v>0</v>
      </c>
      <c r="N43" s="22">
        <v>50000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50000</v>
      </c>
    </row>
    <row r="44" spans="1:22" ht="15" customHeight="1" x14ac:dyDescent="0.2">
      <c r="A44" s="22" t="s">
        <v>411</v>
      </c>
      <c r="B44" s="22" t="s">
        <v>605</v>
      </c>
      <c r="C44" s="22" t="s">
        <v>570</v>
      </c>
      <c r="D44" s="22">
        <v>104167</v>
      </c>
      <c r="E44" s="22">
        <v>0</v>
      </c>
      <c r="F44" s="22">
        <v>52084</v>
      </c>
      <c r="G44" s="22">
        <v>26042</v>
      </c>
      <c r="H44" s="22">
        <v>0</v>
      </c>
      <c r="I44" s="22">
        <v>26040</v>
      </c>
      <c r="J44" s="22">
        <v>0</v>
      </c>
      <c r="K44" s="22">
        <v>0</v>
      </c>
      <c r="L44" s="22">
        <v>0</v>
      </c>
      <c r="M44" s="22">
        <v>0</v>
      </c>
      <c r="N44" s="22">
        <v>208333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208333</v>
      </c>
    </row>
    <row r="45" spans="1:22" ht="15" customHeight="1" x14ac:dyDescent="0.2">
      <c r="A45" s="22" t="s">
        <v>419</v>
      </c>
      <c r="B45" s="22" t="s">
        <v>606</v>
      </c>
      <c r="C45" s="22" t="s">
        <v>570</v>
      </c>
      <c r="D45" s="22">
        <v>70833</v>
      </c>
      <c r="E45" s="22">
        <v>0</v>
      </c>
      <c r="F45" s="22">
        <v>35417</v>
      </c>
      <c r="G45" s="22">
        <v>17708</v>
      </c>
      <c r="H45" s="22">
        <v>0</v>
      </c>
      <c r="I45" s="22">
        <v>17708</v>
      </c>
      <c r="J45" s="22">
        <v>0</v>
      </c>
      <c r="K45" s="22">
        <v>0</v>
      </c>
      <c r="L45" s="22">
        <v>0</v>
      </c>
      <c r="M45" s="22">
        <v>0</v>
      </c>
      <c r="N45" s="22">
        <v>141666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141666</v>
      </c>
    </row>
    <row r="46" spans="1:22" ht="15" customHeight="1" x14ac:dyDescent="0.2">
      <c r="A46" s="22" t="s">
        <v>607</v>
      </c>
      <c r="B46" s="22" t="s">
        <v>608</v>
      </c>
      <c r="C46" s="22" t="s">
        <v>570</v>
      </c>
      <c r="D46" s="22">
        <v>30968</v>
      </c>
      <c r="E46" s="22">
        <v>0</v>
      </c>
      <c r="F46" s="22">
        <v>15484</v>
      </c>
      <c r="G46" s="22">
        <v>7742</v>
      </c>
      <c r="H46" s="22">
        <v>0</v>
      </c>
      <c r="I46" s="22">
        <v>7742</v>
      </c>
      <c r="J46" s="22">
        <v>0</v>
      </c>
      <c r="K46" s="22">
        <v>0</v>
      </c>
      <c r="L46" s="22">
        <v>0</v>
      </c>
      <c r="M46" s="22">
        <v>0</v>
      </c>
      <c r="N46" s="22">
        <v>61936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61936</v>
      </c>
      <c r="U46" s="22">
        <v>0</v>
      </c>
      <c r="V46" s="22">
        <v>0</v>
      </c>
    </row>
    <row r="47" spans="1:22" ht="15" customHeight="1" x14ac:dyDescent="0.2">
      <c r="A47" s="22" t="s">
        <v>183</v>
      </c>
      <c r="B47" s="22" t="s">
        <v>202</v>
      </c>
      <c r="C47" s="22" t="s">
        <v>570</v>
      </c>
      <c r="D47" s="22">
        <v>0</v>
      </c>
      <c r="E47" s="22">
        <v>87500</v>
      </c>
      <c r="F47" s="22">
        <v>43750</v>
      </c>
      <c r="G47" s="22">
        <v>21875</v>
      </c>
      <c r="H47" s="22">
        <v>0</v>
      </c>
      <c r="I47" s="22">
        <v>21875</v>
      </c>
      <c r="J47" s="22">
        <v>0</v>
      </c>
      <c r="K47" s="22">
        <v>0</v>
      </c>
      <c r="L47" s="22">
        <v>0</v>
      </c>
      <c r="M47" s="22">
        <v>0</v>
      </c>
      <c r="N47" s="22">
        <v>175000</v>
      </c>
      <c r="O47" s="22">
        <v>0</v>
      </c>
      <c r="P47" s="22">
        <v>17308</v>
      </c>
      <c r="Q47" s="22">
        <v>0</v>
      </c>
      <c r="R47" s="22">
        <v>692</v>
      </c>
      <c r="S47" s="22">
        <v>18000</v>
      </c>
      <c r="T47" s="22">
        <v>0</v>
      </c>
      <c r="U47" s="22">
        <v>0</v>
      </c>
      <c r="V47" s="22">
        <v>157000</v>
      </c>
    </row>
    <row r="48" spans="1:22" ht="15" customHeight="1" x14ac:dyDescent="0.2">
      <c r="A48" s="22" t="s">
        <v>178</v>
      </c>
      <c r="B48" s="22" t="s">
        <v>609</v>
      </c>
      <c r="C48" s="22" t="s">
        <v>610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</row>
    <row r="49" spans="1:22" ht="15" customHeight="1" x14ac:dyDescent="0.2">
      <c r="A49" s="22" t="s">
        <v>454</v>
      </c>
      <c r="B49" s="22" t="s">
        <v>611</v>
      </c>
      <c r="C49" s="22" t="s">
        <v>570</v>
      </c>
      <c r="D49" s="22">
        <v>0</v>
      </c>
      <c r="E49" s="22">
        <v>4839</v>
      </c>
      <c r="F49" s="22">
        <v>2419</v>
      </c>
      <c r="G49" s="22">
        <v>1210</v>
      </c>
      <c r="H49" s="22">
        <v>0</v>
      </c>
      <c r="I49" s="22">
        <v>1210</v>
      </c>
      <c r="J49" s="22">
        <v>0</v>
      </c>
      <c r="K49" s="22">
        <v>0</v>
      </c>
      <c r="L49" s="22">
        <v>0</v>
      </c>
      <c r="M49" s="22">
        <v>0</v>
      </c>
      <c r="N49" s="22">
        <v>9678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9678</v>
      </c>
      <c r="U49" s="22">
        <v>0</v>
      </c>
      <c r="V49" s="22">
        <v>0</v>
      </c>
    </row>
    <row r="50" spans="1:22" ht="15" customHeight="1" x14ac:dyDescent="0.2">
      <c r="A50" s="22" t="s">
        <v>456</v>
      </c>
      <c r="B50" s="22" t="s">
        <v>612</v>
      </c>
      <c r="C50" s="22" t="s">
        <v>570</v>
      </c>
      <c r="D50" s="22">
        <v>0</v>
      </c>
      <c r="E50" s="22">
        <v>8710</v>
      </c>
      <c r="F50" s="22">
        <v>4355</v>
      </c>
      <c r="G50" s="22">
        <v>2177</v>
      </c>
      <c r="H50" s="22">
        <v>0</v>
      </c>
      <c r="I50" s="22">
        <v>2177</v>
      </c>
      <c r="J50" s="22">
        <v>0</v>
      </c>
      <c r="K50" s="22">
        <v>0</v>
      </c>
      <c r="L50" s="22">
        <v>0</v>
      </c>
      <c r="M50" s="22">
        <v>0</v>
      </c>
      <c r="N50" s="22">
        <v>17419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17419</v>
      </c>
    </row>
    <row r="51" spans="1:22" ht="15" customHeight="1" x14ac:dyDescent="0.2">
      <c r="A51" s="22" t="s">
        <v>613</v>
      </c>
      <c r="B51" s="22" t="s">
        <v>614</v>
      </c>
      <c r="C51" s="22" t="s">
        <v>570</v>
      </c>
      <c r="D51" s="22">
        <v>0</v>
      </c>
      <c r="E51" s="22">
        <v>8710</v>
      </c>
      <c r="F51" s="22">
        <v>4355</v>
      </c>
      <c r="G51" s="22">
        <v>2177</v>
      </c>
      <c r="H51" s="22">
        <v>0</v>
      </c>
      <c r="I51" s="22">
        <v>2177</v>
      </c>
      <c r="J51" s="22">
        <v>0</v>
      </c>
      <c r="K51" s="22">
        <v>0</v>
      </c>
      <c r="L51" s="22">
        <v>0</v>
      </c>
      <c r="M51" s="22">
        <v>0</v>
      </c>
      <c r="N51" s="22">
        <v>17419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17419</v>
      </c>
    </row>
    <row r="52" spans="1:22" ht="15" customHeight="1" x14ac:dyDescent="0.2">
      <c r="A52" s="22" t="s">
        <v>459</v>
      </c>
      <c r="B52" s="22" t="s">
        <v>615</v>
      </c>
      <c r="C52" s="22" t="s">
        <v>570</v>
      </c>
      <c r="D52" s="22">
        <v>0</v>
      </c>
      <c r="E52" s="22">
        <v>8710</v>
      </c>
      <c r="F52" s="22">
        <v>4355</v>
      </c>
      <c r="G52" s="22">
        <v>2177</v>
      </c>
      <c r="H52" s="22">
        <v>0</v>
      </c>
      <c r="I52" s="22">
        <v>2177</v>
      </c>
      <c r="J52" s="22">
        <v>0</v>
      </c>
      <c r="K52" s="22">
        <v>0</v>
      </c>
      <c r="L52" s="22">
        <v>0</v>
      </c>
      <c r="M52" s="22">
        <v>0</v>
      </c>
      <c r="N52" s="22">
        <v>17419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17419</v>
      </c>
    </row>
    <row r="53" spans="1:22" ht="15" customHeight="1" x14ac:dyDescent="0.2">
      <c r="A53" s="22" t="s">
        <v>475</v>
      </c>
      <c r="B53" s="22" t="s">
        <v>616</v>
      </c>
      <c r="C53" s="22" t="s">
        <v>570</v>
      </c>
      <c r="D53" s="22">
        <v>15306</v>
      </c>
      <c r="E53" s="22">
        <v>0</v>
      </c>
      <c r="F53" s="22">
        <v>7653</v>
      </c>
      <c r="G53" s="22">
        <v>3827</v>
      </c>
      <c r="H53" s="22">
        <v>0</v>
      </c>
      <c r="I53" s="22">
        <v>3827</v>
      </c>
      <c r="J53" s="22">
        <v>0</v>
      </c>
      <c r="K53" s="22">
        <v>0</v>
      </c>
      <c r="L53" s="22">
        <v>0</v>
      </c>
      <c r="M53" s="22">
        <v>0</v>
      </c>
      <c r="N53" s="22">
        <v>30613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30613</v>
      </c>
    </row>
    <row r="54" spans="1:22" ht="15" customHeight="1" x14ac:dyDescent="0.2">
      <c r="A54" s="22" t="s">
        <v>515</v>
      </c>
      <c r="B54" s="22" t="s">
        <v>472</v>
      </c>
      <c r="C54" s="22" t="s">
        <v>570</v>
      </c>
      <c r="D54" s="22">
        <v>36962</v>
      </c>
      <c r="E54" s="22">
        <v>0</v>
      </c>
      <c r="F54" s="22">
        <v>18481</v>
      </c>
      <c r="G54" s="22">
        <v>9240</v>
      </c>
      <c r="H54" s="22">
        <v>0</v>
      </c>
      <c r="I54" s="22">
        <v>9241</v>
      </c>
      <c r="J54" s="22">
        <v>0</v>
      </c>
      <c r="K54" s="22">
        <v>0</v>
      </c>
      <c r="L54" s="22">
        <v>0</v>
      </c>
      <c r="M54" s="22">
        <v>0</v>
      </c>
      <c r="N54" s="22">
        <v>73924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73924</v>
      </c>
    </row>
    <row r="55" spans="1:22" ht="15" customHeight="1" x14ac:dyDescent="0.2">
      <c r="A55" s="22" t="s">
        <v>491</v>
      </c>
      <c r="B55" s="22" t="s">
        <v>617</v>
      </c>
      <c r="C55" s="22" t="s">
        <v>570</v>
      </c>
      <c r="D55" s="22">
        <v>2177</v>
      </c>
      <c r="E55" s="22">
        <v>0</v>
      </c>
      <c r="F55" s="22">
        <v>1089</v>
      </c>
      <c r="G55" s="22">
        <v>544</v>
      </c>
      <c r="H55" s="22">
        <v>0</v>
      </c>
      <c r="I55" s="22">
        <v>544</v>
      </c>
      <c r="J55" s="22">
        <v>0</v>
      </c>
      <c r="K55" s="22">
        <v>0</v>
      </c>
      <c r="L55" s="22">
        <v>0</v>
      </c>
      <c r="M55" s="22">
        <v>0</v>
      </c>
      <c r="N55" s="22">
        <v>4354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4354</v>
      </c>
    </row>
    <row r="56" spans="1:22" ht="15" customHeight="1" x14ac:dyDescent="0.2">
      <c r="A56" s="22" t="s">
        <v>618</v>
      </c>
      <c r="B56" s="22" t="s">
        <v>619</v>
      </c>
      <c r="C56" s="22" t="s">
        <v>570</v>
      </c>
      <c r="D56" s="22">
        <v>10500</v>
      </c>
      <c r="E56" s="22">
        <v>0</v>
      </c>
      <c r="F56" s="22">
        <v>5250</v>
      </c>
      <c r="G56" s="22">
        <v>2625</v>
      </c>
      <c r="H56" s="22">
        <v>0</v>
      </c>
      <c r="I56" s="22">
        <v>2625</v>
      </c>
      <c r="J56" s="22">
        <v>0</v>
      </c>
      <c r="K56" s="22">
        <v>0</v>
      </c>
      <c r="L56" s="22">
        <v>0</v>
      </c>
      <c r="M56" s="22">
        <v>0</v>
      </c>
      <c r="N56" s="22">
        <v>21000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21000</v>
      </c>
    </row>
    <row r="57" spans="1:22" ht="15" customHeight="1" x14ac:dyDescent="0.2">
      <c r="A57" s="22" t="s">
        <v>620</v>
      </c>
      <c r="B57" s="22" t="s">
        <v>621</v>
      </c>
      <c r="C57" s="22" t="s">
        <v>570</v>
      </c>
      <c r="D57" s="22">
        <v>4935</v>
      </c>
      <c r="E57" s="22">
        <v>0</v>
      </c>
      <c r="F57" s="22">
        <v>2468</v>
      </c>
      <c r="G57" s="22">
        <v>1234</v>
      </c>
      <c r="H57" s="22">
        <v>0</v>
      </c>
      <c r="I57" s="22">
        <v>1234</v>
      </c>
      <c r="J57" s="22">
        <v>0</v>
      </c>
      <c r="K57" s="22">
        <v>0</v>
      </c>
      <c r="L57" s="22">
        <v>0</v>
      </c>
      <c r="M57" s="22">
        <v>0</v>
      </c>
      <c r="N57" s="22">
        <v>9871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9871</v>
      </c>
    </row>
    <row r="58" spans="1:22" ht="15" customHeight="1" x14ac:dyDescent="0.2">
      <c r="A58" s="22" t="s">
        <v>191</v>
      </c>
      <c r="B58" s="22" t="s">
        <v>622</v>
      </c>
      <c r="C58" s="22" t="s">
        <v>610</v>
      </c>
      <c r="D58" s="22">
        <v>0</v>
      </c>
      <c r="E58" s="22">
        <v>280000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280000</v>
      </c>
      <c r="O58" s="22">
        <v>28000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252000</v>
      </c>
    </row>
    <row r="59" spans="1:22" ht="15" customHeight="1" x14ac:dyDescent="0.2">
      <c r="A59" s="22" t="s">
        <v>623</v>
      </c>
      <c r="B59" s="22" t="s">
        <v>624</v>
      </c>
      <c r="C59" s="22" t="s">
        <v>610</v>
      </c>
      <c r="D59" s="22">
        <v>0</v>
      </c>
      <c r="E59" s="22">
        <v>240000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5000</v>
      </c>
      <c r="N59" s="22">
        <v>245000</v>
      </c>
      <c r="O59" s="22">
        <v>24000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221000</v>
      </c>
    </row>
    <row r="60" spans="1:22" ht="15" customHeight="1" x14ac:dyDescent="0.2">
      <c r="A60" s="22" t="s">
        <v>195</v>
      </c>
      <c r="B60" s="22" t="s">
        <v>625</v>
      </c>
      <c r="C60" s="22" t="s">
        <v>610</v>
      </c>
      <c r="D60" s="22">
        <v>0</v>
      </c>
      <c r="E60" s="22">
        <v>145000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145000</v>
      </c>
      <c r="O60" s="22">
        <v>14500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130500</v>
      </c>
    </row>
    <row r="61" spans="1:22" ht="15" customHeight="1" x14ac:dyDescent="0.2">
      <c r="A61" s="22" t="s">
        <v>471</v>
      </c>
      <c r="B61" s="22" t="s">
        <v>626</v>
      </c>
      <c r="C61" s="22" t="s">
        <v>570</v>
      </c>
      <c r="D61" s="22">
        <v>27419</v>
      </c>
      <c r="E61" s="22">
        <v>0</v>
      </c>
      <c r="F61" s="22">
        <v>13710</v>
      </c>
      <c r="G61" s="22">
        <v>6855</v>
      </c>
      <c r="H61" s="22">
        <v>0</v>
      </c>
      <c r="I61" s="22">
        <v>6855</v>
      </c>
      <c r="J61" s="22">
        <v>0</v>
      </c>
      <c r="K61" s="22">
        <v>0</v>
      </c>
      <c r="L61" s="22">
        <v>0</v>
      </c>
      <c r="M61" s="22">
        <v>0</v>
      </c>
      <c r="N61" s="22">
        <v>54839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54839</v>
      </c>
    </row>
    <row r="62" spans="1:22" ht="15" customHeight="1" x14ac:dyDescent="0.2">
      <c r="A62" s="22" t="s">
        <v>627</v>
      </c>
      <c r="B62" s="22" t="s">
        <v>628</v>
      </c>
      <c r="C62" s="22" t="s">
        <v>610</v>
      </c>
      <c r="D62" s="22">
        <v>0</v>
      </c>
      <c r="E62" s="22">
        <v>230000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230000</v>
      </c>
      <c r="O62" s="22">
        <v>23000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207000</v>
      </c>
    </row>
    <row r="63" spans="1:22" ht="15" customHeight="1" x14ac:dyDescent="0.2">
      <c r="A63" s="22" t="s">
        <v>212</v>
      </c>
      <c r="B63" s="22" t="s">
        <v>629</v>
      </c>
      <c r="C63" s="22" t="s">
        <v>610</v>
      </c>
      <c r="D63" s="22">
        <v>0</v>
      </c>
      <c r="E63" s="22">
        <v>400</v>
      </c>
      <c r="F63" s="22">
        <v>0</v>
      </c>
      <c r="G63" s="22">
        <v>0</v>
      </c>
      <c r="H63" s="22">
        <v>0</v>
      </c>
      <c r="I63" s="22">
        <v>0</v>
      </c>
      <c r="J63" s="22">
        <v>38240</v>
      </c>
      <c r="K63" s="22">
        <v>30000</v>
      </c>
      <c r="L63" s="22">
        <v>0</v>
      </c>
      <c r="M63" s="22">
        <v>0</v>
      </c>
      <c r="N63" s="22">
        <v>68640</v>
      </c>
      <c r="O63" s="22">
        <v>6864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61776</v>
      </c>
    </row>
    <row r="64" spans="1:22" ht="15" customHeight="1" x14ac:dyDescent="0.2">
      <c r="A64" s="22" t="s">
        <v>217</v>
      </c>
      <c r="B64" s="22" t="s">
        <v>630</v>
      </c>
      <c r="C64" s="22" t="s">
        <v>610</v>
      </c>
      <c r="D64" s="22">
        <v>0</v>
      </c>
      <c r="E64" s="22">
        <v>250</v>
      </c>
      <c r="F64" s="22">
        <v>0</v>
      </c>
      <c r="G64" s="22">
        <v>0</v>
      </c>
      <c r="H64" s="22">
        <v>0</v>
      </c>
      <c r="I64" s="22">
        <v>0</v>
      </c>
      <c r="J64" s="22">
        <v>25125</v>
      </c>
      <c r="K64" s="22">
        <v>0</v>
      </c>
      <c r="L64" s="22">
        <v>0</v>
      </c>
      <c r="M64" s="22">
        <v>0</v>
      </c>
      <c r="N64" s="22">
        <v>25375</v>
      </c>
      <c r="O64" s="22">
        <v>2538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22837</v>
      </c>
    </row>
    <row r="65" spans="1:22" ht="15" customHeight="1" x14ac:dyDescent="0.2">
      <c r="A65" s="22" t="s">
        <v>225</v>
      </c>
      <c r="B65" s="22" t="s">
        <v>631</v>
      </c>
      <c r="C65" s="22" t="s">
        <v>610</v>
      </c>
      <c r="D65" s="22">
        <v>0</v>
      </c>
      <c r="E65" s="22">
        <v>250</v>
      </c>
      <c r="F65" s="22">
        <v>0</v>
      </c>
      <c r="G65" s="22">
        <v>0</v>
      </c>
      <c r="H65" s="22">
        <v>0</v>
      </c>
      <c r="I65" s="22">
        <v>0</v>
      </c>
      <c r="J65" s="22">
        <v>38579</v>
      </c>
      <c r="K65" s="22">
        <v>5000</v>
      </c>
      <c r="L65" s="22">
        <v>0</v>
      </c>
      <c r="M65" s="22">
        <v>0</v>
      </c>
      <c r="N65" s="22">
        <v>43829</v>
      </c>
      <c r="O65" s="22">
        <v>4383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39446</v>
      </c>
    </row>
    <row r="66" spans="1:22" ht="15" customHeight="1" x14ac:dyDescent="0.2">
      <c r="A66" s="22" t="s">
        <v>228</v>
      </c>
      <c r="B66" s="22" t="s">
        <v>632</v>
      </c>
      <c r="C66" s="22" t="s">
        <v>610</v>
      </c>
      <c r="D66" s="22">
        <v>0</v>
      </c>
      <c r="E66" s="22">
        <v>150</v>
      </c>
      <c r="F66" s="22">
        <v>0</v>
      </c>
      <c r="G66" s="22">
        <v>0</v>
      </c>
      <c r="H66" s="22">
        <v>0</v>
      </c>
      <c r="I66" s="22">
        <v>0</v>
      </c>
      <c r="J66" s="22">
        <v>8230</v>
      </c>
      <c r="K66" s="22">
        <v>0</v>
      </c>
      <c r="L66" s="22">
        <v>0</v>
      </c>
      <c r="M66" s="22">
        <v>0</v>
      </c>
      <c r="N66" s="22">
        <v>8380</v>
      </c>
      <c r="O66" s="22">
        <v>838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7542</v>
      </c>
    </row>
    <row r="67" spans="1:22" ht="15" customHeight="1" x14ac:dyDescent="0.2">
      <c r="A67" s="22" t="s">
        <v>230</v>
      </c>
      <c r="B67" s="22" t="s">
        <v>633</v>
      </c>
      <c r="C67" s="22" t="s">
        <v>610</v>
      </c>
      <c r="D67" s="22">
        <v>0</v>
      </c>
      <c r="E67" s="22">
        <v>350</v>
      </c>
      <c r="F67" s="22">
        <v>0</v>
      </c>
      <c r="G67" s="22">
        <v>0</v>
      </c>
      <c r="H67" s="22">
        <v>0</v>
      </c>
      <c r="I67" s="22">
        <v>0</v>
      </c>
      <c r="J67" s="22">
        <v>36540</v>
      </c>
      <c r="K67" s="22">
        <v>0</v>
      </c>
      <c r="L67" s="22">
        <v>0</v>
      </c>
      <c r="M67" s="22">
        <v>0</v>
      </c>
      <c r="N67" s="22">
        <v>36890</v>
      </c>
      <c r="O67" s="22">
        <v>3689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33201</v>
      </c>
    </row>
    <row r="68" spans="1:22" ht="15" customHeight="1" x14ac:dyDescent="0.2">
      <c r="A68" s="22" t="s">
        <v>232</v>
      </c>
      <c r="B68" s="22" t="s">
        <v>634</v>
      </c>
      <c r="C68" s="22" t="s">
        <v>610</v>
      </c>
      <c r="D68" s="22">
        <v>0</v>
      </c>
      <c r="E68" s="22">
        <v>350</v>
      </c>
      <c r="F68" s="22">
        <v>0</v>
      </c>
      <c r="G68" s="22">
        <v>0</v>
      </c>
      <c r="H68" s="22">
        <v>0</v>
      </c>
      <c r="I68" s="22">
        <v>0</v>
      </c>
      <c r="J68" s="22">
        <v>33950</v>
      </c>
      <c r="K68" s="22">
        <v>0</v>
      </c>
      <c r="L68" s="22">
        <v>0</v>
      </c>
      <c r="M68" s="22">
        <v>0</v>
      </c>
      <c r="N68" s="22">
        <v>34300</v>
      </c>
      <c r="O68" s="22">
        <v>3430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30870</v>
      </c>
    </row>
    <row r="69" spans="1:22" ht="15" customHeight="1" x14ac:dyDescent="0.2">
      <c r="A69" s="22" t="s">
        <v>271</v>
      </c>
      <c r="B69" s="22" t="s">
        <v>635</v>
      </c>
      <c r="C69" s="22" t="s">
        <v>610</v>
      </c>
      <c r="D69" s="22">
        <v>0</v>
      </c>
      <c r="E69" s="22">
        <v>200</v>
      </c>
      <c r="F69" s="22">
        <v>0</v>
      </c>
      <c r="G69" s="22">
        <v>0</v>
      </c>
      <c r="H69" s="22">
        <v>0</v>
      </c>
      <c r="I69" s="22">
        <v>0</v>
      </c>
      <c r="J69" s="22">
        <v>34400</v>
      </c>
      <c r="K69" s="22">
        <v>0</v>
      </c>
      <c r="L69" s="22">
        <v>0</v>
      </c>
      <c r="M69" s="22">
        <v>0</v>
      </c>
      <c r="N69" s="22">
        <v>34600</v>
      </c>
      <c r="O69" s="22">
        <v>3460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31140</v>
      </c>
    </row>
    <row r="70" spans="1:22" ht="15" customHeight="1" x14ac:dyDescent="0.2">
      <c r="A70" s="22" t="s">
        <v>274</v>
      </c>
      <c r="B70" s="22" t="s">
        <v>636</v>
      </c>
      <c r="C70" s="22" t="s">
        <v>610</v>
      </c>
      <c r="D70" s="22">
        <v>0</v>
      </c>
      <c r="E70" s="22">
        <v>300</v>
      </c>
      <c r="F70" s="22">
        <v>0</v>
      </c>
      <c r="G70" s="22">
        <v>0</v>
      </c>
      <c r="H70" s="22">
        <v>0</v>
      </c>
      <c r="I70" s="22">
        <v>0</v>
      </c>
      <c r="J70" s="22">
        <v>47505</v>
      </c>
      <c r="K70" s="22">
        <v>0</v>
      </c>
      <c r="L70" s="22">
        <v>0</v>
      </c>
      <c r="M70" s="22">
        <v>0</v>
      </c>
      <c r="N70" s="22">
        <v>47805</v>
      </c>
      <c r="O70" s="22">
        <v>4781</v>
      </c>
      <c r="P70" s="22">
        <v>0</v>
      </c>
      <c r="Q70" s="22">
        <v>0</v>
      </c>
      <c r="R70" s="22">
        <v>0</v>
      </c>
      <c r="S70" s="22">
        <v>0</v>
      </c>
      <c r="T70" s="22">
        <v>43024</v>
      </c>
      <c r="U70" s="22">
        <v>0</v>
      </c>
      <c r="V70" s="22">
        <v>0</v>
      </c>
    </row>
    <row r="71" spans="1:22" ht="15" customHeight="1" x14ac:dyDescent="0.2">
      <c r="A71" s="22" t="s">
        <v>293</v>
      </c>
      <c r="B71" s="22" t="s">
        <v>637</v>
      </c>
      <c r="C71" s="22" t="s">
        <v>610</v>
      </c>
      <c r="D71" s="22">
        <v>0</v>
      </c>
      <c r="E71" s="22">
        <v>300</v>
      </c>
      <c r="F71" s="22">
        <v>0</v>
      </c>
      <c r="G71" s="22">
        <v>0</v>
      </c>
      <c r="H71" s="22">
        <v>0</v>
      </c>
      <c r="I71" s="22">
        <v>0</v>
      </c>
      <c r="J71" s="22">
        <v>6600</v>
      </c>
      <c r="K71" s="22">
        <v>32500</v>
      </c>
      <c r="L71" s="22">
        <v>0</v>
      </c>
      <c r="M71" s="22">
        <v>0</v>
      </c>
      <c r="N71" s="22">
        <v>39400</v>
      </c>
      <c r="O71" s="22">
        <v>3940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35460</v>
      </c>
    </row>
    <row r="72" spans="1:22" ht="15" customHeight="1" x14ac:dyDescent="0.2">
      <c r="A72" s="22" t="s">
        <v>297</v>
      </c>
      <c r="B72" s="22" t="s">
        <v>638</v>
      </c>
      <c r="C72" s="22" t="s">
        <v>610</v>
      </c>
      <c r="D72" s="22">
        <v>0</v>
      </c>
      <c r="E72" s="22">
        <v>250</v>
      </c>
      <c r="F72" s="22">
        <v>0</v>
      </c>
      <c r="G72" s="22">
        <v>0</v>
      </c>
      <c r="H72" s="22">
        <v>0</v>
      </c>
      <c r="I72" s="22">
        <v>0</v>
      </c>
      <c r="J72" s="22">
        <v>14658</v>
      </c>
      <c r="K72" s="22">
        <v>0</v>
      </c>
      <c r="L72" s="22">
        <v>0</v>
      </c>
      <c r="M72" s="22">
        <v>0</v>
      </c>
      <c r="N72" s="22">
        <v>14908</v>
      </c>
      <c r="O72" s="22">
        <v>1491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13417</v>
      </c>
    </row>
    <row r="73" spans="1:22" ht="15" customHeight="1" x14ac:dyDescent="0.2">
      <c r="A73" s="22" t="s">
        <v>300</v>
      </c>
      <c r="B73" s="22" t="s">
        <v>639</v>
      </c>
      <c r="C73" s="22" t="s">
        <v>610</v>
      </c>
      <c r="D73" s="22">
        <v>0</v>
      </c>
      <c r="E73" s="22">
        <v>250</v>
      </c>
      <c r="F73" s="22">
        <v>0</v>
      </c>
      <c r="G73" s="22">
        <v>0</v>
      </c>
      <c r="H73" s="22">
        <v>0</v>
      </c>
      <c r="I73" s="22">
        <v>0</v>
      </c>
      <c r="J73" s="22">
        <v>18054</v>
      </c>
      <c r="K73" s="22">
        <v>0</v>
      </c>
      <c r="L73" s="22">
        <v>0</v>
      </c>
      <c r="M73" s="22">
        <v>0</v>
      </c>
      <c r="N73" s="22">
        <v>18304</v>
      </c>
      <c r="O73" s="22">
        <v>1830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16474</v>
      </c>
    </row>
    <row r="74" spans="1:22" ht="15" customHeight="1" x14ac:dyDescent="0.2">
      <c r="A74" s="22" t="s">
        <v>302</v>
      </c>
      <c r="B74" s="22" t="s">
        <v>640</v>
      </c>
      <c r="C74" s="22" t="s">
        <v>610</v>
      </c>
      <c r="D74" s="22">
        <v>0</v>
      </c>
      <c r="E74" s="22">
        <v>250</v>
      </c>
      <c r="F74" s="22">
        <v>0</v>
      </c>
      <c r="G74" s="22">
        <v>0</v>
      </c>
      <c r="H74" s="22">
        <v>0</v>
      </c>
      <c r="I74" s="22">
        <v>0</v>
      </c>
      <c r="J74" s="22">
        <v>36350</v>
      </c>
      <c r="K74" s="22">
        <v>0</v>
      </c>
      <c r="L74" s="22">
        <v>0</v>
      </c>
      <c r="M74" s="22">
        <v>0</v>
      </c>
      <c r="N74" s="22">
        <v>36600</v>
      </c>
      <c r="O74" s="22">
        <v>3660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32940</v>
      </c>
    </row>
    <row r="75" spans="1:22" ht="15" customHeight="1" x14ac:dyDescent="0.2">
      <c r="A75" s="22" t="s">
        <v>308</v>
      </c>
      <c r="B75" s="22" t="s">
        <v>641</v>
      </c>
      <c r="C75" s="22" t="s">
        <v>610</v>
      </c>
      <c r="D75" s="22">
        <v>0</v>
      </c>
      <c r="E75" s="22">
        <v>200</v>
      </c>
      <c r="F75" s="22">
        <v>0</v>
      </c>
      <c r="G75" s="22">
        <v>0</v>
      </c>
      <c r="H75" s="22">
        <v>0</v>
      </c>
      <c r="I75" s="22">
        <v>0</v>
      </c>
      <c r="J75" s="22">
        <v>17353</v>
      </c>
      <c r="K75" s="22">
        <v>0</v>
      </c>
      <c r="L75" s="22">
        <v>0</v>
      </c>
      <c r="M75" s="22">
        <v>0</v>
      </c>
      <c r="N75" s="22">
        <v>17553</v>
      </c>
      <c r="O75" s="22">
        <v>1755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15798</v>
      </c>
    </row>
    <row r="76" spans="1:22" ht="15" customHeight="1" x14ac:dyDescent="0.2">
      <c r="A76" s="22" t="s">
        <v>311</v>
      </c>
      <c r="B76" s="22" t="s">
        <v>642</v>
      </c>
      <c r="C76" s="22" t="s">
        <v>610</v>
      </c>
      <c r="D76" s="22">
        <v>0</v>
      </c>
      <c r="E76" s="22">
        <v>250</v>
      </c>
      <c r="F76" s="22">
        <v>0</v>
      </c>
      <c r="G76" s="22">
        <v>0</v>
      </c>
      <c r="H76" s="22">
        <v>0</v>
      </c>
      <c r="I76" s="22">
        <v>0</v>
      </c>
      <c r="J76" s="22">
        <v>40138</v>
      </c>
      <c r="K76" s="22">
        <v>0</v>
      </c>
      <c r="L76" s="22">
        <v>0</v>
      </c>
      <c r="M76" s="22">
        <v>0</v>
      </c>
      <c r="N76" s="22">
        <v>40388</v>
      </c>
      <c r="O76" s="22">
        <v>4039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36349</v>
      </c>
    </row>
    <row r="77" spans="1:22" ht="15" customHeight="1" x14ac:dyDescent="0.2">
      <c r="A77" s="22" t="s">
        <v>313</v>
      </c>
      <c r="B77" s="22" t="s">
        <v>643</v>
      </c>
      <c r="C77" s="22" t="s">
        <v>610</v>
      </c>
      <c r="D77" s="22">
        <v>0</v>
      </c>
      <c r="E77" s="22">
        <v>250</v>
      </c>
      <c r="F77" s="22">
        <v>0</v>
      </c>
      <c r="G77" s="22">
        <v>0</v>
      </c>
      <c r="H77" s="22">
        <v>0</v>
      </c>
      <c r="I77" s="22">
        <v>0</v>
      </c>
      <c r="J77" s="22">
        <v>31183</v>
      </c>
      <c r="K77" s="22">
        <v>0</v>
      </c>
      <c r="L77" s="22">
        <v>0</v>
      </c>
      <c r="M77" s="22">
        <v>0</v>
      </c>
      <c r="N77" s="22">
        <v>31433</v>
      </c>
      <c r="O77" s="22">
        <v>3143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28290</v>
      </c>
    </row>
    <row r="78" spans="1:22" ht="15" customHeight="1" x14ac:dyDescent="0.2">
      <c r="A78" s="22" t="s">
        <v>326</v>
      </c>
      <c r="B78" s="22" t="s">
        <v>644</v>
      </c>
      <c r="C78" s="22" t="s">
        <v>610</v>
      </c>
      <c r="D78" s="22">
        <v>0</v>
      </c>
      <c r="E78" s="22">
        <v>300</v>
      </c>
      <c r="F78" s="22">
        <v>0</v>
      </c>
      <c r="G78" s="22">
        <v>0</v>
      </c>
      <c r="H78" s="22">
        <v>0</v>
      </c>
      <c r="I78" s="22">
        <v>0</v>
      </c>
      <c r="J78" s="22">
        <v>23700</v>
      </c>
      <c r="K78" s="22">
        <v>0</v>
      </c>
      <c r="L78" s="22">
        <v>0</v>
      </c>
      <c r="M78" s="22">
        <v>0</v>
      </c>
      <c r="N78" s="22">
        <v>24000</v>
      </c>
      <c r="O78" s="22">
        <v>2400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21600</v>
      </c>
    </row>
    <row r="79" spans="1:22" ht="15" customHeight="1" x14ac:dyDescent="0.2">
      <c r="A79" s="22" t="s">
        <v>324</v>
      </c>
      <c r="B79" s="22" t="s">
        <v>645</v>
      </c>
      <c r="C79" s="22" t="s">
        <v>610</v>
      </c>
      <c r="D79" s="22">
        <v>0</v>
      </c>
      <c r="E79" s="22">
        <v>250</v>
      </c>
      <c r="F79" s="22">
        <v>0</v>
      </c>
      <c r="G79" s="22">
        <v>0</v>
      </c>
      <c r="H79" s="22">
        <v>0</v>
      </c>
      <c r="I79" s="22">
        <v>0</v>
      </c>
      <c r="J79" s="22">
        <v>45479</v>
      </c>
      <c r="K79" s="22">
        <v>0</v>
      </c>
      <c r="L79" s="22">
        <v>0</v>
      </c>
      <c r="M79" s="22">
        <v>0</v>
      </c>
      <c r="N79" s="22">
        <v>45729</v>
      </c>
      <c r="O79" s="22">
        <v>4573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41156</v>
      </c>
    </row>
    <row r="80" spans="1:22" ht="15" customHeight="1" x14ac:dyDescent="0.2">
      <c r="A80" s="22" t="s">
        <v>333</v>
      </c>
      <c r="B80" s="22" t="s">
        <v>646</v>
      </c>
      <c r="C80" s="22" t="s">
        <v>610</v>
      </c>
      <c r="D80" s="22">
        <v>0</v>
      </c>
      <c r="E80" s="22">
        <v>200</v>
      </c>
      <c r="F80" s="22">
        <v>0</v>
      </c>
      <c r="G80" s="22">
        <v>0</v>
      </c>
      <c r="H80" s="22">
        <v>0</v>
      </c>
      <c r="I80" s="22">
        <v>0</v>
      </c>
      <c r="J80" s="22">
        <v>32413</v>
      </c>
      <c r="K80" s="22">
        <v>0</v>
      </c>
      <c r="L80" s="22">
        <v>0</v>
      </c>
      <c r="M80" s="22">
        <v>0</v>
      </c>
      <c r="N80" s="22">
        <v>32613</v>
      </c>
      <c r="O80" s="22">
        <v>3261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29352</v>
      </c>
    </row>
    <row r="81" spans="1:22" ht="15" customHeight="1" x14ac:dyDescent="0.2">
      <c r="A81" s="22" t="s">
        <v>341</v>
      </c>
      <c r="B81" s="22" t="s">
        <v>647</v>
      </c>
      <c r="C81" s="22" t="s">
        <v>610</v>
      </c>
      <c r="D81" s="22">
        <v>0</v>
      </c>
      <c r="E81" s="22">
        <v>250</v>
      </c>
      <c r="F81" s="22">
        <v>0</v>
      </c>
      <c r="G81" s="22">
        <v>0</v>
      </c>
      <c r="H81" s="22">
        <v>0</v>
      </c>
      <c r="I81" s="22">
        <v>0</v>
      </c>
      <c r="J81" s="22">
        <v>39233</v>
      </c>
      <c r="K81" s="22">
        <v>0</v>
      </c>
      <c r="L81" s="22">
        <v>0</v>
      </c>
      <c r="M81" s="22">
        <v>0</v>
      </c>
      <c r="N81" s="22">
        <v>39483</v>
      </c>
      <c r="O81" s="22">
        <v>3948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35535</v>
      </c>
    </row>
    <row r="82" spans="1:22" ht="15" customHeight="1" x14ac:dyDescent="0.2">
      <c r="A82" s="22" t="s">
        <v>343</v>
      </c>
      <c r="B82" s="22" t="s">
        <v>342</v>
      </c>
      <c r="C82" s="22" t="s">
        <v>610</v>
      </c>
      <c r="D82" s="22">
        <v>0</v>
      </c>
      <c r="E82" s="22">
        <v>300</v>
      </c>
      <c r="F82" s="22">
        <v>0</v>
      </c>
      <c r="G82" s="22">
        <v>0</v>
      </c>
      <c r="H82" s="22">
        <v>0</v>
      </c>
      <c r="I82" s="22">
        <v>0</v>
      </c>
      <c r="J82" s="22">
        <v>23975</v>
      </c>
      <c r="K82" s="22">
        <v>0</v>
      </c>
      <c r="L82" s="22">
        <v>0</v>
      </c>
      <c r="M82" s="22">
        <v>0</v>
      </c>
      <c r="N82" s="22">
        <v>24275</v>
      </c>
      <c r="O82" s="22">
        <v>2428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21847</v>
      </c>
    </row>
    <row r="83" spans="1:22" ht="15" customHeight="1" x14ac:dyDescent="0.2">
      <c r="A83" s="22" t="s">
        <v>345</v>
      </c>
      <c r="B83" s="22" t="s">
        <v>648</v>
      </c>
      <c r="C83" s="22" t="s">
        <v>610</v>
      </c>
      <c r="D83" s="22">
        <v>0</v>
      </c>
      <c r="E83" s="22">
        <v>250</v>
      </c>
      <c r="F83" s="22">
        <v>0</v>
      </c>
      <c r="G83" s="22">
        <v>0</v>
      </c>
      <c r="H83" s="22">
        <v>0</v>
      </c>
      <c r="I83" s="22">
        <v>0</v>
      </c>
      <c r="J83" s="22">
        <v>44800</v>
      </c>
      <c r="K83" s="22">
        <v>0</v>
      </c>
      <c r="L83" s="22">
        <v>0</v>
      </c>
      <c r="M83" s="22">
        <v>0</v>
      </c>
      <c r="N83" s="22">
        <v>45050</v>
      </c>
      <c r="O83" s="22">
        <v>4505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40545</v>
      </c>
    </row>
    <row r="84" spans="1:22" ht="15" customHeight="1" x14ac:dyDescent="0.2">
      <c r="A84" s="22" t="s">
        <v>353</v>
      </c>
      <c r="B84" s="22" t="s">
        <v>649</v>
      </c>
      <c r="C84" s="22" t="s">
        <v>610</v>
      </c>
      <c r="D84" s="22">
        <v>0</v>
      </c>
      <c r="E84" s="22">
        <v>250</v>
      </c>
      <c r="F84" s="22">
        <v>0</v>
      </c>
      <c r="G84" s="22">
        <v>0</v>
      </c>
      <c r="H84" s="22">
        <v>0</v>
      </c>
      <c r="I84" s="22">
        <v>0</v>
      </c>
      <c r="J84" s="22">
        <v>39250</v>
      </c>
      <c r="K84" s="22">
        <v>0</v>
      </c>
      <c r="L84" s="22">
        <v>0</v>
      </c>
      <c r="M84" s="22">
        <v>0</v>
      </c>
      <c r="N84" s="22">
        <v>39500</v>
      </c>
      <c r="O84" s="22">
        <v>3950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35550</v>
      </c>
    </row>
    <row r="85" spans="1:22" ht="15" customHeight="1" x14ac:dyDescent="0.2">
      <c r="A85" s="22" t="s">
        <v>356</v>
      </c>
      <c r="B85" s="22" t="s">
        <v>650</v>
      </c>
      <c r="C85" s="22" t="s">
        <v>610</v>
      </c>
      <c r="D85" s="22">
        <v>0</v>
      </c>
      <c r="E85" s="22">
        <v>250</v>
      </c>
      <c r="F85" s="22">
        <v>0</v>
      </c>
      <c r="G85" s="22">
        <v>0</v>
      </c>
      <c r="H85" s="22">
        <v>0</v>
      </c>
      <c r="I85" s="22">
        <v>0</v>
      </c>
      <c r="J85" s="22">
        <v>40038</v>
      </c>
      <c r="K85" s="22">
        <v>5000</v>
      </c>
      <c r="L85" s="22">
        <v>0</v>
      </c>
      <c r="M85" s="22">
        <v>0</v>
      </c>
      <c r="N85" s="22">
        <v>45288</v>
      </c>
      <c r="O85" s="22">
        <v>4529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40759</v>
      </c>
    </row>
    <row r="86" spans="1:22" ht="15" customHeight="1" x14ac:dyDescent="0.2">
      <c r="A86" s="22" t="s">
        <v>361</v>
      </c>
      <c r="B86" s="22" t="s">
        <v>651</v>
      </c>
      <c r="C86" s="22" t="s">
        <v>610</v>
      </c>
      <c r="D86" s="22">
        <v>0</v>
      </c>
      <c r="E86" s="22">
        <v>200</v>
      </c>
      <c r="F86" s="22">
        <v>0</v>
      </c>
      <c r="G86" s="22">
        <v>0</v>
      </c>
      <c r="H86" s="22">
        <v>0</v>
      </c>
      <c r="I86" s="22">
        <v>0</v>
      </c>
      <c r="J86" s="22">
        <v>33163</v>
      </c>
      <c r="K86" s="22">
        <v>0</v>
      </c>
      <c r="L86" s="22">
        <v>0</v>
      </c>
      <c r="M86" s="22">
        <v>0</v>
      </c>
      <c r="N86" s="22">
        <v>33363</v>
      </c>
      <c r="O86" s="22">
        <v>3336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30027</v>
      </c>
    </row>
    <row r="87" spans="1:22" ht="15" customHeight="1" x14ac:dyDescent="0.2">
      <c r="A87" s="22" t="s">
        <v>364</v>
      </c>
      <c r="B87" s="22" t="s">
        <v>652</v>
      </c>
      <c r="C87" s="22" t="s">
        <v>610</v>
      </c>
      <c r="D87" s="22">
        <v>0</v>
      </c>
      <c r="E87" s="22">
        <v>200</v>
      </c>
      <c r="F87" s="22">
        <v>0</v>
      </c>
      <c r="G87" s="22">
        <v>0</v>
      </c>
      <c r="H87" s="22">
        <v>0</v>
      </c>
      <c r="I87" s="22">
        <v>0</v>
      </c>
      <c r="J87" s="22">
        <v>33000</v>
      </c>
      <c r="K87" s="22">
        <v>0</v>
      </c>
      <c r="L87" s="22">
        <v>0</v>
      </c>
      <c r="M87" s="22">
        <v>0</v>
      </c>
      <c r="N87" s="22">
        <v>33200</v>
      </c>
      <c r="O87" s="22">
        <v>3320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29880</v>
      </c>
    </row>
    <row r="88" spans="1:22" ht="15" customHeight="1" x14ac:dyDescent="0.2">
      <c r="A88" s="22" t="s">
        <v>367</v>
      </c>
      <c r="B88" s="22" t="s">
        <v>653</v>
      </c>
      <c r="C88" s="22" t="s">
        <v>610</v>
      </c>
      <c r="D88" s="22">
        <v>0</v>
      </c>
      <c r="E88" s="22">
        <v>400</v>
      </c>
      <c r="F88" s="22">
        <v>0</v>
      </c>
      <c r="G88" s="22">
        <v>0</v>
      </c>
      <c r="H88" s="22">
        <v>0</v>
      </c>
      <c r="I88" s="22">
        <v>0</v>
      </c>
      <c r="J88" s="22">
        <v>62880</v>
      </c>
      <c r="K88" s="22">
        <v>0</v>
      </c>
      <c r="L88" s="22">
        <v>0</v>
      </c>
      <c r="M88" s="22">
        <v>0</v>
      </c>
      <c r="N88" s="22">
        <v>63280</v>
      </c>
      <c r="O88" s="22">
        <v>6328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56952</v>
      </c>
    </row>
    <row r="89" spans="1:22" ht="15" customHeight="1" x14ac:dyDescent="0.2">
      <c r="A89" s="22" t="s">
        <v>370</v>
      </c>
      <c r="B89" s="22" t="s">
        <v>654</v>
      </c>
      <c r="C89" s="22" t="s">
        <v>610</v>
      </c>
      <c r="D89" s="22">
        <v>0</v>
      </c>
      <c r="E89" s="22">
        <v>250</v>
      </c>
      <c r="F89" s="22">
        <v>0</v>
      </c>
      <c r="G89" s="22">
        <v>0</v>
      </c>
      <c r="H89" s="22">
        <v>0</v>
      </c>
      <c r="I89" s="22">
        <v>0</v>
      </c>
      <c r="J89" s="22">
        <v>40833</v>
      </c>
      <c r="K89" s="22">
        <v>0</v>
      </c>
      <c r="L89" s="22">
        <v>0</v>
      </c>
      <c r="M89" s="22">
        <v>0</v>
      </c>
      <c r="N89" s="22">
        <v>41083</v>
      </c>
      <c r="O89" s="22">
        <v>4108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36975</v>
      </c>
    </row>
    <row r="90" spans="1:22" ht="15" customHeight="1" x14ac:dyDescent="0.2">
      <c r="A90" s="22" t="s">
        <v>372</v>
      </c>
      <c r="B90" s="22" t="s">
        <v>655</v>
      </c>
      <c r="C90" s="22" t="s">
        <v>610</v>
      </c>
      <c r="D90" s="22">
        <v>0</v>
      </c>
      <c r="E90" s="22">
        <v>250</v>
      </c>
      <c r="F90" s="22">
        <v>0</v>
      </c>
      <c r="G90" s="22">
        <v>0</v>
      </c>
      <c r="H90" s="22">
        <v>0</v>
      </c>
      <c r="I90" s="22">
        <v>0</v>
      </c>
      <c r="J90" s="22">
        <v>28533</v>
      </c>
      <c r="K90" s="22">
        <v>0</v>
      </c>
      <c r="L90" s="22">
        <v>0</v>
      </c>
      <c r="M90" s="22">
        <v>0</v>
      </c>
      <c r="N90" s="22">
        <v>28783</v>
      </c>
      <c r="O90" s="22">
        <v>2878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25905</v>
      </c>
    </row>
    <row r="91" spans="1:22" ht="15" customHeight="1" x14ac:dyDescent="0.2">
      <c r="A91" s="22" t="s">
        <v>376</v>
      </c>
      <c r="B91" s="22" t="s">
        <v>656</v>
      </c>
      <c r="C91" s="22" t="s">
        <v>610</v>
      </c>
      <c r="D91" s="22">
        <v>0</v>
      </c>
      <c r="E91" s="22">
        <v>350</v>
      </c>
      <c r="F91" s="22">
        <v>0</v>
      </c>
      <c r="G91" s="22">
        <v>0</v>
      </c>
      <c r="H91" s="22">
        <v>0</v>
      </c>
      <c r="I91" s="22">
        <v>0</v>
      </c>
      <c r="J91" s="22">
        <v>55125</v>
      </c>
      <c r="K91" s="22">
        <v>0</v>
      </c>
      <c r="L91" s="22">
        <v>0</v>
      </c>
      <c r="M91" s="22">
        <v>0</v>
      </c>
      <c r="N91" s="22">
        <v>55475</v>
      </c>
      <c r="O91" s="22">
        <v>5548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49927</v>
      </c>
    </row>
    <row r="92" spans="1:22" ht="15" customHeight="1" x14ac:dyDescent="0.2">
      <c r="A92" s="22" t="s">
        <v>384</v>
      </c>
      <c r="B92" s="22" t="s">
        <v>657</v>
      </c>
      <c r="C92" s="22" t="s">
        <v>610</v>
      </c>
      <c r="D92" s="22">
        <v>0</v>
      </c>
      <c r="E92" s="22">
        <v>250</v>
      </c>
      <c r="F92" s="22">
        <v>0</v>
      </c>
      <c r="G92" s="22">
        <v>0</v>
      </c>
      <c r="H92" s="22">
        <v>0</v>
      </c>
      <c r="I92" s="22">
        <v>0</v>
      </c>
      <c r="J92" s="22">
        <v>14738</v>
      </c>
      <c r="K92" s="22">
        <v>0</v>
      </c>
      <c r="L92" s="22">
        <v>0</v>
      </c>
      <c r="M92" s="22">
        <v>0</v>
      </c>
      <c r="N92" s="22">
        <v>14988</v>
      </c>
      <c r="O92" s="22">
        <v>1499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13489</v>
      </c>
    </row>
    <row r="93" spans="1:22" ht="15" customHeight="1" x14ac:dyDescent="0.2">
      <c r="A93" s="22" t="s">
        <v>387</v>
      </c>
      <c r="B93" s="22" t="s">
        <v>658</v>
      </c>
      <c r="C93" s="22" t="s">
        <v>610</v>
      </c>
      <c r="D93" s="22">
        <v>0</v>
      </c>
      <c r="E93" s="22">
        <v>250</v>
      </c>
      <c r="F93" s="22">
        <v>0</v>
      </c>
      <c r="G93" s="22">
        <v>0</v>
      </c>
      <c r="H93" s="22">
        <v>0</v>
      </c>
      <c r="I93" s="22">
        <v>0</v>
      </c>
      <c r="J93" s="22">
        <v>40563</v>
      </c>
      <c r="K93" s="22">
        <v>0</v>
      </c>
      <c r="L93" s="22">
        <v>0</v>
      </c>
      <c r="M93" s="22">
        <v>0</v>
      </c>
      <c r="N93" s="22">
        <v>40813</v>
      </c>
      <c r="O93" s="22">
        <v>4081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36732</v>
      </c>
    </row>
    <row r="94" spans="1:22" ht="15" customHeight="1" x14ac:dyDescent="0.2">
      <c r="A94" s="22" t="s">
        <v>659</v>
      </c>
      <c r="B94" s="22" t="s">
        <v>660</v>
      </c>
      <c r="C94" s="22" t="s">
        <v>610</v>
      </c>
      <c r="D94" s="22">
        <v>0</v>
      </c>
      <c r="E94" s="22">
        <v>250</v>
      </c>
      <c r="F94" s="22">
        <v>0</v>
      </c>
      <c r="G94" s="22">
        <v>0</v>
      </c>
      <c r="H94" s="22">
        <v>0</v>
      </c>
      <c r="I94" s="22">
        <v>0</v>
      </c>
      <c r="J94" s="22">
        <v>19425</v>
      </c>
      <c r="K94" s="22">
        <v>0</v>
      </c>
      <c r="L94" s="22">
        <v>0</v>
      </c>
      <c r="M94" s="22">
        <v>0</v>
      </c>
      <c r="N94" s="22">
        <v>19675</v>
      </c>
      <c r="O94" s="22">
        <v>1968</v>
      </c>
      <c r="P94" s="22">
        <v>0</v>
      </c>
      <c r="Q94" s="22">
        <v>0</v>
      </c>
      <c r="R94" s="22">
        <v>0</v>
      </c>
      <c r="S94" s="22">
        <v>0</v>
      </c>
      <c r="T94" s="22">
        <v>17707</v>
      </c>
      <c r="U94" s="22">
        <v>0</v>
      </c>
      <c r="V94" s="22">
        <v>0</v>
      </c>
    </row>
    <row r="95" spans="1:22" ht="15" customHeight="1" x14ac:dyDescent="0.2">
      <c r="A95" s="22" t="s">
        <v>390</v>
      </c>
      <c r="B95" s="22" t="s">
        <v>661</v>
      </c>
      <c r="C95" s="22" t="s">
        <v>610</v>
      </c>
      <c r="D95" s="22">
        <v>0</v>
      </c>
      <c r="E95" s="22">
        <v>250</v>
      </c>
      <c r="F95" s="22">
        <v>0</v>
      </c>
      <c r="G95" s="22">
        <v>0</v>
      </c>
      <c r="H95" s="22">
        <v>0</v>
      </c>
      <c r="I95" s="22">
        <v>0</v>
      </c>
      <c r="J95" s="22">
        <v>42050</v>
      </c>
      <c r="K95" s="22">
        <v>5000</v>
      </c>
      <c r="L95" s="22">
        <v>0</v>
      </c>
      <c r="M95" s="22">
        <v>0</v>
      </c>
      <c r="N95" s="22">
        <v>47300</v>
      </c>
      <c r="O95" s="22">
        <v>4730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42570</v>
      </c>
    </row>
    <row r="96" spans="1:22" ht="15" customHeight="1" x14ac:dyDescent="0.2">
      <c r="A96" s="22" t="s">
        <v>662</v>
      </c>
      <c r="B96" s="22" t="s">
        <v>663</v>
      </c>
      <c r="C96" s="22" t="s">
        <v>610</v>
      </c>
      <c r="D96" s="22">
        <v>0</v>
      </c>
      <c r="E96" s="22">
        <v>250</v>
      </c>
      <c r="F96" s="22">
        <v>0</v>
      </c>
      <c r="G96" s="22">
        <v>0</v>
      </c>
      <c r="H96" s="22">
        <v>0</v>
      </c>
      <c r="I96" s="22">
        <v>0</v>
      </c>
      <c r="J96" s="22">
        <v>10938</v>
      </c>
      <c r="K96" s="22">
        <v>0</v>
      </c>
      <c r="L96" s="22">
        <v>0</v>
      </c>
      <c r="M96" s="22">
        <v>0</v>
      </c>
      <c r="N96" s="22">
        <v>11188</v>
      </c>
      <c r="O96" s="22">
        <v>1119</v>
      </c>
      <c r="P96" s="22">
        <v>0</v>
      </c>
      <c r="Q96" s="22">
        <v>0</v>
      </c>
      <c r="R96" s="22">
        <v>0</v>
      </c>
      <c r="S96" s="22">
        <v>0</v>
      </c>
      <c r="T96" s="22">
        <v>10069</v>
      </c>
      <c r="U96" s="22">
        <v>0</v>
      </c>
      <c r="V96" s="22">
        <v>0</v>
      </c>
    </row>
    <row r="97" spans="1:22" ht="15" customHeight="1" x14ac:dyDescent="0.2">
      <c r="A97" s="22" t="s">
        <v>407</v>
      </c>
      <c r="B97" s="22" t="s">
        <v>664</v>
      </c>
      <c r="C97" s="22" t="s">
        <v>610</v>
      </c>
      <c r="D97" s="22">
        <v>0</v>
      </c>
      <c r="E97" s="22">
        <v>250</v>
      </c>
      <c r="F97" s="22">
        <v>0</v>
      </c>
      <c r="G97" s="22">
        <v>0</v>
      </c>
      <c r="H97" s="22">
        <v>0</v>
      </c>
      <c r="I97" s="22">
        <v>0</v>
      </c>
      <c r="J97" s="22">
        <v>43563</v>
      </c>
      <c r="K97" s="22">
        <v>0</v>
      </c>
      <c r="L97" s="22">
        <v>0</v>
      </c>
      <c r="M97" s="22">
        <v>0</v>
      </c>
      <c r="N97" s="22">
        <v>43813</v>
      </c>
      <c r="O97" s="22">
        <v>4381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39432</v>
      </c>
    </row>
    <row r="98" spans="1:22" ht="15" customHeight="1" x14ac:dyDescent="0.2">
      <c r="A98" s="22" t="s">
        <v>421</v>
      </c>
      <c r="B98" s="22" t="s">
        <v>665</v>
      </c>
      <c r="C98" s="22" t="s">
        <v>610</v>
      </c>
      <c r="D98" s="22">
        <v>0</v>
      </c>
      <c r="E98" s="22">
        <v>400</v>
      </c>
      <c r="F98" s="22">
        <v>0</v>
      </c>
      <c r="G98" s="22">
        <v>0</v>
      </c>
      <c r="H98" s="22">
        <v>0</v>
      </c>
      <c r="I98" s="22">
        <v>0</v>
      </c>
      <c r="J98" s="22">
        <v>69107</v>
      </c>
      <c r="K98" s="22">
        <v>0</v>
      </c>
      <c r="L98" s="22">
        <v>0</v>
      </c>
      <c r="M98" s="22">
        <v>0</v>
      </c>
      <c r="N98" s="22">
        <v>69507</v>
      </c>
      <c r="O98" s="22">
        <v>6951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62556</v>
      </c>
    </row>
    <row r="99" spans="1:22" ht="15" customHeight="1" x14ac:dyDescent="0.2">
      <c r="A99" s="22" t="s">
        <v>426</v>
      </c>
      <c r="B99" s="22" t="s">
        <v>666</v>
      </c>
      <c r="C99" s="22" t="s">
        <v>610</v>
      </c>
      <c r="D99" s="22">
        <v>0</v>
      </c>
      <c r="E99" s="22">
        <v>250</v>
      </c>
      <c r="F99" s="22">
        <v>0</v>
      </c>
      <c r="G99" s="22">
        <v>0</v>
      </c>
      <c r="H99" s="22">
        <v>0</v>
      </c>
      <c r="I99" s="22">
        <v>0</v>
      </c>
      <c r="J99" s="22">
        <v>42125</v>
      </c>
      <c r="K99" s="22">
        <v>0</v>
      </c>
      <c r="L99" s="22">
        <v>0</v>
      </c>
      <c r="M99" s="22">
        <v>0</v>
      </c>
      <c r="N99" s="22">
        <v>42375</v>
      </c>
      <c r="O99" s="22">
        <v>4238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38137</v>
      </c>
    </row>
    <row r="100" spans="1:22" ht="15" customHeight="1" x14ac:dyDescent="0.2">
      <c r="A100" s="22" t="s">
        <v>431</v>
      </c>
      <c r="B100" s="22" t="s">
        <v>667</v>
      </c>
      <c r="C100" s="22" t="s">
        <v>610</v>
      </c>
      <c r="D100" s="22">
        <v>0</v>
      </c>
      <c r="E100" s="22">
        <v>200</v>
      </c>
      <c r="F100" s="22">
        <v>0</v>
      </c>
      <c r="G100" s="22">
        <v>0</v>
      </c>
      <c r="H100" s="22">
        <v>0</v>
      </c>
      <c r="I100" s="22">
        <v>0</v>
      </c>
      <c r="J100" s="22">
        <v>9770</v>
      </c>
      <c r="K100" s="22">
        <v>0</v>
      </c>
      <c r="L100" s="22">
        <v>0</v>
      </c>
      <c r="M100" s="22">
        <v>0</v>
      </c>
      <c r="N100" s="22">
        <v>9970</v>
      </c>
      <c r="O100" s="22">
        <v>997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8973</v>
      </c>
    </row>
    <row r="101" spans="1:22" ht="15" customHeight="1" x14ac:dyDescent="0.2">
      <c r="A101" s="22" t="s">
        <v>668</v>
      </c>
      <c r="B101" s="22" t="s">
        <v>669</v>
      </c>
      <c r="C101" s="22" t="s">
        <v>610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</row>
    <row r="102" spans="1:22" ht="15" customHeight="1" x14ac:dyDescent="0.2">
      <c r="A102" s="22" t="s">
        <v>434</v>
      </c>
      <c r="B102" s="22" t="s">
        <v>670</v>
      </c>
      <c r="C102" s="22" t="s">
        <v>610</v>
      </c>
      <c r="D102" s="22">
        <v>0</v>
      </c>
      <c r="E102" s="22">
        <v>350</v>
      </c>
      <c r="F102" s="22">
        <v>0</v>
      </c>
      <c r="G102" s="22">
        <v>0</v>
      </c>
      <c r="H102" s="22">
        <v>0</v>
      </c>
      <c r="I102" s="22">
        <v>0</v>
      </c>
      <c r="J102" s="22">
        <v>16823</v>
      </c>
      <c r="K102" s="22">
        <v>0</v>
      </c>
      <c r="L102" s="22">
        <v>0</v>
      </c>
      <c r="M102" s="22">
        <v>0</v>
      </c>
      <c r="N102" s="22">
        <v>17173</v>
      </c>
      <c r="O102" s="22">
        <v>1717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15456</v>
      </c>
    </row>
    <row r="103" spans="1:22" ht="15" customHeight="1" x14ac:dyDescent="0.2">
      <c r="A103" s="22" t="s">
        <v>437</v>
      </c>
      <c r="B103" s="22" t="s">
        <v>671</v>
      </c>
      <c r="C103" s="22" t="s">
        <v>610</v>
      </c>
      <c r="D103" s="22">
        <v>0</v>
      </c>
      <c r="E103" s="22">
        <v>250</v>
      </c>
      <c r="F103" s="22">
        <v>0</v>
      </c>
      <c r="G103" s="22">
        <v>0</v>
      </c>
      <c r="H103" s="22">
        <v>0</v>
      </c>
      <c r="I103" s="22">
        <v>0</v>
      </c>
      <c r="J103" s="22">
        <v>23579</v>
      </c>
      <c r="K103" s="22">
        <v>0</v>
      </c>
      <c r="L103" s="22">
        <v>0</v>
      </c>
      <c r="M103" s="22">
        <v>0</v>
      </c>
      <c r="N103" s="22">
        <v>23829</v>
      </c>
      <c r="O103" s="22">
        <v>2383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21446</v>
      </c>
    </row>
    <row r="104" spans="1:22" ht="15" customHeight="1" x14ac:dyDescent="0.2">
      <c r="A104" s="22" t="s">
        <v>441</v>
      </c>
      <c r="B104" s="22" t="s">
        <v>672</v>
      </c>
      <c r="C104" s="22" t="s">
        <v>610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</row>
    <row r="105" spans="1:22" ht="15" customHeight="1" x14ac:dyDescent="0.2">
      <c r="A105" s="22" t="s">
        <v>443</v>
      </c>
      <c r="B105" s="22" t="s">
        <v>673</v>
      </c>
      <c r="C105" s="22" t="s">
        <v>610</v>
      </c>
      <c r="D105" s="22">
        <v>0</v>
      </c>
      <c r="E105" s="22">
        <v>250</v>
      </c>
      <c r="F105" s="22">
        <v>0</v>
      </c>
      <c r="G105" s="22">
        <v>0</v>
      </c>
      <c r="H105" s="22">
        <v>0</v>
      </c>
      <c r="I105" s="22">
        <v>0</v>
      </c>
      <c r="J105" s="22">
        <v>30225</v>
      </c>
      <c r="K105" s="22">
        <v>0</v>
      </c>
      <c r="L105" s="22">
        <v>0</v>
      </c>
      <c r="M105" s="22">
        <v>0</v>
      </c>
      <c r="N105" s="22">
        <v>30475</v>
      </c>
      <c r="O105" s="22">
        <v>3048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27427</v>
      </c>
    </row>
    <row r="106" spans="1:22" ht="15" customHeight="1" x14ac:dyDescent="0.2">
      <c r="A106" s="22" t="s">
        <v>446</v>
      </c>
      <c r="B106" s="22" t="s">
        <v>674</v>
      </c>
      <c r="C106" s="22" t="s">
        <v>610</v>
      </c>
      <c r="D106" s="22">
        <v>0</v>
      </c>
      <c r="E106" s="22">
        <v>250</v>
      </c>
      <c r="F106" s="22">
        <v>0</v>
      </c>
      <c r="G106" s="22">
        <v>0</v>
      </c>
      <c r="H106" s="22">
        <v>0</v>
      </c>
      <c r="I106" s="22">
        <v>0</v>
      </c>
      <c r="J106" s="22">
        <v>40500</v>
      </c>
      <c r="K106" s="22">
        <v>0</v>
      </c>
      <c r="L106" s="22">
        <v>0</v>
      </c>
      <c r="M106" s="22">
        <v>0</v>
      </c>
      <c r="N106" s="22">
        <v>40750</v>
      </c>
      <c r="O106" s="22">
        <v>4075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36675</v>
      </c>
    </row>
    <row r="107" spans="1:22" ht="15" customHeight="1" x14ac:dyDescent="0.2">
      <c r="A107" s="22" t="s">
        <v>448</v>
      </c>
      <c r="B107" s="22" t="s">
        <v>675</v>
      </c>
      <c r="C107" s="22" t="s">
        <v>610</v>
      </c>
      <c r="D107" s="22">
        <v>0</v>
      </c>
      <c r="E107" s="22">
        <v>350</v>
      </c>
      <c r="F107" s="22">
        <v>0</v>
      </c>
      <c r="G107" s="22">
        <v>0</v>
      </c>
      <c r="H107" s="22">
        <v>0</v>
      </c>
      <c r="I107" s="22">
        <v>0</v>
      </c>
      <c r="J107" s="22">
        <v>19863</v>
      </c>
      <c r="K107" s="22">
        <v>0</v>
      </c>
      <c r="L107" s="22">
        <v>0</v>
      </c>
      <c r="M107" s="22">
        <v>0</v>
      </c>
      <c r="N107" s="22">
        <v>20213</v>
      </c>
      <c r="O107" s="22">
        <v>2021</v>
      </c>
      <c r="P107" s="22">
        <v>0</v>
      </c>
      <c r="Q107" s="22">
        <v>0</v>
      </c>
      <c r="R107" s="22">
        <v>0</v>
      </c>
      <c r="S107" s="22">
        <v>0</v>
      </c>
      <c r="T107" s="22">
        <v>18192</v>
      </c>
      <c r="U107" s="22">
        <v>0</v>
      </c>
      <c r="V107" s="22">
        <v>0</v>
      </c>
    </row>
    <row r="108" spans="1:22" ht="15" customHeight="1" x14ac:dyDescent="0.2">
      <c r="A108" s="22" t="s">
        <v>450</v>
      </c>
      <c r="B108" s="22" t="s">
        <v>676</v>
      </c>
      <c r="C108" s="22" t="s">
        <v>610</v>
      </c>
      <c r="D108" s="22">
        <v>0</v>
      </c>
      <c r="E108" s="22">
        <v>400</v>
      </c>
      <c r="F108" s="22">
        <v>0</v>
      </c>
      <c r="G108" s="22">
        <v>0</v>
      </c>
      <c r="H108" s="22">
        <v>0</v>
      </c>
      <c r="I108" s="22">
        <v>0</v>
      </c>
      <c r="J108" s="22">
        <v>56967</v>
      </c>
      <c r="K108" s="22">
        <v>0</v>
      </c>
      <c r="L108" s="22">
        <v>0</v>
      </c>
      <c r="M108" s="22">
        <v>0</v>
      </c>
      <c r="N108" s="22">
        <v>57367</v>
      </c>
      <c r="O108" s="22">
        <v>5737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51630</v>
      </c>
    </row>
    <row r="109" spans="1:22" ht="15" customHeight="1" x14ac:dyDescent="0.2">
      <c r="A109" s="22" t="s">
        <v>223</v>
      </c>
      <c r="B109" s="22" t="s">
        <v>677</v>
      </c>
      <c r="C109" s="22" t="s">
        <v>610</v>
      </c>
      <c r="D109" s="22">
        <v>0</v>
      </c>
      <c r="E109" s="22">
        <v>100000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20000</v>
      </c>
      <c r="L109" s="22">
        <v>0</v>
      </c>
      <c r="M109" s="22">
        <v>0</v>
      </c>
      <c r="N109" s="22">
        <v>120000</v>
      </c>
      <c r="O109" s="22">
        <v>12000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108000</v>
      </c>
    </row>
    <row r="110" spans="1:22" ht="15" customHeight="1" x14ac:dyDescent="0.2">
      <c r="A110" s="22" t="s">
        <v>262</v>
      </c>
      <c r="B110" s="22" t="s">
        <v>678</v>
      </c>
      <c r="C110" s="22" t="s">
        <v>610</v>
      </c>
      <c r="D110" s="22">
        <v>0</v>
      </c>
      <c r="E110" s="22">
        <v>102000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102000</v>
      </c>
      <c r="O110" s="22">
        <v>10200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91800</v>
      </c>
    </row>
    <row r="111" spans="1:22" ht="15" customHeight="1" x14ac:dyDescent="0.2">
      <c r="A111" s="22" t="s">
        <v>248</v>
      </c>
      <c r="B111" s="22" t="s">
        <v>679</v>
      </c>
      <c r="C111" s="22" t="s">
        <v>610</v>
      </c>
      <c r="D111" s="22">
        <v>0</v>
      </c>
      <c r="E111" s="22">
        <v>90000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90000</v>
      </c>
      <c r="O111" s="22">
        <v>9000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81000</v>
      </c>
    </row>
    <row r="112" spans="1:22" ht="15" customHeight="1" x14ac:dyDescent="0.2">
      <c r="A112" s="22" t="s">
        <v>172</v>
      </c>
      <c r="B112" s="22" t="s">
        <v>680</v>
      </c>
      <c r="C112" s="22" t="s">
        <v>610</v>
      </c>
      <c r="D112" s="22">
        <v>0</v>
      </c>
      <c r="E112" s="22">
        <v>32000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32000</v>
      </c>
      <c r="O112" s="22">
        <v>3200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28800</v>
      </c>
    </row>
    <row r="113" spans="1:22" ht="15" customHeight="1" x14ac:dyDescent="0.2">
      <c r="A113" s="22" t="s">
        <v>320</v>
      </c>
      <c r="B113" s="22" t="s">
        <v>681</v>
      </c>
      <c r="C113" s="22" t="s">
        <v>610</v>
      </c>
      <c r="D113" s="22">
        <v>0</v>
      </c>
      <c r="E113" s="22">
        <v>54258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8000</v>
      </c>
      <c r="L113" s="22">
        <v>0</v>
      </c>
      <c r="M113" s="22">
        <v>0</v>
      </c>
      <c r="N113" s="22">
        <v>62258</v>
      </c>
      <c r="O113" s="22">
        <v>6226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56032</v>
      </c>
    </row>
    <row r="114" spans="1:22" ht="15" customHeight="1" x14ac:dyDescent="0.2">
      <c r="A114" s="22" t="s">
        <v>393</v>
      </c>
      <c r="B114" s="22" t="s">
        <v>682</v>
      </c>
      <c r="C114" s="22" t="s">
        <v>610</v>
      </c>
      <c r="D114" s="22">
        <v>0</v>
      </c>
      <c r="E114" s="22">
        <v>28065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28065</v>
      </c>
      <c r="O114" s="22">
        <v>2807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25258</v>
      </c>
    </row>
    <row r="115" spans="1:22" ht="15" customHeight="1" x14ac:dyDescent="0.2">
      <c r="A115" s="22" t="s">
        <v>452</v>
      </c>
      <c r="B115" s="22" t="s">
        <v>683</v>
      </c>
      <c r="C115" s="22" t="s">
        <v>610</v>
      </c>
      <c r="D115" s="22">
        <v>0</v>
      </c>
      <c r="E115" s="22">
        <v>218</v>
      </c>
      <c r="F115" s="22">
        <v>0</v>
      </c>
      <c r="G115" s="22">
        <v>0</v>
      </c>
      <c r="H115" s="22">
        <v>0</v>
      </c>
      <c r="I115" s="22">
        <v>0</v>
      </c>
      <c r="J115" s="22">
        <v>38875</v>
      </c>
      <c r="K115" s="22">
        <v>32</v>
      </c>
      <c r="L115" s="22">
        <v>0</v>
      </c>
      <c r="M115" s="22">
        <v>0</v>
      </c>
      <c r="N115" s="22">
        <v>39125</v>
      </c>
      <c r="O115" s="22">
        <v>3913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35212</v>
      </c>
    </row>
    <row r="116" spans="1:22" ht="15" customHeight="1" x14ac:dyDescent="0.2">
      <c r="A116" s="22" t="s">
        <v>478</v>
      </c>
      <c r="B116" s="22" t="s">
        <v>684</v>
      </c>
      <c r="C116" s="22" t="s">
        <v>610</v>
      </c>
      <c r="D116" s="22">
        <v>0</v>
      </c>
      <c r="E116" s="22">
        <v>142</v>
      </c>
      <c r="F116" s="22">
        <v>0</v>
      </c>
      <c r="G116" s="22">
        <v>0</v>
      </c>
      <c r="H116" s="22">
        <v>0</v>
      </c>
      <c r="I116" s="22">
        <v>0</v>
      </c>
      <c r="J116" s="22">
        <v>18400</v>
      </c>
      <c r="K116" s="22">
        <v>258</v>
      </c>
      <c r="L116" s="22">
        <v>0</v>
      </c>
      <c r="M116" s="22">
        <v>0</v>
      </c>
      <c r="N116" s="22">
        <v>18800</v>
      </c>
      <c r="O116" s="22">
        <v>1880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16920</v>
      </c>
    </row>
    <row r="117" spans="1:22" ht="15" customHeight="1" x14ac:dyDescent="0.2">
      <c r="A117" s="22" t="s">
        <v>483</v>
      </c>
      <c r="B117" s="22" t="s">
        <v>685</v>
      </c>
      <c r="C117" s="22" t="s">
        <v>610</v>
      </c>
      <c r="D117" s="22">
        <v>0</v>
      </c>
      <c r="E117" s="22">
        <v>40</v>
      </c>
      <c r="F117" s="22">
        <v>0</v>
      </c>
      <c r="G117" s="22">
        <v>0</v>
      </c>
      <c r="H117" s="22">
        <v>0</v>
      </c>
      <c r="I117" s="22">
        <v>0</v>
      </c>
      <c r="J117" s="22">
        <v>5542</v>
      </c>
      <c r="K117" s="22">
        <v>210</v>
      </c>
      <c r="L117" s="22">
        <v>0</v>
      </c>
      <c r="M117" s="22">
        <v>0</v>
      </c>
      <c r="N117" s="22">
        <v>5792</v>
      </c>
      <c r="O117" s="22">
        <v>579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5213</v>
      </c>
    </row>
    <row r="118" spans="1:22" ht="15" customHeight="1" x14ac:dyDescent="0.2">
      <c r="A118" s="22" t="s">
        <v>485</v>
      </c>
      <c r="B118" s="22" t="s">
        <v>686</v>
      </c>
      <c r="C118" s="22" t="s">
        <v>610</v>
      </c>
      <c r="D118" s="22">
        <v>0</v>
      </c>
      <c r="E118" s="22">
        <v>40</v>
      </c>
      <c r="F118" s="22">
        <v>0</v>
      </c>
      <c r="G118" s="22">
        <v>0</v>
      </c>
      <c r="H118" s="22">
        <v>0</v>
      </c>
      <c r="I118" s="22">
        <v>0</v>
      </c>
      <c r="J118" s="22">
        <v>7250</v>
      </c>
      <c r="K118" s="22">
        <v>210</v>
      </c>
      <c r="L118" s="22">
        <v>0</v>
      </c>
      <c r="M118" s="22">
        <v>0</v>
      </c>
      <c r="N118" s="22">
        <v>7500</v>
      </c>
      <c r="O118" s="22">
        <v>750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6750</v>
      </c>
    </row>
    <row r="119" spans="1:22" ht="15" customHeight="1" x14ac:dyDescent="0.2">
      <c r="A119" s="22" t="s">
        <v>687</v>
      </c>
      <c r="B119" s="22" t="s">
        <v>688</v>
      </c>
      <c r="C119" s="22" t="s">
        <v>610</v>
      </c>
      <c r="D119" s="22">
        <v>0</v>
      </c>
      <c r="E119" s="22">
        <v>48</v>
      </c>
      <c r="F119" s="22">
        <v>0</v>
      </c>
      <c r="G119" s="22">
        <v>0</v>
      </c>
      <c r="H119" s="22">
        <v>0</v>
      </c>
      <c r="I119" s="22">
        <v>0</v>
      </c>
      <c r="J119" s="22">
        <v>6900</v>
      </c>
      <c r="K119" s="22">
        <v>252</v>
      </c>
      <c r="L119" s="22">
        <v>0</v>
      </c>
      <c r="M119" s="22">
        <v>0</v>
      </c>
      <c r="N119" s="22">
        <v>7200</v>
      </c>
      <c r="O119" s="22">
        <v>720</v>
      </c>
      <c r="P119" s="22">
        <v>0</v>
      </c>
      <c r="Q119" s="22">
        <v>0</v>
      </c>
      <c r="R119" s="22">
        <v>0</v>
      </c>
      <c r="S119" s="22">
        <v>0</v>
      </c>
      <c r="T119" s="22">
        <v>6480</v>
      </c>
      <c r="U119" s="22">
        <v>0</v>
      </c>
      <c r="V119" s="22">
        <v>0</v>
      </c>
    </row>
    <row r="120" spans="1:22" ht="15" customHeight="1" x14ac:dyDescent="0.2">
      <c r="A120" s="22" t="s">
        <v>489</v>
      </c>
      <c r="B120" s="22" t="s">
        <v>689</v>
      </c>
      <c r="C120" s="22" t="s">
        <v>610</v>
      </c>
      <c r="D120" s="22">
        <v>0</v>
      </c>
      <c r="E120" s="22">
        <v>40</v>
      </c>
      <c r="F120" s="22">
        <v>0</v>
      </c>
      <c r="G120" s="22">
        <v>0</v>
      </c>
      <c r="H120" s="22">
        <v>0</v>
      </c>
      <c r="I120" s="22">
        <v>0</v>
      </c>
      <c r="J120" s="22">
        <v>4250</v>
      </c>
      <c r="K120" s="22">
        <v>210</v>
      </c>
      <c r="L120" s="22">
        <v>0</v>
      </c>
      <c r="M120" s="22">
        <v>0</v>
      </c>
      <c r="N120" s="22">
        <v>4500</v>
      </c>
      <c r="O120" s="22">
        <v>450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4050</v>
      </c>
    </row>
    <row r="121" spans="1:22" ht="15" customHeight="1" x14ac:dyDescent="0.2">
      <c r="A121" s="22" t="s">
        <v>291</v>
      </c>
      <c r="B121" s="22" t="s">
        <v>690</v>
      </c>
      <c r="C121" s="22" t="s">
        <v>610</v>
      </c>
      <c r="D121" s="22">
        <v>0</v>
      </c>
      <c r="E121" s="22">
        <v>500</v>
      </c>
      <c r="F121" s="22">
        <v>0</v>
      </c>
      <c r="G121" s="22">
        <v>0</v>
      </c>
      <c r="H121" s="22">
        <v>0</v>
      </c>
      <c r="I121" s="22">
        <v>0</v>
      </c>
      <c r="J121" s="22">
        <v>38700</v>
      </c>
      <c r="K121" s="22">
        <v>0</v>
      </c>
      <c r="L121" s="22">
        <v>0</v>
      </c>
      <c r="M121" s="22">
        <v>0</v>
      </c>
      <c r="N121" s="22">
        <v>39200</v>
      </c>
      <c r="O121" s="22">
        <v>3920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35280</v>
      </c>
    </row>
    <row r="122" spans="1:22" ht="15" customHeight="1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spans="1:22" ht="15" customHeight="1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spans="1:22" ht="15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spans="1:22" ht="15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spans="1:22" ht="15" customHeight="1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spans="1:22" ht="15" customHeight="1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spans="1:22" ht="15" customHeight="1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spans="1:22" ht="15" customHeight="1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spans="1:22" ht="15" customHeight="1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spans="1:22" ht="15" customHeight="1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spans="1:22" ht="15" customHeight="1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spans="1:22" ht="15" customHeight="1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spans="1:22" ht="15" customHeight="1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spans="1:22" ht="15" customHeight="1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spans="1:22" ht="15" customHeight="1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spans="1:22" ht="15" customHeight="1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spans="1:22" ht="15" customHeight="1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spans="1:22" ht="15" customHeight="1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spans="1:22" ht="15" customHeight="1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spans="1:22" ht="15" customHeight="1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spans="1:22" ht="15" customHeight="1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spans="1:22" ht="15" customHeight="1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spans="1:22" ht="15" customHeight="1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spans="1:22" ht="15" customHeight="1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spans="1:22" ht="15" customHeight="1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spans="1:22" ht="15" customHeight="1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spans="1:22" ht="15" customHeight="1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spans="1:22" ht="15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spans="1:22" ht="15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spans="1:22" ht="15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spans="1:22" ht="15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spans="1:22" ht="15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spans="1:22" ht="15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spans="1:22" ht="15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spans="1:22" ht="15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spans="1:22" ht="15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spans="1:22" ht="15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spans="1:22" ht="15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spans="1:22" ht="15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spans="1:22" ht="15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spans="1:22" ht="15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spans="1:22" ht="15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spans="1:22" ht="15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spans="1:22" ht="15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spans="1:22" ht="15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spans="1:22" ht="15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spans="1:22" ht="15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spans="1:22" ht="15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spans="1:22" ht="15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spans="1:22" ht="15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spans="1:22" ht="15" customHeight="1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spans="1:22" ht="15" customHeight="1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spans="1:22" ht="15" customHeight="1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spans="1:22" ht="15" customHeight="1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spans="1:22" ht="15" customHeight="1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spans="1:22" ht="15" customHeight="1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spans="1:22" ht="15" customHeight="1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spans="1:22" ht="15" customHeight="1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spans="1:22" ht="15" customHeight="1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spans="1:22" ht="15" customHeight="1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spans="1:22" ht="15" customHeight="1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spans="1:22" ht="15" customHeight="1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spans="1:22" ht="15" customHeight="1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spans="1:22" ht="15" customHeight="1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spans="1:22" ht="15" customHeight="1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spans="1:22" ht="15" customHeight="1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spans="1:22" ht="15" customHeight="1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spans="1:22" ht="15" customHeight="1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spans="1:22" ht="15" customHeight="1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spans="1:22" ht="15" customHeight="1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spans="1:22" ht="15" customHeight="1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spans="1:22" ht="15" customHeight="1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spans="1:22" ht="15" customHeight="1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spans="1:22" ht="15" customHeight="1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spans="1:22" ht="15" customHeight="1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spans="1:22" ht="15" customHeight="1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spans="1:22" ht="15" customHeight="1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spans="1:22" ht="15" customHeight="1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spans="1:22" ht="15" customHeight="1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spans="1:22" ht="15" customHeight="1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spans="1:22" ht="15" customHeight="1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spans="1:22" ht="15" customHeight="1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</sheetData>
  <mergeCells count="2">
    <mergeCell ref="A1:V1"/>
    <mergeCell ref="A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AF50"/>
  </sheetPr>
  <dimension ref="A1:L104"/>
  <sheetViews>
    <sheetView zoomScaleNormal="100" workbookViewId="0"/>
  </sheetViews>
  <sheetFormatPr baseColWidth="10" defaultColWidth="8.6640625" defaultRowHeight="15" customHeight="1" x14ac:dyDescent="0.2"/>
  <cols>
    <col min="1" max="1" width="6" customWidth="1"/>
    <col min="2" max="2" width="36" customWidth="1"/>
    <col min="3" max="3" width="28" customWidth="1"/>
    <col min="4" max="4" width="24" customWidth="1"/>
    <col min="5" max="6" width="18" customWidth="1"/>
    <col min="9" max="9" width="14" customWidth="1"/>
    <col min="10" max="11" width="12" customWidth="1"/>
    <col min="12" max="12" width="14" customWidth="1"/>
  </cols>
  <sheetData>
    <row r="1" spans="1:12" ht="17.25" customHeight="1" x14ac:dyDescent="0.2">
      <c r="A1" s="144" t="s">
        <v>691</v>
      </c>
      <c r="B1" s="144"/>
      <c r="C1" s="144"/>
      <c r="D1" s="144"/>
      <c r="E1" s="144"/>
      <c r="F1" s="144"/>
    </row>
    <row r="2" spans="1:12" ht="15" customHeight="1" x14ac:dyDescent="0.2">
      <c r="A2" s="145" t="s">
        <v>692</v>
      </c>
      <c r="B2" s="145"/>
      <c r="C2" s="145"/>
      <c r="D2" s="145"/>
      <c r="E2" s="145"/>
      <c r="F2" s="145"/>
      <c r="I2" s="3" t="s">
        <v>693</v>
      </c>
    </row>
    <row r="3" spans="1:12" ht="23.25" customHeight="1" x14ac:dyDescent="0.2">
      <c r="A3" s="24" t="s">
        <v>694</v>
      </c>
      <c r="B3" s="24" t="s">
        <v>695</v>
      </c>
      <c r="C3" s="24" t="s">
        <v>66</v>
      </c>
      <c r="D3" s="24" t="s">
        <v>696</v>
      </c>
      <c r="E3" s="24" t="s">
        <v>697</v>
      </c>
      <c r="F3" s="24" t="s">
        <v>698</v>
      </c>
      <c r="G3" s="13" t="s">
        <v>699</v>
      </c>
      <c r="H3" s="25">
        <f>Settings!B8</f>
        <v>85</v>
      </c>
      <c r="I3" s="26" t="s">
        <v>700</v>
      </c>
      <c r="J3" s="26" t="s">
        <v>701</v>
      </c>
      <c r="K3" s="26" t="s">
        <v>702</v>
      </c>
      <c r="L3" s="26" t="s">
        <v>703</v>
      </c>
    </row>
    <row r="4" spans="1:12" ht="15" customHeight="1" x14ac:dyDescent="0.2">
      <c r="A4" s="27">
        <v>1</v>
      </c>
      <c r="B4" s="22" t="s">
        <v>100</v>
      </c>
      <c r="C4" s="22" t="s">
        <v>704</v>
      </c>
      <c r="D4" s="22" t="s">
        <v>705</v>
      </c>
      <c r="E4" s="28">
        <v>2600</v>
      </c>
      <c r="F4" s="29">
        <f>IF(E4="",0,E4*Settings!B8)</f>
        <v>221000</v>
      </c>
      <c r="I4" s="30" t="s">
        <v>706</v>
      </c>
      <c r="J4" s="30">
        <v>640</v>
      </c>
      <c r="K4" s="30">
        <v>89</v>
      </c>
      <c r="L4" s="30" t="s">
        <v>707</v>
      </c>
    </row>
    <row r="5" spans="1:12" ht="15" customHeight="1" x14ac:dyDescent="0.2">
      <c r="A5" s="27">
        <v>2</v>
      </c>
      <c r="B5" s="22" t="s">
        <v>115</v>
      </c>
      <c r="C5" s="22" t="s">
        <v>177</v>
      </c>
      <c r="D5" s="22" t="s">
        <v>148</v>
      </c>
      <c r="E5" s="28">
        <v>1800</v>
      </c>
      <c r="F5" s="29">
        <f>IF(E5="",0,E5*Settings!B8)</f>
        <v>153000</v>
      </c>
      <c r="I5" s="30" t="s">
        <v>708</v>
      </c>
      <c r="J5" s="30">
        <v>161</v>
      </c>
      <c r="K5" s="30"/>
      <c r="L5" s="30" t="s">
        <v>709</v>
      </c>
    </row>
    <row r="6" spans="1:12" ht="15" customHeight="1" x14ac:dyDescent="0.2">
      <c r="A6" s="27">
        <v>3</v>
      </c>
      <c r="B6" s="22" t="s">
        <v>131</v>
      </c>
      <c r="C6" s="22" t="s">
        <v>177</v>
      </c>
      <c r="D6" s="22" t="s">
        <v>148</v>
      </c>
      <c r="E6" s="28">
        <v>2320</v>
      </c>
      <c r="F6" s="29">
        <f>IF(E6="",0,E6*Settings!B8)</f>
        <v>197200</v>
      </c>
      <c r="I6" s="30" t="s">
        <v>710</v>
      </c>
      <c r="J6" s="30">
        <v>320</v>
      </c>
      <c r="K6" s="30"/>
      <c r="L6" s="30" t="s">
        <v>709</v>
      </c>
    </row>
    <row r="7" spans="1:12" ht="23.25" customHeight="1" x14ac:dyDescent="0.2">
      <c r="A7" s="27">
        <v>4</v>
      </c>
      <c r="B7" s="22" t="s">
        <v>711</v>
      </c>
      <c r="C7" s="22" t="s">
        <v>177</v>
      </c>
      <c r="D7" s="22" t="s">
        <v>148</v>
      </c>
      <c r="E7" s="28">
        <v>1500</v>
      </c>
      <c r="F7" s="29">
        <f>IF(E7="",0,E7*Settings!B8)</f>
        <v>127500</v>
      </c>
      <c r="I7" s="30" t="s">
        <v>710</v>
      </c>
      <c r="J7" s="30">
        <v>320</v>
      </c>
      <c r="K7" s="30"/>
      <c r="L7" s="30" t="s">
        <v>709</v>
      </c>
    </row>
    <row r="8" spans="1:12" ht="15" customHeight="1" x14ac:dyDescent="0.2">
      <c r="A8" s="27">
        <v>5</v>
      </c>
      <c r="B8" s="22" t="s">
        <v>86</v>
      </c>
      <c r="C8" s="22" t="s">
        <v>190</v>
      </c>
      <c r="D8" s="22" t="s">
        <v>148</v>
      </c>
      <c r="E8" s="28">
        <v>650</v>
      </c>
      <c r="F8" s="29">
        <f>IF(E8="",0,E8*Settings!B8)</f>
        <v>55250</v>
      </c>
      <c r="I8" s="30" t="s">
        <v>712</v>
      </c>
      <c r="J8" s="30">
        <v>40</v>
      </c>
      <c r="K8" s="30">
        <v>13</v>
      </c>
      <c r="L8" s="30" t="s">
        <v>707</v>
      </c>
    </row>
    <row r="9" spans="1:12" ht="23.25" customHeight="1" x14ac:dyDescent="0.2">
      <c r="A9" s="27">
        <v>6</v>
      </c>
      <c r="B9" s="22" t="s">
        <v>89</v>
      </c>
      <c r="C9" s="22" t="s">
        <v>145</v>
      </c>
      <c r="D9" s="22" t="s">
        <v>148</v>
      </c>
      <c r="E9" s="28">
        <v>2600</v>
      </c>
      <c r="F9" s="29">
        <f>IF(E9="",0,E9*Settings!B8)</f>
        <v>221000</v>
      </c>
      <c r="I9" s="30" t="s">
        <v>713</v>
      </c>
      <c r="J9" s="30">
        <v>400</v>
      </c>
      <c r="K9" s="30">
        <v>41</v>
      </c>
      <c r="L9" s="30" t="s">
        <v>707</v>
      </c>
    </row>
    <row r="10" spans="1:12" ht="15" customHeight="1" x14ac:dyDescent="0.2">
      <c r="A10" s="27">
        <v>7</v>
      </c>
      <c r="B10" s="22" t="s">
        <v>714</v>
      </c>
      <c r="C10" s="22" t="s">
        <v>190</v>
      </c>
      <c r="D10" s="22" t="s">
        <v>148</v>
      </c>
      <c r="E10" s="28">
        <v>1800</v>
      </c>
      <c r="F10" s="29">
        <f>IF(E10="",0,E10*Settings!B8)</f>
        <v>153000</v>
      </c>
      <c r="I10" s="30" t="s">
        <v>715</v>
      </c>
      <c r="J10" s="30">
        <v>240</v>
      </c>
      <c r="K10" s="30">
        <v>27</v>
      </c>
      <c r="L10" s="30" t="s">
        <v>709</v>
      </c>
    </row>
    <row r="11" spans="1:12" ht="15" customHeight="1" x14ac:dyDescent="0.2">
      <c r="A11" s="27">
        <v>8</v>
      </c>
      <c r="B11" s="22" t="s">
        <v>716</v>
      </c>
      <c r="C11" s="22" t="s">
        <v>704</v>
      </c>
      <c r="D11" s="22" t="s">
        <v>717</v>
      </c>
      <c r="E11" s="28">
        <v>1200</v>
      </c>
      <c r="F11" s="29">
        <f>IF(E11="",0,E11*Settings!B8)</f>
        <v>102000</v>
      </c>
      <c r="I11" s="30" t="s">
        <v>718</v>
      </c>
      <c r="J11" s="30">
        <v>160</v>
      </c>
      <c r="K11" s="30">
        <v>41</v>
      </c>
      <c r="L11" s="30" t="s">
        <v>707</v>
      </c>
    </row>
    <row r="12" spans="1:12" ht="15" customHeight="1" x14ac:dyDescent="0.2">
      <c r="A12" s="27">
        <v>9</v>
      </c>
      <c r="B12" s="22" t="s">
        <v>719</v>
      </c>
      <c r="C12" s="22" t="s">
        <v>720</v>
      </c>
      <c r="D12" s="22" t="s">
        <v>705</v>
      </c>
      <c r="E12" s="28">
        <v>1440</v>
      </c>
      <c r="F12" s="29">
        <f>IF(E12="",0,E12*Settings!B8)</f>
        <v>122400</v>
      </c>
      <c r="I12" s="30" t="s">
        <v>721</v>
      </c>
      <c r="J12" s="30">
        <v>400</v>
      </c>
      <c r="K12" s="30">
        <v>38</v>
      </c>
      <c r="L12" s="30" t="s">
        <v>707</v>
      </c>
    </row>
    <row r="13" spans="1:12" ht="15" customHeight="1" x14ac:dyDescent="0.2">
      <c r="A13" s="27">
        <v>10</v>
      </c>
      <c r="B13" s="22" t="s">
        <v>97</v>
      </c>
      <c r="C13" s="22" t="s">
        <v>194</v>
      </c>
      <c r="D13" s="22" t="s">
        <v>148</v>
      </c>
      <c r="E13" s="28">
        <v>350</v>
      </c>
      <c r="F13" s="29">
        <f>IF(E13="",0,E13*Settings!B8)</f>
        <v>29750</v>
      </c>
      <c r="I13" s="30" t="s">
        <v>722</v>
      </c>
      <c r="J13" s="30">
        <v>40</v>
      </c>
      <c r="K13" s="30">
        <v>7</v>
      </c>
      <c r="L13" s="30" t="s">
        <v>707</v>
      </c>
    </row>
    <row r="14" spans="1:12" ht="15" customHeight="1" x14ac:dyDescent="0.2">
      <c r="A14" s="27">
        <v>11</v>
      </c>
      <c r="B14" s="22" t="s">
        <v>93</v>
      </c>
      <c r="C14" s="22" t="s">
        <v>723</v>
      </c>
      <c r="D14" s="22" t="s">
        <v>724</v>
      </c>
      <c r="E14" s="28">
        <v>1880</v>
      </c>
      <c r="F14" s="29">
        <f>IF(E14="",0,E14*Settings!B8)</f>
        <v>159800</v>
      </c>
      <c r="I14" s="30" t="s">
        <v>725</v>
      </c>
      <c r="J14" s="30">
        <v>320</v>
      </c>
      <c r="K14" s="30">
        <v>64</v>
      </c>
      <c r="L14" s="30" t="s">
        <v>709</v>
      </c>
    </row>
    <row r="15" spans="1:12" ht="15" customHeight="1" x14ac:dyDescent="0.2">
      <c r="A15" s="27">
        <v>12</v>
      </c>
      <c r="B15" s="22" t="s">
        <v>726</v>
      </c>
      <c r="C15" s="22" t="s">
        <v>190</v>
      </c>
      <c r="D15" s="22" t="s">
        <v>148</v>
      </c>
      <c r="E15" s="28">
        <v>1200</v>
      </c>
      <c r="F15" s="29">
        <f>IF(E15="",0,E15*Settings!B8)</f>
        <v>102000</v>
      </c>
      <c r="I15" s="30" t="s">
        <v>727</v>
      </c>
      <c r="J15" s="30">
        <v>160</v>
      </c>
      <c r="K15" s="30"/>
      <c r="L15" s="30" t="s">
        <v>707</v>
      </c>
    </row>
    <row r="16" spans="1:12" ht="15" customHeight="1" x14ac:dyDescent="0.2">
      <c r="A16" s="27">
        <v>13</v>
      </c>
      <c r="B16" s="22" t="s">
        <v>126</v>
      </c>
      <c r="C16" s="22" t="s">
        <v>190</v>
      </c>
      <c r="D16" s="22" t="s">
        <v>148</v>
      </c>
      <c r="E16" s="28">
        <v>1000</v>
      </c>
      <c r="F16" s="29">
        <f>IF(E16="",0,E16*Settings!B8)</f>
        <v>85000</v>
      </c>
      <c r="I16" s="30" t="s">
        <v>728</v>
      </c>
      <c r="J16" s="30">
        <v>160</v>
      </c>
      <c r="K16" s="30">
        <v>31</v>
      </c>
      <c r="L16" s="30" t="s">
        <v>709</v>
      </c>
    </row>
    <row r="17" spans="1:12" ht="15" customHeight="1" x14ac:dyDescent="0.2">
      <c r="A17" s="27">
        <v>14</v>
      </c>
      <c r="B17" s="22" t="s">
        <v>106</v>
      </c>
      <c r="C17" s="22" t="s">
        <v>729</v>
      </c>
      <c r="D17" s="22" t="s">
        <v>730</v>
      </c>
      <c r="E17" s="28">
        <v>2640</v>
      </c>
      <c r="F17" s="29">
        <f>IF(E17="",0,E17*Settings!B8)</f>
        <v>224400</v>
      </c>
      <c r="I17" s="30" t="s">
        <v>731</v>
      </c>
      <c r="J17" s="30">
        <v>480</v>
      </c>
      <c r="K17" s="30">
        <v>72</v>
      </c>
      <c r="L17" s="30" t="s">
        <v>707</v>
      </c>
    </row>
    <row r="18" spans="1:12" ht="15" customHeight="1" x14ac:dyDescent="0.2">
      <c r="A18" s="27">
        <v>15</v>
      </c>
      <c r="B18" s="22" t="s">
        <v>732</v>
      </c>
      <c r="C18" s="22" t="s">
        <v>190</v>
      </c>
      <c r="D18" s="22" t="s">
        <v>148</v>
      </c>
      <c r="E18" s="28">
        <v>800</v>
      </c>
      <c r="F18" s="29">
        <f>IF(E18="",0,E18*Settings!B8)</f>
        <v>68000</v>
      </c>
      <c r="I18" s="30" t="s">
        <v>733</v>
      </c>
      <c r="J18" s="30">
        <v>80</v>
      </c>
      <c r="K18" s="30">
        <v>16</v>
      </c>
      <c r="L18" s="30" t="s">
        <v>707</v>
      </c>
    </row>
    <row r="19" spans="1:12" ht="15" customHeight="1" x14ac:dyDescent="0.2">
      <c r="A19" s="27">
        <v>16</v>
      </c>
      <c r="B19" s="22" t="s">
        <v>88</v>
      </c>
      <c r="C19" s="22" t="s">
        <v>145</v>
      </c>
      <c r="D19" s="22" t="s">
        <v>148</v>
      </c>
      <c r="E19" s="28">
        <v>700</v>
      </c>
      <c r="F19" s="29">
        <f>IF(E19="",0,E19*Settings!B8)</f>
        <v>59500</v>
      </c>
      <c r="I19" s="30" t="s">
        <v>734</v>
      </c>
      <c r="J19" s="30">
        <v>140</v>
      </c>
      <c r="K19" s="30">
        <v>11</v>
      </c>
      <c r="L19" s="30" t="s">
        <v>709</v>
      </c>
    </row>
    <row r="20" spans="1:12" ht="15" customHeight="1" x14ac:dyDescent="0.2">
      <c r="A20" s="27">
        <v>17</v>
      </c>
      <c r="B20" s="22" t="s">
        <v>108</v>
      </c>
      <c r="C20" s="22" t="s">
        <v>190</v>
      </c>
      <c r="D20" s="22" t="s">
        <v>148</v>
      </c>
      <c r="E20" s="28">
        <v>800</v>
      </c>
      <c r="F20" s="29">
        <f>IF(E20="",0,E20*Settings!B8)</f>
        <v>68000</v>
      </c>
      <c r="I20" s="30" t="s">
        <v>735</v>
      </c>
      <c r="J20" s="30">
        <v>80</v>
      </c>
      <c r="K20" s="30">
        <v>44</v>
      </c>
      <c r="L20" s="30" t="s">
        <v>709</v>
      </c>
    </row>
    <row r="21" spans="1:12" ht="15" customHeight="1" x14ac:dyDescent="0.2">
      <c r="A21" s="27">
        <v>18</v>
      </c>
      <c r="B21" s="22" t="s">
        <v>124</v>
      </c>
      <c r="C21" s="22" t="s">
        <v>720</v>
      </c>
      <c r="D21" s="22" t="s">
        <v>730</v>
      </c>
      <c r="E21" s="28">
        <v>3600</v>
      </c>
      <c r="F21" s="29">
        <f>IF(E21="",0,E21*Settings!B8)</f>
        <v>306000</v>
      </c>
      <c r="I21" s="30" t="s">
        <v>736</v>
      </c>
      <c r="J21" s="30">
        <v>480</v>
      </c>
      <c r="K21" s="30">
        <v>50</v>
      </c>
      <c r="L21" s="30" t="s">
        <v>709</v>
      </c>
    </row>
    <row r="22" spans="1:12" ht="15" customHeight="1" x14ac:dyDescent="0.2">
      <c r="A22" s="27">
        <v>19</v>
      </c>
      <c r="B22" s="22" t="s">
        <v>110</v>
      </c>
      <c r="C22" s="22" t="s">
        <v>194</v>
      </c>
      <c r="D22" s="22" t="s">
        <v>148</v>
      </c>
      <c r="E22" s="28">
        <v>1900</v>
      </c>
      <c r="F22" s="29">
        <f>IF(E22="",0,E22*Settings!B8)</f>
        <v>161500</v>
      </c>
      <c r="I22" s="30" t="s">
        <v>737</v>
      </c>
      <c r="J22" s="30">
        <v>400</v>
      </c>
      <c r="K22" s="30">
        <v>1</v>
      </c>
      <c r="L22" s="30" t="s">
        <v>707</v>
      </c>
    </row>
    <row r="23" spans="1:12" ht="15" customHeight="1" x14ac:dyDescent="0.2">
      <c r="A23" s="27">
        <v>20</v>
      </c>
      <c r="B23" s="22" t="s">
        <v>118</v>
      </c>
      <c r="C23" s="22" t="s">
        <v>194</v>
      </c>
      <c r="D23" s="22" t="s">
        <v>148</v>
      </c>
      <c r="E23" s="28">
        <v>1000</v>
      </c>
      <c r="F23" s="29">
        <f>IF(E23="",0,E23*Settings!B8)</f>
        <v>85000</v>
      </c>
      <c r="I23" s="30" t="s">
        <v>738</v>
      </c>
      <c r="J23" s="30">
        <v>160</v>
      </c>
      <c r="K23" s="30">
        <v>1</v>
      </c>
      <c r="L23" s="30" t="s">
        <v>707</v>
      </c>
    </row>
    <row r="24" spans="1:12" ht="15" customHeight="1" x14ac:dyDescent="0.2">
      <c r="A24" s="27">
        <v>21</v>
      </c>
      <c r="B24" s="22" t="s">
        <v>114</v>
      </c>
      <c r="C24" s="22" t="s">
        <v>190</v>
      </c>
      <c r="D24" s="22" t="s">
        <v>148</v>
      </c>
      <c r="E24" s="28">
        <v>1000</v>
      </c>
      <c r="F24" s="29">
        <f>IF(E24="",0,E24*Settings!B8)</f>
        <v>85000</v>
      </c>
      <c r="I24" s="30" t="s">
        <v>739</v>
      </c>
      <c r="J24" s="30">
        <v>160</v>
      </c>
      <c r="K24" s="30">
        <v>14</v>
      </c>
      <c r="L24" s="30" t="s">
        <v>709</v>
      </c>
    </row>
    <row r="25" spans="1:12" ht="15" customHeight="1" x14ac:dyDescent="0.2">
      <c r="A25" s="27">
        <v>22</v>
      </c>
      <c r="B25" s="22" t="s">
        <v>740</v>
      </c>
      <c r="C25" s="22" t="s">
        <v>145</v>
      </c>
      <c r="D25" s="22" t="s">
        <v>148</v>
      </c>
      <c r="E25" s="28">
        <v>3400</v>
      </c>
      <c r="F25" s="29">
        <f>IF(E25="",0,E25*Settings!B8)</f>
        <v>289000</v>
      </c>
      <c r="I25" s="30" t="s">
        <v>741</v>
      </c>
      <c r="J25" s="30">
        <v>320</v>
      </c>
      <c r="K25" s="30">
        <v>29</v>
      </c>
      <c r="L25" s="30" t="s">
        <v>707</v>
      </c>
    </row>
    <row r="26" spans="1:12" ht="15" customHeight="1" x14ac:dyDescent="0.2">
      <c r="A26" s="27">
        <v>23</v>
      </c>
      <c r="B26" s="22" t="s">
        <v>101</v>
      </c>
      <c r="C26" s="22" t="s">
        <v>190</v>
      </c>
      <c r="D26" s="22" t="s">
        <v>148</v>
      </c>
      <c r="E26" s="28">
        <v>600</v>
      </c>
      <c r="F26" s="29">
        <f>IF(E26="",0,E26*Settings!B8)</f>
        <v>51000</v>
      </c>
      <c r="I26" s="30" t="s">
        <v>742</v>
      </c>
      <c r="J26" s="30">
        <v>80</v>
      </c>
      <c r="K26" s="30">
        <v>12</v>
      </c>
      <c r="L26" s="30" t="s">
        <v>709</v>
      </c>
    </row>
    <row r="27" spans="1:12" ht="15" customHeight="1" x14ac:dyDescent="0.2">
      <c r="A27" s="27">
        <v>24</v>
      </c>
      <c r="B27" s="22" t="s">
        <v>743</v>
      </c>
      <c r="C27" s="22" t="s">
        <v>194</v>
      </c>
      <c r="D27" s="22" t="s">
        <v>148</v>
      </c>
      <c r="E27" s="28">
        <v>1000</v>
      </c>
      <c r="F27" s="29">
        <f>IF(E27="",0,E27*Settings!B8)</f>
        <v>85000</v>
      </c>
      <c r="I27" s="30" t="s">
        <v>744</v>
      </c>
      <c r="J27" s="30">
        <v>160</v>
      </c>
      <c r="K27" s="30">
        <v>12</v>
      </c>
      <c r="L27" s="30" t="s">
        <v>707</v>
      </c>
    </row>
    <row r="28" spans="1:12" ht="15" customHeight="1" x14ac:dyDescent="0.2">
      <c r="A28" s="27">
        <v>25</v>
      </c>
      <c r="B28" s="22" t="s">
        <v>745</v>
      </c>
      <c r="C28" s="22" t="s">
        <v>194</v>
      </c>
      <c r="D28" s="22" t="s">
        <v>148</v>
      </c>
      <c r="E28" s="28">
        <v>3600</v>
      </c>
      <c r="F28" s="29">
        <f>IF(E28="",0,E28*Settings!B8)</f>
        <v>306000</v>
      </c>
      <c r="I28" s="30" t="s">
        <v>746</v>
      </c>
      <c r="J28" s="30">
        <v>480</v>
      </c>
      <c r="K28" s="30">
        <v>40</v>
      </c>
      <c r="L28" s="30" t="s">
        <v>707</v>
      </c>
    </row>
    <row r="29" spans="1:12" ht="15" customHeight="1" x14ac:dyDescent="0.2">
      <c r="A29" s="27">
        <v>26</v>
      </c>
      <c r="B29" s="22" t="s">
        <v>747</v>
      </c>
      <c r="C29" s="22" t="s">
        <v>190</v>
      </c>
      <c r="D29" s="22" t="s">
        <v>148</v>
      </c>
      <c r="E29" s="28">
        <v>500</v>
      </c>
      <c r="F29" s="29">
        <f>IF(E29="",0,E29*Settings!B8)</f>
        <v>42500</v>
      </c>
      <c r="I29" s="30" t="s">
        <v>748</v>
      </c>
      <c r="J29" s="30">
        <v>160</v>
      </c>
      <c r="K29" s="30">
        <v>2</v>
      </c>
      <c r="L29" s="30" t="s">
        <v>709</v>
      </c>
    </row>
    <row r="30" spans="1:12" ht="15" customHeight="1" x14ac:dyDescent="0.2">
      <c r="A30" s="27">
        <v>27</v>
      </c>
      <c r="B30" s="22" t="s">
        <v>119</v>
      </c>
      <c r="C30" s="22" t="s">
        <v>145</v>
      </c>
      <c r="D30" s="22" t="s">
        <v>148</v>
      </c>
      <c r="E30" s="28">
        <v>1000</v>
      </c>
      <c r="F30" s="29">
        <f>IF(E30="",0,E30*Settings!B8)</f>
        <v>85000</v>
      </c>
      <c r="I30" s="30" t="s">
        <v>749</v>
      </c>
      <c r="J30" s="30">
        <v>160</v>
      </c>
      <c r="K30" s="30">
        <v>18</v>
      </c>
      <c r="L30" s="30" t="s">
        <v>709</v>
      </c>
    </row>
    <row r="31" spans="1:12" ht="15" customHeight="1" x14ac:dyDescent="0.2">
      <c r="A31" s="27">
        <v>28</v>
      </c>
      <c r="B31" s="22" t="s">
        <v>750</v>
      </c>
      <c r="C31" s="22" t="s">
        <v>751</v>
      </c>
      <c r="D31" s="22" t="s">
        <v>148</v>
      </c>
      <c r="E31" s="28">
        <v>3200</v>
      </c>
      <c r="F31" s="29">
        <f>IF(E31="",0,E31*Settings!B8)</f>
        <v>272000</v>
      </c>
      <c r="I31" s="30" t="s">
        <v>752</v>
      </c>
      <c r="J31" s="30">
        <v>240</v>
      </c>
      <c r="K31" s="30">
        <v>41</v>
      </c>
      <c r="L31" s="30" t="s">
        <v>709</v>
      </c>
    </row>
    <row r="32" spans="1:12" ht="15" customHeight="1" x14ac:dyDescent="0.2">
      <c r="A32" s="27">
        <v>29</v>
      </c>
      <c r="B32" s="22" t="s">
        <v>90</v>
      </c>
      <c r="C32" s="22" t="s">
        <v>145</v>
      </c>
      <c r="D32" s="22" t="s">
        <v>148</v>
      </c>
      <c r="E32" s="28">
        <v>1000</v>
      </c>
      <c r="F32" s="29">
        <f>IF(E32="",0,E32*Settings!B8)</f>
        <v>85000</v>
      </c>
      <c r="I32" s="30" t="s">
        <v>753</v>
      </c>
      <c r="J32" s="30">
        <v>161</v>
      </c>
      <c r="K32" s="30">
        <v>9</v>
      </c>
      <c r="L32" s="30" t="s">
        <v>707</v>
      </c>
    </row>
    <row r="33" spans="1:12" ht="15" customHeight="1" x14ac:dyDescent="0.2">
      <c r="A33" s="27">
        <v>30</v>
      </c>
      <c r="B33" s="22" t="s">
        <v>127</v>
      </c>
      <c r="C33" s="22" t="s">
        <v>145</v>
      </c>
      <c r="D33" s="22" t="s">
        <v>148</v>
      </c>
      <c r="E33" s="28">
        <v>400</v>
      </c>
      <c r="F33" s="29">
        <f>IF(E33="",0,E33*Settings!B8)</f>
        <v>34000</v>
      </c>
      <c r="I33" s="30" t="s">
        <v>754</v>
      </c>
      <c r="J33" s="30">
        <v>40</v>
      </c>
      <c r="K33" s="30">
        <v>4</v>
      </c>
      <c r="L33" s="30" t="s">
        <v>709</v>
      </c>
    </row>
    <row r="34" spans="1:12" ht="15" customHeight="1" x14ac:dyDescent="0.2">
      <c r="A34" s="27">
        <v>31</v>
      </c>
      <c r="B34" s="22" t="s">
        <v>755</v>
      </c>
      <c r="C34" s="22" t="s">
        <v>756</v>
      </c>
      <c r="D34" s="22" t="s">
        <v>757</v>
      </c>
      <c r="E34" s="28">
        <v>21820</v>
      </c>
      <c r="F34" s="29">
        <f>IF(E34="",0,E34*Settings!B8)</f>
        <v>1854700</v>
      </c>
      <c r="I34" s="30" t="s">
        <v>758</v>
      </c>
      <c r="J34" s="30">
        <v>960</v>
      </c>
      <c r="K34" s="30">
        <v>1</v>
      </c>
      <c r="L34" s="30" t="s">
        <v>759</v>
      </c>
    </row>
    <row r="35" spans="1:12" ht="15" customHeight="1" x14ac:dyDescent="0.2">
      <c r="A35" s="27">
        <v>32</v>
      </c>
      <c r="B35" s="22" t="s">
        <v>123</v>
      </c>
      <c r="C35" s="22" t="s">
        <v>704</v>
      </c>
      <c r="D35" s="22" t="s">
        <v>717</v>
      </c>
      <c r="E35" s="28">
        <v>250</v>
      </c>
      <c r="F35" s="29">
        <f>IF(E35="",0,E35*Settings!B8)</f>
        <v>21250</v>
      </c>
      <c r="I35" s="30" t="s">
        <v>760</v>
      </c>
      <c r="J35" s="30">
        <v>220</v>
      </c>
      <c r="K35" s="30">
        <v>23</v>
      </c>
      <c r="L35" s="30" t="s">
        <v>707</v>
      </c>
    </row>
    <row r="36" spans="1:12" ht="15" customHeight="1" x14ac:dyDescent="0.2">
      <c r="A36" s="27">
        <v>33</v>
      </c>
      <c r="B36" s="22" t="s">
        <v>116</v>
      </c>
      <c r="C36" s="22" t="s">
        <v>194</v>
      </c>
      <c r="D36" s="22" t="s">
        <v>148</v>
      </c>
      <c r="E36" s="28">
        <v>600</v>
      </c>
      <c r="F36" s="29">
        <f>IF(E36="",0,E36*Settings!B8)</f>
        <v>51000</v>
      </c>
      <c r="I36" s="30" t="s">
        <v>761</v>
      </c>
      <c r="J36" s="30">
        <v>80</v>
      </c>
      <c r="K36" s="30">
        <v>31</v>
      </c>
      <c r="L36" s="30" t="s">
        <v>707</v>
      </c>
    </row>
    <row r="37" spans="1:12" ht="15" customHeight="1" x14ac:dyDescent="0.2">
      <c r="A37" s="27">
        <v>34</v>
      </c>
      <c r="B37" s="22" t="s">
        <v>111</v>
      </c>
      <c r="C37" s="22" t="s">
        <v>145</v>
      </c>
      <c r="D37" s="22" t="s">
        <v>148</v>
      </c>
      <c r="E37" s="28">
        <v>1200</v>
      </c>
      <c r="F37" s="29">
        <f>IF(E37="",0,E37*Settings!B8)</f>
        <v>102000</v>
      </c>
      <c r="I37" s="30" t="s">
        <v>762</v>
      </c>
      <c r="J37" s="30">
        <v>160</v>
      </c>
      <c r="K37" s="30">
        <v>14</v>
      </c>
      <c r="L37" s="30" t="s">
        <v>709</v>
      </c>
    </row>
    <row r="38" spans="1:12" ht="15" customHeight="1" x14ac:dyDescent="0.2">
      <c r="A38" s="27">
        <v>35</v>
      </c>
      <c r="B38" s="22" t="s">
        <v>102</v>
      </c>
      <c r="C38" s="22" t="s">
        <v>194</v>
      </c>
      <c r="D38" s="22" t="s">
        <v>148</v>
      </c>
      <c r="E38" s="28">
        <v>600</v>
      </c>
      <c r="F38" s="29">
        <f>IF(E38="",0,E38*Settings!B8)</f>
        <v>51000</v>
      </c>
      <c r="I38" s="30" t="s">
        <v>763</v>
      </c>
      <c r="J38" s="30">
        <v>140</v>
      </c>
      <c r="K38" s="30">
        <v>7</v>
      </c>
      <c r="L38" s="30" t="s">
        <v>707</v>
      </c>
    </row>
    <row r="39" spans="1:12" ht="15" customHeight="1" x14ac:dyDescent="0.2">
      <c r="A39" s="27">
        <v>36</v>
      </c>
      <c r="B39" s="22" t="s">
        <v>141</v>
      </c>
      <c r="C39" s="22" t="s">
        <v>190</v>
      </c>
      <c r="D39" s="22" t="s">
        <v>148</v>
      </c>
      <c r="E39" s="28">
        <v>1100</v>
      </c>
      <c r="F39" s="29">
        <f>IF(E39="",0,E39*Settings!B8)</f>
        <v>93500</v>
      </c>
      <c r="I39" s="30" t="s">
        <v>764</v>
      </c>
      <c r="J39" s="30">
        <v>200</v>
      </c>
      <c r="K39" s="30">
        <v>10</v>
      </c>
      <c r="L39" s="30" t="s">
        <v>707</v>
      </c>
    </row>
    <row r="40" spans="1:12" ht="15" customHeight="1" x14ac:dyDescent="0.2">
      <c r="A40" s="27">
        <v>37</v>
      </c>
      <c r="B40" s="22" t="s">
        <v>135</v>
      </c>
      <c r="C40" s="22" t="s">
        <v>190</v>
      </c>
      <c r="D40" s="22" t="s">
        <v>148</v>
      </c>
      <c r="E40" s="28">
        <v>2600</v>
      </c>
      <c r="F40" s="29">
        <f>IF(E40="",0,E40*Settings!B8)</f>
        <v>221000</v>
      </c>
      <c r="I40" s="30" t="s">
        <v>765</v>
      </c>
      <c r="J40" s="30">
        <v>320</v>
      </c>
      <c r="K40" s="30"/>
      <c r="L40" s="30" t="s">
        <v>709</v>
      </c>
    </row>
    <row r="41" spans="1:12" ht="15" customHeight="1" x14ac:dyDescent="0.2">
      <c r="A41" s="27">
        <v>38</v>
      </c>
      <c r="B41" s="22" t="s">
        <v>117</v>
      </c>
      <c r="C41" s="22" t="s">
        <v>194</v>
      </c>
      <c r="D41" s="22" t="s">
        <v>148</v>
      </c>
      <c r="E41" s="28">
        <v>4000</v>
      </c>
      <c r="F41" s="29">
        <f>IF(E41="",0,E41*Settings!B8)</f>
        <v>340000</v>
      </c>
      <c r="I41" s="30" t="s">
        <v>766</v>
      </c>
      <c r="J41" s="30">
        <v>480</v>
      </c>
      <c r="K41" s="30">
        <v>68</v>
      </c>
      <c r="L41" s="30" t="s">
        <v>707</v>
      </c>
    </row>
    <row r="42" spans="1:12" ht="15" customHeight="1" x14ac:dyDescent="0.2">
      <c r="A42" s="27">
        <v>39</v>
      </c>
      <c r="B42" s="22" t="s">
        <v>140</v>
      </c>
      <c r="C42" s="22" t="s">
        <v>190</v>
      </c>
      <c r="D42" s="22" t="s">
        <v>148</v>
      </c>
      <c r="E42" s="28">
        <v>600</v>
      </c>
      <c r="F42" s="29">
        <f>IF(E42="",0,E42*Settings!B8)</f>
        <v>51000</v>
      </c>
      <c r="I42" s="30" t="s">
        <v>767</v>
      </c>
      <c r="J42" s="30">
        <v>80</v>
      </c>
      <c r="K42" s="30">
        <v>23</v>
      </c>
      <c r="L42" s="30" t="s">
        <v>709</v>
      </c>
    </row>
    <row r="43" spans="1:12" ht="15" customHeight="1" x14ac:dyDescent="0.2">
      <c r="A43" s="27">
        <v>40</v>
      </c>
      <c r="B43" s="22" t="s">
        <v>98</v>
      </c>
      <c r="C43" s="22" t="s">
        <v>145</v>
      </c>
      <c r="D43" s="22" t="s">
        <v>148</v>
      </c>
      <c r="E43" s="28">
        <v>2000</v>
      </c>
      <c r="F43" s="29">
        <f>IF(E43="",0,E43*Settings!B8)</f>
        <v>170000</v>
      </c>
      <c r="I43" s="30" t="s">
        <v>768</v>
      </c>
      <c r="J43" s="30">
        <v>240</v>
      </c>
      <c r="K43" s="30">
        <v>33</v>
      </c>
      <c r="L43" s="30" t="s">
        <v>707</v>
      </c>
    </row>
    <row r="44" spans="1:12" ht="15" customHeight="1" x14ac:dyDescent="0.2">
      <c r="A44" s="27">
        <v>41</v>
      </c>
      <c r="B44" s="22" t="s">
        <v>85</v>
      </c>
      <c r="C44" s="22" t="s">
        <v>145</v>
      </c>
      <c r="D44" s="22" t="s">
        <v>148</v>
      </c>
      <c r="E44" s="28">
        <v>1200</v>
      </c>
      <c r="F44" s="29">
        <f>IF(E44="",0,E44*Settings!B8)</f>
        <v>102000</v>
      </c>
      <c r="I44" s="30" t="s">
        <v>769</v>
      </c>
      <c r="J44" s="30">
        <v>160</v>
      </c>
      <c r="K44" s="30">
        <v>19</v>
      </c>
      <c r="L44" s="30" t="s">
        <v>707</v>
      </c>
    </row>
    <row r="45" spans="1:12" ht="15" customHeight="1" x14ac:dyDescent="0.2">
      <c r="A45" s="27">
        <v>42</v>
      </c>
      <c r="B45" s="22" t="s">
        <v>80</v>
      </c>
      <c r="C45" s="22" t="s">
        <v>145</v>
      </c>
      <c r="D45" s="22" t="s">
        <v>148</v>
      </c>
      <c r="E45" s="28">
        <v>5800</v>
      </c>
      <c r="F45" s="29">
        <f>IF(E45="",0,E45*Settings!B8)</f>
        <v>493000</v>
      </c>
      <c r="I45" s="30" t="s">
        <v>770</v>
      </c>
      <c r="J45" s="30">
        <v>640</v>
      </c>
      <c r="K45" s="30">
        <v>55</v>
      </c>
      <c r="L45" s="30" t="s">
        <v>709</v>
      </c>
    </row>
    <row r="46" spans="1:12" ht="15" customHeight="1" x14ac:dyDescent="0.2">
      <c r="A46" s="27">
        <v>43</v>
      </c>
      <c r="B46" s="22" t="s">
        <v>132</v>
      </c>
      <c r="C46" s="22" t="s">
        <v>720</v>
      </c>
      <c r="D46" s="22" t="s">
        <v>730</v>
      </c>
      <c r="E46" s="28">
        <v>1800</v>
      </c>
      <c r="F46" s="29">
        <f>IF(E46="",0,E46*Settings!B8)</f>
        <v>153000</v>
      </c>
      <c r="I46" s="30" t="s">
        <v>771</v>
      </c>
      <c r="J46" s="30">
        <v>220</v>
      </c>
      <c r="K46" s="30">
        <v>23</v>
      </c>
      <c r="L46" s="30" t="s">
        <v>707</v>
      </c>
    </row>
    <row r="47" spans="1:12" ht="15" customHeight="1" x14ac:dyDescent="0.2">
      <c r="A47" s="27">
        <v>44</v>
      </c>
      <c r="B47" s="22" t="s">
        <v>772</v>
      </c>
      <c r="C47" s="22" t="s">
        <v>773</v>
      </c>
      <c r="D47" s="22" t="s">
        <v>413</v>
      </c>
      <c r="E47" s="28">
        <v>12550</v>
      </c>
      <c r="F47" s="29">
        <f>IF(E47="",0,E47*Settings!B8)</f>
        <v>1066750</v>
      </c>
      <c r="I47" s="30" t="s">
        <v>774</v>
      </c>
      <c r="J47" s="30">
        <v>640</v>
      </c>
      <c r="K47" s="30"/>
      <c r="L47" s="30" t="s">
        <v>707</v>
      </c>
    </row>
    <row r="48" spans="1:12" ht="15" customHeight="1" x14ac:dyDescent="0.2">
      <c r="A48" s="27">
        <v>45</v>
      </c>
      <c r="B48" s="22" t="s">
        <v>103</v>
      </c>
      <c r="C48" s="22" t="s">
        <v>145</v>
      </c>
      <c r="D48" s="22" t="s">
        <v>148</v>
      </c>
      <c r="E48" s="28">
        <v>1200</v>
      </c>
      <c r="F48" s="29">
        <f>IF(E48="",0,E48*Settings!B8)</f>
        <v>102000</v>
      </c>
      <c r="I48" s="30" t="s">
        <v>775</v>
      </c>
      <c r="J48" s="30">
        <v>160</v>
      </c>
      <c r="K48" s="30">
        <v>13</v>
      </c>
      <c r="L48" s="30" t="s">
        <v>707</v>
      </c>
    </row>
    <row r="49" spans="1:12" ht="15" customHeight="1" x14ac:dyDescent="0.2">
      <c r="A49" s="27">
        <v>46</v>
      </c>
      <c r="B49" s="22" t="s">
        <v>81</v>
      </c>
      <c r="C49" s="22" t="s">
        <v>190</v>
      </c>
      <c r="D49" s="22" t="s">
        <v>148</v>
      </c>
      <c r="E49" s="28">
        <v>3400</v>
      </c>
      <c r="F49" s="29">
        <f>IF(E49="",0,E49*Settings!B8)</f>
        <v>289000</v>
      </c>
      <c r="I49" s="30" t="s">
        <v>776</v>
      </c>
      <c r="J49" s="30">
        <v>480</v>
      </c>
      <c r="K49" s="30">
        <v>10</v>
      </c>
      <c r="L49" s="30" t="s">
        <v>707</v>
      </c>
    </row>
    <row r="50" spans="1:12" ht="15" customHeight="1" x14ac:dyDescent="0.2">
      <c r="A50" s="27">
        <v>47</v>
      </c>
      <c r="B50" s="22" t="s">
        <v>133</v>
      </c>
      <c r="C50" s="22" t="s">
        <v>190</v>
      </c>
      <c r="D50" s="22" t="s">
        <v>148</v>
      </c>
      <c r="E50" s="28">
        <v>600</v>
      </c>
      <c r="F50" s="29">
        <f>IF(E50="",0,E50*Settings!B8)</f>
        <v>51000</v>
      </c>
      <c r="I50" s="30" t="s">
        <v>777</v>
      </c>
      <c r="J50" s="30">
        <v>80</v>
      </c>
      <c r="K50" s="30">
        <v>14</v>
      </c>
      <c r="L50" s="30" t="s">
        <v>707</v>
      </c>
    </row>
    <row r="51" spans="1:12" ht="15" customHeight="1" x14ac:dyDescent="0.2">
      <c r="A51" s="27">
        <v>48</v>
      </c>
      <c r="B51" s="22" t="s">
        <v>94</v>
      </c>
      <c r="C51" s="22" t="s">
        <v>194</v>
      </c>
      <c r="D51" s="22" t="s">
        <v>148</v>
      </c>
      <c r="E51" s="28">
        <v>700</v>
      </c>
      <c r="F51" s="29">
        <f>IF(E51="",0,E51*Settings!B8)</f>
        <v>59500</v>
      </c>
      <c r="I51" s="30" t="s">
        <v>778</v>
      </c>
      <c r="J51" s="30">
        <v>80</v>
      </c>
      <c r="K51" s="30">
        <v>11</v>
      </c>
      <c r="L51" s="30" t="s">
        <v>707</v>
      </c>
    </row>
    <row r="52" spans="1:12" ht="15" customHeight="1" x14ac:dyDescent="0.2">
      <c r="A52" s="27">
        <v>49</v>
      </c>
      <c r="B52" s="22" t="s">
        <v>113</v>
      </c>
      <c r="C52" s="22" t="s">
        <v>145</v>
      </c>
      <c r="D52" s="22" t="s">
        <v>148</v>
      </c>
      <c r="E52" s="28">
        <v>1200</v>
      </c>
      <c r="F52" s="29">
        <f>IF(E52="",0,E52*Settings!B8)</f>
        <v>102000</v>
      </c>
      <c r="I52" s="30" t="s">
        <v>779</v>
      </c>
      <c r="J52" s="30">
        <v>160</v>
      </c>
      <c r="K52" s="30">
        <v>13</v>
      </c>
      <c r="L52" s="30" t="s">
        <v>707</v>
      </c>
    </row>
    <row r="53" spans="1:12" ht="15" customHeight="1" x14ac:dyDescent="0.2">
      <c r="A53" s="27">
        <v>50</v>
      </c>
      <c r="B53" s="22" t="s">
        <v>83</v>
      </c>
      <c r="C53" s="22" t="s">
        <v>720</v>
      </c>
      <c r="D53" s="22" t="s">
        <v>730</v>
      </c>
      <c r="E53" s="28">
        <v>1200</v>
      </c>
      <c r="F53" s="29">
        <f>IF(E53="",0,E53*Settings!B8)</f>
        <v>102000</v>
      </c>
      <c r="I53" s="30" t="s">
        <v>780</v>
      </c>
      <c r="J53" s="30">
        <v>240</v>
      </c>
      <c r="K53" s="30">
        <v>25</v>
      </c>
      <c r="L53" s="30" t="s">
        <v>707</v>
      </c>
    </row>
    <row r="54" spans="1:12" ht="15" customHeight="1" x14ac:dyDescent="0.2">
      <c r="A54" s="27">
        <v>51</v>
      </c>
      <c r="B54" s="22" t="s">
        <v>109</v>
      </c>
      <c r="C54" s="22" t="s">
        <v>190</v>
      </c>
      <c r="D54" s="22" t="s">
        <v>148</v>
      </c>
      <c r="E54" s="28">
        <v>0</v>
      </c>
      <c r="F54" s="29">
        <f>IF(E54="",0,E54*Settings!B8)</f>
        <v>0</v>
      </c>
      <c r="I54" s="30" t="s">
        <v>781</v>
      </c>
      <c r="J54" s="30">
        <v>80</v>
      </c>
      <c r="K54" s="30">
        <v>5</v>
      </c>
      <c r="L54" s="30" t="s">
        <v>707</v>
      </c>
    </row>
    <row r="55" spans="1:12" ht="23.25" customHeight="1" x14ac:dyDescent="0.2">
      <c r="A55" s="27">
        <v>52</v>
      </c>
      <c r="B55" s="22" t="s">
        <v>105</v>
      </c>
      <c r="C55" s="22" t="s">
        <v>194</v>
      </c>
      <c r="D55" s="22" t="s">
        <v>148</v>
      </c>
      <c r="E55" s="28">
        <v>450</v>
      </c>
      <c r="F55" s="29">
        <f>IF(E55="",0,E55*Settings!B8)</f>
        <v>38250</v>
      </c>
      <c r="I55" s="30" t="s">
        <v>782</v>
      </c>
      <c r="J55" s="30">
        <v>80</v>
      </c>
      <c r="K55" s="30">
        <v>9</v>
      </c>
      <c r="L55" s="30" t="s">
        <v>707</v>
      </c>
    </row>
    <row r="56" spans="1:12" ht="15" customHeight="1" x14ac:dyDescent="0.2">
      <c r="A56" s="27">
        <v>53</v>
      </c>
      <c r="B56" s="22" t="s">
        <v>120</v>
      </c>
      <c r="C56" s="22" t="s">
        <v>194</v>
      </c>
      <c r="D56" s="22" t="s">
        <v>148</v>
      </c>
      <c r="E56" s="28">
        <v>450</v>
      </c>
      <c r="F56" s="29">
        <f>IF(E56="",0,E56*Settings!B8)</f>
        <v>38250</v>
      </c>
      <c r="I56" s="30" t="s">
        <v>783</v>
      </c>
      <c r="J56" s="30">
        <v>40</v>
      </c>
      <c r="K56" s="30">
        <v>2</v>
      </c>
      <c r="L56" s="30" t="s">
        <v>707</v>
      </c>
    </row>
    <row r="57" spans="1:12" ht="15" customHeight="1" x14ac:dyDescent="0.2">
      <c r="A57" s="27">
        <v>54</v>
      </c>
      <c r="B57" s="22" t="s">
        <v>78</v>
      </c>
      <c r="C57" s="22" t="s">
        <v>145</v>
      </c>
      <c r="D57" s="22" t="s">
        <v>148</v>
      </c>
      <c r="E57" s="28">
        <v>1200</v>
      </c>
      <c r="F57" s="29">
        <f>IF(E57="",0,E57*Settings!B8)</f>
        <v>102000</v>
      </c>
      <c r="I57" s="30" t="s">
        <v>784</v>
      </c>
      <c r="J57" s="30">
        <v>160</v>
      </c>
      <c r="K57" s="30">
        <v>14</v>
      </c>
      <c r="L57" s="30" t="s">
        <v>707</v>
      </c>
    </row>
    <row r="58" spans="1:12" ht="15" customHeight="1" x14ac:dyDescent="0.2">
      <c r="A58" s="27">
        <v>55</v>
      </c>
      <c r="B58" s="22" t="s">
        <v>77</v>
      </c>
      <c r="C58" s="22" t="s">
        <v>704</v>
      </c>
      <c r="D58" s="22" t="s">
        <v>717</v>
      </c>
      <c r="E58" s="28">
        <v>3600</v>
      </c>
      <c r="F58" s="29">
        <f>IF(E58="",0,E58*Settings!B8)</f>
        <v>306000</v>
      </c>
      <c r="I58" s="30" t="s">
        <v>785</v>
      </c>
      <c r="J58" s="30">
        <v>240</v>
      </c>
      <c r="K58" s="30">
        <v>22</v>
      </c>
      <c r="L58" s="30" t="s">
        <v>707</v>
      </c>
    </row>
    <row r="59" spans="1:12" ht="15" customHeight="1" x14ac:dyDescent="0.2">
      <c r="A59" s="27">
        <v>56</v>
      </c>
      <c r="B59" s="22" t="s">
        <v>121</v>
      </c>
      <c r="C59" s="22" t="s">
        <v>786</v>
      </c>
      <c r="D59" s="22" t="s">
        <v>238</v>
      </c>
      <c r="E59" s="28">
        <v>8300</v>
      </c>
      <c r="F59" s="29">
        <f>IF(E59="",0,E59*Settings!B8)</f>
        <v>705500</v>
      </c>
      <c r="I59" s="30" t="s">
        <v>787</v>
      </c>
      <c r="J59" s="30">
        <v>200</v>
      </c>
      <c r="K59" s="30"/>
      <c r="L59" s="30" t="s">
        <v>707</v>
      </c>
    </row>
    <row r="60" spans="1:12" ht="15" customHeight="1" x14ac:dyDescent="0.2">
      <c r="A60" s="27">
        <v>57</v>
      </c>
      <c r="B60" s="22" t="s">
        <v>788</v>
      </c>
      <c r="C60" s="22" t="s">
        <v>789</v>
      </c>
      <c r="D60" s="22" t="s">
        <v>730</v>
      </c>
      <c r="E60" s="28">
        <v>3000</v>
      </c>
      <c r="F60" s="29">
        <f>IF(E60="",0,E60*Settings!B8)</f>
        <v>255000</v>
      </c>
      <c r="I60" s="30" t="s">
        <v>790</v>
      </c>
      <c r="J60" s="30">
        <v>240</v>
      </c>
      <c r="K60" s="30">
        <v>41</v>
      </c>
      <c r="L60" s="30" t="s">
        <v>707</v>
      </c>
    </row>
    <row r="61" spans="1:12" ht="15" customHeight="1" x14ac:dyDescent="0.2">
      <c r="A61" s="27">
        <v>58</v>
      </c>
      <c r="B61" s="22" t="s">
        <v>791</v>
      </c>
      <c r="C61" s="22" t="s">
        <v>145</v>
      </c>
      <c r="D61" s="22" t="s">
        <v>148</v>
      </c>
      <c r="E61" s="28">
        <v>1400</v>
      </c>
      <c r="F61" s="29">
        <f>IF(E61="",0,E61*Settings!B8)</f>
        <v>119000</v>
      </c>
      <c r="I61" s="30" t="s">
        <v>792</v>
      </c>
      <c r="J61" s="30">
        <v>160</v>
      </c>
      <c r="K61" s="30"/>
      <c r="L61" s="30" t="s">
        <v>707</v>
      </c>
    </row>
    <row r="62" spans="1:12" ht="15" customHeight="1" x14ac:dyDescent="0.2">
      <c r="A62" s="27">
        <v>59</v>
      </c>
      <c r="B62" s="22" t="s">
        <v>138</v>
      </c>
      <c r="C62" s="22" t="s">
        <v>160</v>
      </c>
      <c r="D62" s="22" t="s">
        <v>148</v>
      </c>
      <c r="E62" s="28">
        <v>1800</v>
      </c>
      <c r="F62" s="29">
        <f>IF(E62="",0,E62*Settings!B8)</f>
        <v>153000</v>
      </c>
      <c r="I62" s="30" t="s">
        <v>793</v>
      </c>
      <c r="J62" s="30">
        <v>480</v>
      </c>
      <c r="K62" s="30">
        <v>1</v>
      </c>
      <c r="L62" s="30" t="s">
        <v>707</v>
      </c>
    </row>
    <row r="63" spans="1:12" ht="15" customHeight="1" x14ac:dyDescent="0.2">
      <c r="A63" s="27">
        <v>60</v>
      </c>
      <c r="B63" s="22" t="s">
        <v>122</v>
      </c>
      <c r="C63" s="22" t="s">
        <v>190</v>
      </c>
      <c r="D63" s="22" t="s">
        <v>148</v>
      </c>
      <c r="E63" s="28">
        <v>500</v>
      </c>
      <c r="F63" s="29">
        <f>IF(E63="",0,E63*Settings!B8)</f>
        <v>42500</v>
      </c>
      <c r="I63" s="30" t="s">
        <v>794</v>
      </c>
      <c r="J63" s="30">
        <v>80</v>
      </c>
      <c r="K63" s="30">
        <v>3</v>
      </c>
      <c r="L63" s="30" t="s">
        <v>707</v>
      </c>
    </row>
    <row r="64" spans="1:12" ht="15" customHeight="1" x14ac:dyDescent="0.2">
      <c r="A64" s="27">
        <v>61</v>
      </c>
      <c r="B64" s="22" t="s">
        <v>125</v>
      </c>
      <c r="C64" s="22"/>
      <c r="D64" s="22"/>
      <c r="E64" s="28">
        <v>1400</v>
      </c>
      <c r="F64" s="29">
        <f>IF(E64="",0,E64*Settings!B8)</f>
        <v>119000</v>
      </c>
      <c r="I64" s="30" t="s">
        <v>795</v>
      </c>
      <c r="J64" s="30">
        <v>160</v>
      </c>
      <c r="K64" s="30"/>
      <c r="L64" s="30" t="s">
        <v>707</v>
      </c>
    </row>
    <row r="65" spans="1:6" ht="15" customHeight="1" x14ac:dyDescent="0.2">
      <c r="A65" t="str">
        <f t="shared" ref="A65:A103" si="0">IF(B65="","",ROW()-3)</f>
        <v/>
      </c>
      <c r="B65" s="22"/>
      <c r="C65" s="22"/>
      <c r="D65" s="22"/>
      <c r="E65" s="22"/>
      <c r="F65" s="29">
        <f>IF(E65="",0,E65*Settings!B8)</f>
        <v>0</v>
      </c>
    </row>
    <row r="66" spans="1:6" ht="15" customHeight="1" x14ac:dyDescent="0.2">
      <c r="A66" t="str">
        <f t="shared" si="0"/>
        <v/>
      </c>
      <c r="B66" s="22"/>
      <c r="C66" s="22"/>
      <c r="D66" s="22"/>
      <c r="E66" s="22"/>
      <c r="F66" s="29">
        <f>IF(E66="",0,E66*Settings!B8)</f>
        <v>0</v>
      </c>
    </row>
    <row r="67" spans="1:6" ht="15" customHeight="1" x14ac:dyDescent="0.2">
      <c r="A67" t="str">
        <f t="shared" si="0"/>
        <v/>
      </c>
      <c r="B67" s="22"/>
      <c r="C67" s="22"/>
      <c r="D67" s="22"/>
      <c r="E67" s="22"/>
      <c r="F67" s="29">
        <f>IF(E67="",0,E67*Settings!B8)</f>
        <v>0</v>
      </c>
    </row>
    <row r="68" spans="1:6" ht="15" customHeight="1" x14ac:dyDescent="0.2">
      <c r="A68" t="str">
        <f t="shared" si="0"/>
        <v/>
      </c>
      <c r="B68" s="22"/>
      <c r="C68" s="22"/>
      <c r="D68" s="22"/>
      <c r="E68" s="22"/>
      <c r="F68" s="29">
        <f>IF(E68="",0,E68*Settings!B8)</f>
        <v>0</v>
      </c>
    </row>
    <row r="69" spans="1:6" ht="15" customHeight="1" x14ac:dyDescent="0.2">
      <c r="A69" t="str">
        <f t="shared" si="0"/>
        <v/>
      </c>
      <c r="B69" s="22"/>
      <c r="C69" s="22"/>
      <c r="D69" s="22"/>
      <c r="E69" s="22"/>
      <c r="F69" s="29">
        <f>IF(E69="",0,E69*Settings!B8)</f>
        <v>0</v>
      </c>
    </row>
    <row r="70" spans="1:6" ht="15" customHeight="1" x14ac:dyDescent="0.2">
      <c r="A70" t="str">
        <f t="shared" si="0"/>
        <v/>
      </c>
      <c r="B70" s="22"/>
      <c r="C70" s="22"/>
      <c r="D70" s="22"/>
      <c r="E70" s="22"/>
      <c r="F70" s="29">
        <f>IF(E70="",0,E70*Settings!B8)</f>
        <v>0</v>
      </c>
    </row>
    <row r="71" spans="1:6" ht="15" customHeight="1" x14ac:dyDescent="0.2">
      <c r="A71" t="str">
        <f t="shared" si="0"/>
        <v/>
      </c>
      <c r="B71" s="22"/>
      <c r="C71" s="22"/>
      <c r="D71" s="22"/>
      <c r="E71" s="22"/>
      <c r="F71" s="29">
        <f>IF(E71="",0,E71*Settings!B8)</f>
        <v>0</v>
      </c>
    </row>
    <row r="72" spans="1:6" ht="15" customHeight="1" x14ac:dyDescent="0.2">
      <c r="A72" t="str">
        <f t="shared" si="0"/>
        <v/>
      </c>
      <c r="B72" s="22"/>
      <c r="C72" s="22"/>
      <c r="D72" s="22"/>
      <c r="E72" s="22"/>
      <c r="F72" s="29">
        <f>IF(E72="",0,E72*Settings!B8)</f>
        <v>0</v>
      </c>
    </row>
    <row r="73" spans="1:6" ht="15" customHeight="1" x14ac:dyDescent="0.2">
      <c r="A73" t="str">
        <f t="shared" si="0"/>
        <v/>
      </c>
      <c r="B73" s="22"/>
      <c r="C73" s="22"/>
      <c r="D73" s="22"/>
      <c r="E73" s="22"/>
      <c r="F73" s="29">
        <f>IF(E73="",0,E73*Settings!B8)</f>
        <v>0</v>
      </c>
    </row>
    <row r="74" spans="1:6" ht="15" customHeight="1" x14ac:dyDescent="0.2">
      <c r="A74" t="str">
        <f t="shared" si="0"/>
        <v/>
      </c>
      <c r="B74" s="22"/>
      <c r="C74" s="22"/>
      <c r="D74" s="22"/>
      <c r="E74" s="22"/>
      <c r="F74" s="29">
        <f>IF(E74="",0,E74*Settings!B8)</f>
        <v>0</v>
      </c>
    </row>
    <row r="75" spans="1:6" ht="15" customHeight="1" x14ac:dyDescent="0.2">
      <c r="A75" t="str">
        <f t="shared" si="0"/>
        <v/>
      </c>
      <c r="B75" s="22"/>
      <c r="C75" s="22"/>
      <c r="D75" s="22"/>
      <c r="E75" s="22"/>
      <c r="F75" s="29">
        <f>IF(E75="",0,E75*Settings!B8)</f>
        <v>0</v>
      </c>
    </row>
    <row r="76" spans="1:6" ht="15" customHeight="1" x14ac:dyDescent="0.2">
      <c r="A76" t="str">
        <f t="shared" si="0"/>
        <v/>
      </c>
      <c r="B76" s="22"/>
      <c r="C76" s="22"/>
      <c r="D76" s="22"/>
      <c r="E76" s="22"/>
      <c r="F76" s="29">
        <f>IF(E76="",0,E76*Settings!B8)</f>
        <v>0</v>
      </c>
    </row>
    <row r="77" spans="1:6" ht="15" customHeight="1" x14ac:dyDescent="0.2">
      <c r="A77" t="str">
        <f t="shared" si="0"/>
        <v/>
      </c>
      <c r="B77" s="22"/>
      <c r="C77" s="22"/>
      <c r="D77" s="22"/>
      <c r="E77" s="22"/>
      <c r="F77" s="29">
        <f>IF(E77="",0,E77*Settings!B8)</f>
        <v>0</v>
      </c>
    </row>
    <row r="78" spans="1:6" ht="15" customHeight="1" x14ac:dyDescent="0.2">
      <c r="A78" t="str">
        <f t="shared" si="0"/>
        <v/>
      </c>
      <c r="B78" s="22"/>
      <c r="C78" s="22"/>
      <c r="D78" s="22"/>
      <c r="E78" s="22"/>
      <c r="F78" s="29">
        <f>IF(E78="",0,E78*Settings!B8)</f>
        <v>0</v>
      </c>
    </row>
    <row r="79" spans="1:6" ht="15" customHeight="1" x14ac:dyDescent="0.2">
      <c r="A79" t="str">
        <f t="shared" si="0"/>
        <v/>
      </c>
      <c r="B79" s="22"/>
      <c r="C79" s="22"/>
      <c r="D79" s="22"/>
      <c r="E79" s="22"/>
      <c r="F79" s="29">
        <f>IF(E79="",0,E79*Settings!B8)</f>
        <v>0</v>
      </c>
    </row>
    <row r="80" spans="1:6" ht="15" customHeight="1" x14ac:dyDescent="0.2">
      <c r="A80" t="str">
        <f t="shared" si="0"/>
        <v/>
      </c>
      <c r="B80" s="22"/>
      <c r="C80" s="22"/>
      <c r="D80" s="22"/>
      <c r="E80" s="22"/>
      <c r="F80" s="29">
        <f>IF(E80="",0,E80*Settings!B8)</f>
        <v>0</v>
      </c>
    </row>
    <row r="81" spans="1:6" ht="15" customHeight="1" x14ac:dyDescent="0.2">
      <c r="A81" t="str">
        <f t="shared" si="0"/>
        <v/>
      </c>
      <c r="B81" s="22"/>
      <c r="C81" s="22"/>
      <c r="D81" s="22"/>
      <c r="E81" s="22"/>
      <c r="F81" s="29">
        <f>IF(E81="",0,E81*Settings!B8)</f>
        <v>0</v>
      </c>
    </row>
    <row r="82" spans="1:6" ht="15" customHeight="1" x14ac:dyDescent="0.2">
      <c r="A82" t="str">
        <f t="shared" si="0"/>
        <v/>
      </c>
      <c r="B82" s="22"/>
      <c r="C82" s="22"/>
      <c r="D82" s="22"/>
      <c r="E82" s="22"/>
      <c r="F82" s="29">
        <f>IF(E82="",0,E82*Settings!B8)</f>
        <v>0</v>
      </c>
    </row>
    <row r="83" spans="1:6" ht="15" customHeight="1" x14ac:dyDescent="0.2">
      <c r="A83" t="str">
        <f t="shared" si="0"/>
        <v/>
      </c>
      <c r="B83" s="22"/>
      <c r="C83" s="22"/>
      <c r="D83" s="22"/>
      <c r="E83" s="22"/>
      <c r="F83" s="29">
        <f>IF(E83="",0,E83*Settings!B8)</f>
        <v>0</v>
      </c>
    </row>
    <row r="84" spans="1:6" ht="15" customHeight="1" x14ac:dyDescent="0.2">
      <c r="A84" t="str">
        <f t="shared" si="0"/>
        <v/>
      </c>
      <c r="B84" s="22"/>
      <c r="C84" s="22"/>
      <c r="D84" s="22"/>
      <c r="E84" s="22"/>
      <c r="F84" s="29">
        <f>IF(E84="",0,E84*Settings!B8)</f>
        <v>0</v>
      </c>
    </row>
    <row r="85" spans="1:6" ht="15" customHeight="1" x14ac:dyDescent="0.2">
      <c r="A85" t="str">
        <f t="shared" si="0"/>
        <v/>
      </c>
      <c r="B85" s="22"/>
      <c r="C85" s="22"/>
      <c r="D85" s="22"/>
      <c r="E85" s="22"/>
      <c r="F85" s="29">
        <f>IF(E85="",0,E85*Settings!B8)</f>
        <v>0</v>
      </c>
    </row>
    <row r="86" spans="1:6" ht="15" customHeight="1" x14ac:dyDescent="0.2">
      <c r="A86" t="str">
        <f t="shared" si="0"/>
        <v/>
      </c>
      <c r="B86" s="22"/>
      <c r="C86" s="22"/>
      <c r="D86" s="22"/>
      <c r="E86" s="22"/>
      <c r="F86" s="29">
        <f>IF(E86="",0,E86*Settings!B8)</f>
        <v>0</v>
      </c>
    </row>
    <row r="87" spans="1:6" ht="15" customHeight="1" x14ac:dyDescent="0.2">
      <c r="A87" t="str">
        <f t="shared" si="0"/>
        <v/>
      </c>
      <c r="B87" s="22"/>
      <c r="C87" s="22"/>
      <c r="D87" s="22"/>
      <c r="E87" s="22"/>
      <c r="F87" s="29">
        <f>IF(E87="",0,E87*Settings!B8)</f>
        <v>0</v>
      </c>
    </row>
    <row r="88" spans="1:6" ht="15" customHeight="1" x14ac:dyDescent="0.2">
      <c r="A88" t="str">
        <f t="shared" si="0"/>
        <v/>
      </c>
      <c r="B88" s="22"/>
      <c r="C88" s="22"/>
      <c r="D88" s="22"/>
      <c r="E88" s="22"/>
      <c r="F88" s="29">
        <f>IF(E88="",0,E88*Settings!B8)</f>
        <v>0</v>
      </c>
    </row>
    <row r="89" spans="1:6" ht="15" customHeight="1" x14ac:dyDescent="0.2">
      <c r="A89" t="str">
        <f t="shared" si="0"/>
        <v/>
      </c>
      <c r="B89" s="22"/>
      <c r="C89" s="22"/>
      <c r="D89" s="22"/>
      <c r="E89" s="22"/>
      <c r="F89" s="29">
        <f>IF(E89="",0,E89*Settings!B8)</f>
        <v>0</v>
      </c>
    </row>
    <row r="90" spans="1:6" ht="15" customHeight="1" x14ac:dyDescent="0.2">
      <c r="A90" t="str">
        <f t="shared" si="0"/>
        <v/>
      </c>
      <c r="B90" s="22"/>
      <c r="C90" s="22"/>
      <c r="D90" s="22"/>
      <c r="E90" s="22"/>
      <c r="F90" s="29">
        <f>IF(E90="",0,E90*Settings!B8)</f>
        <v>0</v>
      </c>
    </row>
    <row r="91" spans="1:6" ht="15" customHeight="1" x14ac:dyDescent="0.2">
      <c r="A91" t="str">
        <f t="shared" si="0"/>
        <v/>
      </c>
      <c r="B91" s="22"/>
      <c r="C91" s="22"/>
      <c r="D91" s="22"/>
      <c r="E91" s="22"/>
      <c r="F91" s="29">
        <f>IF(E91="",0,E91*Settings!B8)</f>
        <v>0</v>
      </c>
    </row>
    <row r="92" spans="1:6" ht="15" customHeight="1" x14ac:dyDescent="0.2">
      <c r="A92" t="str">
        <f t="shared" si="0"/>
        <v/>
      </c>
      <c r="B92" s="22"/>
      <c r="C92" s="22"/>
      <c r="D92" s="22"/>
      <c r="E92" s="22"/>
      <c r="F92" s="29">
        <f>IF(E92="",0,E92*Settings!B8)</f>
        <v>0</v>
      </c>
    </row>
    <row r="93" spans="1:6" ht="15" customHeight="1" x14ac:dyDescent="0.2">
      <c r="A93" t="str">
        <f t="shared" si="0"/>
        <v/>
      </c>
      <c r="B93" s="22"/>
      <c r="C93" s="22"/>
      <c r="D93" s="22"/>
      <c r="E93" s="22"/>
      <c r="F93" s="29">
        <f>IF(E93="",0,E93*Settings!B8)</f>
        <v>0</v>
      </c>
    </row>
    <row r="94" spans="1:6" ht="15" customHeight="1" x14ac:dyDescent="0.2">
      <c r="A94" t="str">
        <f t="shared" si="0"/>
        <v/>
      </c>
      <c r="B94" s="22"/>
      <c r="C94" s="22"/>
      <c r="D94" s="22"/>
      <c r="E94" s="22"/>
      <c r="F94" s="29">
        <f>IF(E94="",0,E94*Settings!B8)</f>
        <v>0</v>
      </c>
    </row>
    <row r="95" spans="1:6" ht="15" customHeight="1" x14ac:dyDescent="0.2">
      <c r="A95" t="str">
        <f t="shared" si="0"/>
        <v/>
      </c>
      <c r="B95" s="22"/>
      <c r="C95" s="22"/>
      <c r="D95" s="22"/>
      <c r="E95" s="22"/>
      <c r="F95" s="29">
        <f>IF(E95="",0,E95*Settings!B8)</f>
        <v>0</v>
      </c>
    </row>
    <row r="96" spans="1:6" ht="15" customHeight="1" x14ac:dyDescent="0.2">
      <c r="A96" t="str">
        <f t="shared" si="0"/>
        <v/>
      </c>
      <c r="B96" s="22"/>
      <c r="C96" s="22"/>
      <c r="D96" s="22"/>
      <c r="E96" s="22"/>
      <c r="F96" s="29">
        <f>IF(E96="",0,E96*Settings!B8)</f>
        <v>0</v>
      </c>
    </row>
    <row r="97" spans="1:6" ht="15" customHeight="1" x14ac:dyDescent="0.2">
      <c r="A97" t="str">
        <f t="shared" si="0"/>
        <v/>
      </c>
      <c r="B97" s="22"/>
      <c r="C97" s="22"/>
      <c r="D97" s="22"/>
      <c r="E97" s="22"/>
      <c r="F97" s="29">
        <f>IF(E97="",0,E97*Settings!B8)</f>
        <v>0</v>
      </c>
    </row>
    <row r="98" spans="1:6" ht="15" customHeight="1" x14ac:dyDescent="0.2">
      <c r="A98" t="str">
        <f t="shared" si="0"/>
        <v/>
      </c>
      <c r="B98" s="22"/>
      <c r="C98" s="22"/>
      <c r="D98" s="22"/>
      <c r="E98" s="22"/>
      <c r="F98" s="29">
        <f>IF(E98="",0,E98*Settings!B8)</f>
        <v>0</v>
      </c>
    </row>
    <row r="99" spans="1:6" ht="15" customHeight="1" x14ac:dyDescent="0.2">
      <c r="A99" t="str">
        <f t="shared" si="0"/>
        <v/>
      </c>
      <c r="B99" s="22"/>
      <c r="C99" s="22"/>
      <c r="D99" s="22"/>
      <c r="E99" s="22"/>
      <c r="F99" s="29">
        <f>IF(E99="",0,E99*Settings!B8)</f>
        <v>0</v>
      </c>
    </row>
    <row r="100" spans="1:6" ht="15" customHeight="1" x14ac:dyDescent="0.2">
      <c r="A100" t="str">
        <f t="shared" si="0"/>
        <v/>
      </c>
      <c r="B100" s="22"/>
      <c r="C100" s="22"/>
      <c r="D100" s="22"/>
      <c r="E100" s="22"/>
      <c r="F100" s="29">
        <f>IF(E100="",0,E100*Settings!B8)</f>
        <v>0</v>
      </c>
    </row>
    <row r="101" spans="1:6" ht="15" customHeight="1" x14ac:dyDescent="0.2">
      <c r="A101" t="str">
        <f t="shared" si="0"/>
        <v/>
      </c>
      <c r="B101" s="22"/>
      <c r="C101" s="22"/>
      <c r="D101" s="22"/>
      <c r="E101" s="22"/>
      <c r="F101" s="29">
        <f>IF(E101="",0,E101*Settings!B8)</f>
        <v>0</v>
      </c>
    </row>
    <row r="102" spans="1:6" ht="15" customHeight="1" x14ac:dyDescent="0.2">
      <c r="A102" t="str">
        <f t="shared" si="0"/>
        <v/>
      </c>
      <c r="B102" s="22"/>
      <c r="C102" s="22"/>
      <c r="D102" s="22"/>
      <c r="E102" s="22"/>
      <c r="F102" s="29">
        <f>IF(E102="",0,E102*Settings!B8)</f>
        <v>0</v>
      </c>
    </row>
    <row r="103" spans="1:6" ht="15" customHeight="1" x14ac:dyDescent="0.2">
      <c r="A103" t="str">
        <f t="shared" si="0"/>
        <v/>
      </c>
      <c r="B103" s="22"/>
      <c r="C103" s="22"/>
      <c r="D103" s="22"/>
      <c r="E103" s="22"/>
      <c r="F103" s="29">
        <f>IF(E103="",0,E103*Settings!B8)</f>
        <v>0</v>
      </c>
    </row>
    <row r="104" spans="1:6" ht="15" customHeight="1" x14ac:dyDescent="0.2">
      <c r="A104" s="31" t="s">
        <v>544</v>
      </c>
      <c r="B104" s="32"/>
      <c r="C104" s="32"/>
      <c r="D104" s="32"/>
      <c r="E104" s="33">
        <f>SUM(E4:E103)</f>
        <v>134000</v>
      </c>
      <c r="F104" s="33">
        <f>SUM(F4:F103)</f>
        <v>11390000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CAF50"/>
  </sheetPr>
  <dimension ref="A1:E90"/>
  <sheetViews>
    <sheetView zoomScaleNormal="100" workbookViewId="0"/>
  </sheetViews>
  <sheetFormatPr baseColWidth="10" defaultColWidth="8.6640625" defaultRowHeight="15" customHeight="1" x14ac:dyDescent="0.2"/>
  <cols>
    <col min="1" max="1" width="36" customWidth="1"/>
    <col min="2" max="2" width="18" customWidth="1"/>
    <col min="3" max="3" width="14" customWidth="1"/>
    <col min="4" max="4" width="10" customWidth="1"/>
    <col min="5" max="5" width="20" customWidth="1"/>
  </cols>
  <sheetData>
    <row r="1" spans="1:5" ht="17.25" customHeight="1" x14ac:dyDescent="0.2">
      <c r="A1" s="144" t="s">
        <v>796</v>
      </c>
      <c r="B1" s="144"/>
      <c r="C1" s="144"/>
      <c r="D1" s="144"/>
      <c r="E1" s="144"/>
    </row>
    <row r="2" spans="1:5" ht="15" customHeight="1" x14ac:dyDescent="0.2">
      <c r="A2" s="4" t="s">
        <v>797</v>
      </c>
    </row>
    <row r="3" spans="1:5" ht="15" customHeight="1" x14ac:dyDescent="0.2">
      <c r="A3" s="24" t="s">
        <v>695</v>
      </c>
      <c r="B3" s="24" t="s">
        <v>798</v>
      </c>
      <c r="C3" s="24" t="s">
        <v>799</v>
      </c>
      <c r="D3" s="24" t="s">
        <v>800</v>
      </c>
      <c r="E3" s="24" t="s">
        <v>66</v>
      </c>
    </row>
    <row r="4" spans="1:5" ht="15" customHeight="1" x14ac:dyDescent="0.2">
      <c r="A4" s="22" t="s">
        <v>77</v>
      </c>
      <c r="B4" s="22" t="s">
        <v>294</v>
      </c>
      <c r="C4" s="22">
        <v>0.6</v>
      </c>
      <c r="D4" s="22" t="s">
        <v>801</v>
      </c>
      <c r="E4" s="22"/>
    </row>
    <row r="5" spans="1:5" ht="15" customHeight="1" x14ac:dyDescent="0.2">
      <c r="A5" s="22" t="s">
        <v>77</v>
      </c>
      <c r="B5" s="22" t="s">
        <v>221</v>
      </c>
      <c r="C5" s="22">
        <v>1.4</v>
      </c>
      <c r="D5" s="22" t="s">
        <v>801</v>
      </c>
      <c r="E5" s="22"/>
    </row>
    <row r="6" spans="1:5" ht="15" customHeight="1" x14ac:dyDescent="0.2">
      <c r="A6" s="22" t="s">
        <v>78</v>
      </c>
      <c r="B6" s="22" t="s">
        <v>148</v>
      </c>
      <c r="C6" s="22">
        <v>1</v>
      </c>
      <c r="D6" s="22" t="s">
        <v>801</v>
      </c>
      <c r="E6" s="22"/>
    </row>
    <row r="7" spans="1:5" ht="15" customHeight="1" x14ac:dyDescent="0.2">
      <c r="A7" s="22" t="s">
        <v>79</v>
      </c>
      <c r="B7" s="22" t="s">
        <v>148</v>
      </c>
      <c r="C7" s="22">
        <v>1.5</v>
      </c>
      <c r="D7" s="22" t="s">
        <v>801</v>
      </c>
      <c r="E7" s="22"/>
    </row>
    <row r="8" spans="1:5" ht="15" customHeight="1" x14ac:dyDescent="0.2">
      <c r="A8" s="22" t="s">
        <v>80</v>
      </c>
      <c r="B8" s="22" t="s">
        <v>148</v>
      </c>
      <c r="C8" s="22">
        <v>4</v>
      </c>
      <c r="D8" s="22" t="s">
        <v>801</v>
      </c>
      <c r="E8" s="22"/>
    </row>
    <row r="9" spans="1:5" ht="15" customHeight="1" x14ac:dyDescent="0.2">
      <c r="A9" s="22" t="s">
        <v>81</v>
      </c>
      <c r="B9" s="22" t="s">
        <v>148</v>
      </c>
      <c r="C9" s="22">
        <v>2</v>
      </c>
      <c r="D9" s="22" t="s">
        <v>801</v>
      </c>
      <c r="E9" s="22"/>
    </row>
    <row r="10" spans="1:5" ht="15" customHeight="1" x14ac:dyDescent="0.2">
      <c r="A10" s="22" t="s">
        <v>82</v>
      </c>
      <c r="B10" s="22" t="s">
        <v>148</v>
      </c>
      <c r="C10" s="22">
        <v>0.5</v>
      </c>
      <c r="D10" s="22" t="s">
        <v>801</v>
      </c>
      <c r="E10" s="22"/>
    </row>
    <row r="11" spans="1:5" ht="15" customHeight="1" x14ac:dyDescent="0.2">
      <c r="A11" s="22" t="s">
        <v>83</v>
      </c>
      <c r="B11" s="22" t="s">
        <v>148</v>
      </c>
      <c r="C11" s="22">
        <v>1</v>
      </c>
      <c r="D11" s="22" t="s">
        <v>801</v>
      </c>
      <c r="E11" s="22"/>
    </row>
    <row r="12" spans="1:5" ht="15" customHeight="1" x14ac:dyDescent="0.2">
      <c r="A12" s="22" t="s">
        <v>83</v>
      </c>
      <c r="B12" s="22" t="s">
        <v>294</v>
      </c>
      <c r="C12" s="22">
        <v>0.15</v>
      </c>
      <c r="D12" s="22" t="s">
        <v>801</v>
      </c>
      <c r="E12" s="22"/>
    </row>
    <row r="13" spans="1:5" ht="15" customHeight="1" x14ac:dyDescent="0.2">
      <c r="A13" s="22" t="s">
        <v>83</v>
      </c>
      <c r="B13" s="22" t="s">
        <v>221</v>
      </c>
      <c r="C13" s="22">
        <v>0.35</v>
      </c>
      <c r="D13" s="22" t="s">
        <v>801</v>
      </c>
      <c r="E13" s="22"/>
    </row>
    <row r="14" spans="1:5" ht="15" customHeight="1" x14ac:dyDescent="0.2">
      <c r="A14" s="22" t="s">
        <v>84</v>
      </c>
      <c r="B14" s="22" t="s">
        <v>238</v>
      </c>
      <c r="C14" s="22">
        <v>5</v>
      </c>
      <c r="D14" s="22" t="s">
        <v>801</v>
      </c>
      <c r="E14" s="22"/>
    </row>
    <row r="15" spans="1:5" ht="15" customHeight="1" x14ac:dyDescent="0.2">
      <c r="A15" s="22" t="s">
        <v>84</v>
      </c>
      <c r="B15" s="22" t="s">
        <v>184</v>
      </c>
      <c r="C15" s="22">
        <v>1</v>
      </c>
      <c r="D15" s="22" t="s">
        <v>801</v>
      </c>
      <c r="E15" s="22"/>
    </row>
    <row r="16" spans="1:5" ht="15" customHeight="1" x14ac:dyDescent="0.2">
      <c r="A16" s="22" t="s">
        <v>85</v>
      </c>
      <c r="B16" s="22" t="s">
        <v>148</v>
      </c>
      <c r="C16" s="22">
        <v>1</v>
      </c>
      <c r="D16" s="22" t="s">
        <v>801</v>
      </c>
      <c r="E16" s="22"/>
    </row>
    <row r="17" spans="1:5" ht="15" customHeight="1" x14ac:dyDescent="0.2">
      <c r="A17" s="22" t="s">
        <v>86</v>
      </c>
      <c r="B17" s="22" t="s">
        <v>148</v>
      </c>
      <c r="C17" s="22">
        <v>0.25</v>
      </c>
      <c r="D17" s="22" t="s">
        <v>801</v>
      </c>
      <c r="E17" s="22"/>
    </row>
    <row r="18" spans="1:5" ht="15" customHeight="1" x14ac:dyDescent="0.2">
      <c r="A18" s="22" t="s">
        <v>87</v>
      </c>
      <c r="B18" s="22" t="s">
        <v>148</v>
      </c>
      <c r="C18" s="22">
        <v>3</v>
      </c>
      <c r="D18" s="22" t="s">
        <v>801</v>
      </c>
      <c r="E18" s="22"/>
    </row>
    <row r="19" spans="1:5" ht="15" customHeight="1" x14ac:dyDescent="0.2">
      <c r="A19" s="22" t="s">
        <v>88</v>
      </c>
      <c r="B19" s="22" t="s">
        <v>148</v>
      </c>
      <c r="C19" s="22">
        <v>0.5</v>
      </c>
      <c r="D19" s="22" t="s">
        <v>801</v>
      </c>
      <c r="E19" s="22"/>
    </row>
    <row r="20" spans="1:5" ht="23.25" customHeight="1" x14ac:dyDescent="0.2">
      <c r="A20" s="22" t="s">
        <v>89</v>
      </c>
      <c r="B20" s="22" t="s">
        <v>148</v>
      </c>
      <c r="C20" s="22">
        <v>2.5</v>
      </c>
      <c r="D20" s="22" t="s">
        <v>801</v>
      </c>
      <c r="E20" s="22"/>
    </row>
    <row r="21" spans="1:5" ht="15" customHeight="1" x14ac:dyDescent="0.2">
      <c r="A21" s="22" t="s">
        <v>90</v>
      </c>
      <c r="B21" s="22" t="s">
        <v>148</v>
      </c>
      <c r="C21" s="22">
        <v>1</v>
      </c>
      <c r="D21" s="22" t="s">
        <v>801</v>
      </c>
      <c r="E21" s="22"/>
    </row>
    <row r="22" spans="1:5" ht="15" customHeight="1" x14ac:dyDescent="0.2">
      <c r="A22" s="22" t="s">
        <v>91</v>
      </c>
      <c r="B22" s="22" t="s">
        <v>148</v>
      </c>
      <c r="C22" s="22">
        <v>1</v>
      </c>
      <c r="D22" s="22" t="s">
        <v>801</v>
      </c>
      <c r="E22" s="22"/>
    </row>
    <row r="23" spans="1:5" ht="15" customHeight="1" x14ac:dyDescent="0.2">
      <c r="A23" s="22" t="s">
        <v>92</v>
      </c>
      <c r="B23" s="22" t="s">
        <v>148</v>
      </c>
      <c r="C23" s="22">
        <v>0.25</v>
      </c>
      <c r="D23" s="22" t="s">
        <v>801</v>
      </c>
      <c r="E23" s="22"/>
    </row>
    <row r="24" spans="1:5" ht="15" customHeight="1" x14ac:dyDescent="0.2">
      <c r="A24" s="22" t="s">
        <v>93</v>
      </c>
      <c r="B24" s="22" t="s">
        <v>148</v>
      </c>
      <c r="C24" s="22">
        <v>1</v>
      </c>
      <c r="D24" s="22" t="s">
        <v>801</v>
      </c>
      <c r="E24" s="22"/>
    </row>
    <row r="25" spans="1:5" ht="15" customHeight="1" x14ac:dyDescent="0.2">
      <c r="A25" s="22" t="s">
        <v>93</v>
      </c>
      <c r="B25" s="22" t="s">
        <v>221</v>
      </c>
      <c r="C25" s="22">
        <v>1</v>
      </c>
      <c r="D25" s="22" t="s">
        <v>801</v>
      </c>
      <c r="E25" s="22"/>
    </row>
    <row r="26" spans="1:5" ht="15" customHeight="1" x14ac:dyDescent="0.2">
      <c r="A26" s="22" t="s">
        <v>94</v>
      </c>
      <c r="B26" s="22" t="s">
        <v>148</v>
      </c>
      <c r="C26" s="22">
        <v>0.5</v>
      </c>
      <c r="D26" s="22" t="s">
        <v>801</v>
      </c>
      <c r="E26" s="22"/>
    </row>
    <row r="27" spans="1:5" ht="15" customHeight="1" x14ac:dyDescent="0.2">
      <c r="A27" s="22" t="s">
        <v>96</v>
      </c>
      <c r="B27" s="22" t="s">
        <v>148</v>
      </c>
      <c r="C27" s="22">
        <v>0.5</v>
      </c>
      <c r="D27" s="22" t="s">
        <v>801</v>
      </c>
      <c r="E27" s="22"/>
    </row>
    <row r="28" spans="1:5" ht="15" customHeight="1" x14ac:dyDescent="0.2">
      <c r="A28" s="22" t="s">
        <v>791</v>
      </c>
      <c r="B28" s="22" t="s">
        <v>148</v>
      </c>
      <c r="C28" s="22">
        <v>1</v>
      </c>
      <c r="D28" s="22" t="s">
        <v>801</v>
      </c>
      <c r="E28" s="22"/>
    </row>
    <row r="29" spans="1:5" ht="15" customHeight="1" x14ac:dyDescent="0.2">
      <c r="A29" s="22" t="s">
        <v>97</v>
      </c>
      <c r="B29" s="22" t="s">
        <v>148</v>
      </c>
      <c r="C29" s="22">
        <v>0.25</v>
      </c>
      <c r="D29" s="22" t="s">
        <v>801</v>
      </c>
      <c r="E29" s="22"/>
    </row>
    <row r="30" spans="1:5" ht="15" customHeight="1" x14ac:dyDescent="0.2">
      <c r="A30" s="22" t="s">
        <v>98</v>
      </c>
      <c r="B30" s="22" t="s">
        <v>148</v>
      </c>
      <c r="C30" s="22">
        <v>1.5</v>
      </c>
      <c r="D30" s="22" t="s">
        <v>801</v>
      </c>
      <c r="E30" s="22"/>
    </row>
    <row r="31" spans="1:5" ht="15" customHeight="1" x14ac:dyDescent="0.2">
      <c r="A31" s="22" t="s">
        <v>99</v>
      </c>
      <c r="B31" s="22" t="s">
        <v>148</v>
      </c>
      <c r="C31" s="22">
        <v>1</v>
      </c>
      <c r="D31" s="22" t="s">
        <v>801</v>
      </c>
      <c r="E31" s="22"/>
    </row>
    <row r="32" spans="1:5" ht="15" customHeight="1" x14ac:dyDescent="0.2">
      <c r="A32" s="22" t="s">
        <v>99</v>
      </c>
      <c r="B32" s="22" t="s">
        <v>294</v>
      </c>
      <c r="C32" s="22">
        <v>0.5</v>
      </c>
      <c r="D32" s="22" t="s">
        <v>801</v>
      </c>
      <c r="E32" s="22"/>
    </row>
    <row r="33" spans="1:5" ht="15" customHeight="1" x14ac:dyDescent="0.2">
      <c r="A33" s="22" t="s">
        <v>99</v>
      </c>
      <c r="B33" s="22" t="s">
        <v>221</v>
      </c>
      <c r="C33" s="22">
        <v>0.5</v>
      </c>
      <c r="D33" s="22" t="s">
        <v>801</v>
      </c>
      <c r="E33" s="22"/>
    </row>
    <row r="34" spans="1:5" ht="15" customHeight="1" x14ac:dyDescent="0.2">
      <c r="A34" s="22" t="s">
        <v>100</v>
      </c>
      <c r="B34" s="22" t="s">
        <v>148</v>
      </c>
      <c r="C34" s="22">
        <v>2</v>
      </c>
      <c r="D34" s="22" t="s">
        <v>801</v>
      </c>
      <c r="E34" s="22"/>
    </row>
    <row r="35" spans="1:5" ht="15" customHeight="1" x14ac:dyDescent="0.2">
      <c r="A35" s="22" t="s">
        <v>100</v>
      </c>
      <c r="B35" s="22" t="s">
        <v>294</v>
      </c>
      <c r="C35" s="22">
        <v>0.3</v>
      </c>
      <c r="D35" s="22" t="s">
        <v>801</v>
      </c>
      <c r="E35" s="22"/>
    </row>
    <row r="36" spans="1:5" ht="15" customHeight="1" x14ac:dyDescent="0.2">
      <c r="A36" s="22" t="s">
        <v>100</v>
      </c>
      <c r="B36" s="22" t="s">
        <v>221</v>
      </c>
      <c r="C36" s="22">
        <v>0.7</v>
      </c>
      <c r="D36" s="22" t="s">
        <v>801</v>
      </c>
      <c r="E36" s="22"/>
    </row>
    <row r="37" spans="1:5" ht="15" customHeight="1" x14ac:dyDescent="0.2">
      <c r="A37" s="22" t="s">
        <v>100</v>
      </c>
      <c r="B37" s="22" t="s">
        <v>802</v>
      </c>
      <c r="C37" s="22">
        <v>1</v>
      </c>
      <c r="D37" s="22" t="s">
        <v>801</v>
      </c>
      <c r="E37" s="22"/>
    </row>
    <row r="38" spans="1:5" ht="15" customHeight="1" x14ac:dyDescent="0.2">
      <c r="A38" s="22" t="s">
        <v>101</v>
      </c>
      <c r="B38" s="22" t="s">
        <v>148</v>
      </c>
      <c r="C38" s="22">
        <v>0.5</v>
      </c>
      <c r="D38" s="22" t="s">
        <v>801</v>
      </c>
      <c r="E38" s="22"/>
    </row>
    <row r="39" spans="1:5" ht="15" customHeight="1" x14ac:dyDescent="0.2">
      <c r="A39" s="22" t="s">
        <v>102</v>
      </c>
      <c r="B39" s="22" t="s">
        <v>148</v>
      </c>
      <c r="C39" s="22">
        <v>0.5</v>
      </c>
      <c r="D39" s="22" t="s">
        <v>801</v>
      </c>
      <c r="E39" s="22"/>
    </row>
    <row r="40" spans="1:5" ht="15" customHeight="1" x14ac:dyDescent="0.2">
      <c r="A40" s="22" t="s">
        <v>103</v>
      </c>
      <c r="B40" s="22" t="s">
        <v>148</v>
      </c>
      <c r="C40" s="22">
        <v>1</v>
      </c>
      <c r="D40" s="22" t="s">
        <v>801</v>
      </c>
      <c r="E40" s="22"/>
    </row>
    <row r="41" spans="1:5" ht="15" customHeight="1" x14ac:dyDescent="0.2">
      <c r="A41" s="22" t="s">
        <v>104</v>
      </c>
      <c r="B41" s="22" t="s">
        <v>148</v>
      </c>
      <c r="C41" s="22">
        <v>3</v>
      </c>
      <c r="D41" s="22" t="s">
        <v>801</v>
      </c>
      <c r="E41" s="22"/>
    </row>
    <row r="42" spans="1:5" ht="23.25" customHeight="1" x14ac:dyDescent="0.2">
      <c r="A42" s="22" t="s">
        <v>105</v>
      </c>
      <c r="B42" s="22" t="s">
        <v>148</v>
      </c>
      <c r="C42" s="22">
        <v>0.5</v>
      </c>
      <c r="D42" s="22" t="s">
        <v>801</v>
      </c>
      <c r="E42" s="22"/>
    </row>
    <row r="43" spans="1:5" ht="15" customHeight="1" x14ac:dyDescent="0.2">
      <c r="A43" s="22" t="s">
        <v>106</v>
      </c>
      <c r="B43" s="22" t="s">
        <v>148</v>
      </c>
      <c r="C43" s="22">
        <v>2</v>
      </c>
      <c r="D43" s="22" t="s">
        <v>801</v>
      </c>
      <c r="E43" s="22"/>
    </row>
    <row r="44" spans="1:5" ht="15" customHeight="1" x14ac:dyDescent="0.2">
      <c r="A44" s="22" t="s">
        <v>106</v>
      </c>
      <c r="B44" s="22" t="s">
        <v>294</v>
      </c>
      <c r="C44" s="22">
        <v>0.3</v>
      </c>
      <c r="D44" s="22" t="s">
        <v>801</v>
      </c>
      <c r="E44" s="22"/>
    </row>
    <row r="45" spans="1:5" ht="15" customHeight="1" x14ac:dyDescent="0.2">
      <c r="A45" s="22" t="s">
        <v>106</v>
      </c>
      <c r="B45" s="22" t="s">
        <v>221</v>
      </c>
      <c r="C45" s="22">
        <v>0.7</v>
      </c>
      <c r="D45" s="22" t="s">
        <v>801</v>
      </c>
      <c r="E45" s="22"/>
    </row>
    <row r="46" spans="1:5" ht="15" customHeight="1" x14ac:dyDescent="0.2">
      <c r="A46" s="22" t="s">
        <v>107</v>
      </c>
      <c r="B46" s="22" t="s">
        <v>294</v>
      </c>
      <c r="C46" s="22">
        <v>0.3</v>
      </c>
      <c r="D46" s="22" t="s">
        <v>801</v>
      </c>
      <c r="E46" s="22"/>
    </row>
    <row r="47" spans="1:5" ht="15" customHeight="1" x14ac:dyDescent="0.2">
      <c r="A47" s="22" t="s">
        <v>107</v>
      </c>
      <c r="B47" s="22" t="s">
        <v>221</v>
      </c>
      <c r="C47" s="22">
        <v>0.7</v>
      </c>
      <c r="D47" s="22" t="s">
        <v>801</v>
      </c>
      <c r="E47" s="22"/>
    </row>
    <row r="48" spans="1:5" ht="15" customHeight="1" x14ac:dyDescent="0.2">
      <c r="A48" s="22" t="s">
        <v>108</v>
      </c>
      <c r="B48" s="22" t="s">
        <v>148</v>
      </c>
      <c r="C48" s="22">
        <v>0.5</v>
      </c>
      <c r="D48" s="22" t="s">
        <v>801</v>
      </c>
      <c r="E48" s="22"/>
    </row>
    <row r="49" spans="1:5" ht="15" customHeight="1" x14ac:dyDescent="0.2">
      <c r="A49" s="22" t="s">
        <v>803</v>
      </c>
      <c r="B49" s="22" t="s">
        <v>148</v>
      </c>
      <c r="C49" s="22">
        <v>0.5</v>
      </c>
      <c r="D49" s="22" t="s">
        <v>801</v>
      </c>
      <c r="E49" s="22"/>
    </row>
    <row r="50" spans="1:5" ht="15" customHeight="1" x14ac:dyDescent="0.2">
      <c r="A50" s="22" t="s">
        <v>109</v>
      </c>
      <c r="B50" s="22" t="s">
        <v>148</v>
      </c>
      <c r="C50" s="22">
        <v>0.5</v>
      </c>
      <c r="D50" s="22" t="s">
        <v>801</v>
      </c>
      <c r="E50" s="22"/>
    </row>
    <row r="51" spans="1:5" ht="15" customHeight="1" x14ac:dyDescent="0.2">
      <c r="A51" s="22" t="s">
        <v>110</v>
      </c>
      <c r="B51" s="22" t="s">
        <v>148</v>
      </c>
      <c r="C51" s="22">
        <v>1.5</v>
      </c>
      <c r="D51" s="22" t="s">
        <v>801</v>
      </c>
      <c r="E51" s="22"/>
    </row>
    <row r="52" spans="1:5" ht="15" customHeight="1" x14ac:dyDescent="0.2">
      <c r="A52" s="22" t="s">
        <v>111</v>
      </c>
      <c r="B52" s="22" t="s">
        <v>148</v>
      </c>
      <c r="C52" s="22">
        <v>1</v>
      </c>
      <c r="D52" s="22" t="s">
        <v>801</v>
      </c>
      <c r="E52" s="22"/>
    </row>
    <row r="53" spans="1:5" ht="15" customHeight="1" x14ac:dyDescent="0.2">
      <c r="A53" s="22" t="s">
        <v>112</v>
      </c>
      <c r="B53" s="22" t="s">
        <v>148</v>
      </c>
      <c r="C53" s="22">
        <v>0.5</v>
      </c>
      <c r="D53" s="22" t="s">
        <v>801</v>
      </c>
      <c r="E53" s="22"/>
    </row>
    <row r="54" spans="1:5" ht="15" customHeight="1" x14ac:dyDescent="0.2">
      <c r="A54" s="22" t="s">
        <v>112</v>
      </c>
      <c r="B54" s="22" t="s">
        <v>294</v>
      </c>
      <c r="C54" s="22">
        <v>0.3</v>
      </c>
      <c r="D54" s="22" t="s">
        <v>801</v>
      </c>
      <c r="E54" s="22"/>
    </row>
    <row r="55" spans="1:5" ht="15" customHeight="1" x14ac:dyDescent="0.2">
      <c r="A55" s="22" t="s">
        <v>112</v>
      </c>
      <c r="B55" s="22" t="s">
        <v>221</v>
      </c>
      <c r="C55" s="22">
        <v>0.7</v>
      </c>
      <c r="D55" s="22" t="s">
        <v>801</v>
      </c>
      <c r="E55" s="22"/>
    </row>
    <row r="56" spans="1:5" ht="15" customHeight="1" x14ac:dyDescent="0.2">
      <c r="A56" s="22" t="s">
        <v>112</v>
      </c>
      <c r="B56" s="22" t="s">
        <v>802</v>
      </c>
      <c r="C56" s="22">
        <v>0.25</v>
      </c>
      <c r="D56" s="22" t="s">
        <v>801</v>
      </c>
      <c r="E56" s="22"/>
    </row>
    <row r="57" spans="1:5" ht="15" customHeight="1" x14ac:dyDescent="0.2">
      <c r="A57" s="22" t="s">
        <v>113</v>
      </c>
      <c r="B57" s="22" t="s">
        <v>148</v>
      </c>
      <c r="C57" s="22">
        <v>1</v>
      </c>
      <c r="D57" s="22" t="s">
        <v>801</v>
      </c>
      <c r="E57" s="22"/>
    </row>
    <row r="58" spans="1:5" ht="15" customHeight="1" x14ac:dyDescent="0.2">
      <c r="A58" s="22" t="s">
        <v>114</v>
      </c>
      <c r="B58" s="22" t="s">
        <v>148</v>
      </c>
      <c r="C58" s="22">
        <v>1</v>
      </c>
      <c r="D58" s="22" t="s">
        <v>801</v>
      </c>
      <c r="E58" s="22"/>
    </row>
    <row r="59" spans="1:5" ht="15" customHeight="1" x14ac:dyDescent="0.2">
      <c r="A59" s="22" t="s">
        <v>115</v>
      </c>
      <c r="B59" s="22" t="s">
        <v>148</v>
      </c>
      <c r="C59" s="22">
        <v>1</v>
      </c>
      <c r="D59" s="22" t="s">
        <v>801</v>
      </c>
      <c r="E59" s="22"/>
    </row>
    <row r="60" spans="1:5" ht="15" customHeight="1" x14ac:dyDescent="0.2">
      <c r="A60" s="22" t="s">
        <v>116</v>
      </c>
      <c r="B60" s="22" t="s">
        <v>148</v>
      </c>
      <c r="C60" s="22">
        <v>0.5</v>
      </c>
      <c r="D60" s="22" t="s">
        <v>801</v>
      </c>
      <c r="E60" s="22"/>
    </row>
    <row r="61" spans="1:5" ht="15" customHeight="1" x14ac:dyDescent="0.2">
      <c r="A61" s="22" t="s">
        <v>117</v>
      </c>
      <c r="B61" s="22" t="s">
        <v>148</v>
      </c>
      <c r="C61" s="22">
        <v>2</v>
      </c>
      <c r="D61" s="22" t="s">
        <v>801</v>
      </c>
      <c r="E61" s="22"/>
    </row>
    <row r="62" spans="1:5" ht="15" customHeight="1" x14ac:dyDescent="0.2">
      <c r="A62" s="22" t="s">
        <v>118</v>
      </c>
      <c r="B62" s="22" t="s">
        <v>148</v>
      </c>
      <c r="C62" s="22">
        <v>1</v>
      </c>
      <c r="D62" s="22" t="s">
        <v>801</v>
      </c>
      <c r="E62" s="22"/>
    </row>
    <row r="63" spans="1:5" ht="15" customHeight="1" x14ac:dyDescent="0.2">
      <c r="A63" s="22" t="s">
        <v>119</v>
      </c>
      <c r="B63" s="22" t="s">
        <v>148</v>
      </c>
      <c r="C63" s="22">
        <v>1</v>
      </c>
      <c r="D63" s="22" t="s">
        <v>801</v>
      </c>
      <c r="E63" s="22"/>
    </row>
    <row r="64" spans="1:5" ht="15" customHeight="1" x14ac:dyDescent="0.2">
      <c r="A64" s="22" t="s">
        <v>120</v>
      </c>
      <c r="B64" s="22" t="s">
        <v>148</v>
      </c>
      <c r="C64" s="22">
        <v>0.25</v>
      </c>
      <c r="D64" s="22" t="s">
        <v>801</v>
      </c>
      <c r="E64" s="22"/>
    </row>
    <row r="65" spans="1:5" ht="15" customHeight="1" x14ac:dyDescent="0.2">
      <c r="A65" s="22" t="s">
        <v>121</v>
      </c>
      <c r="B65" s="22" t="s">
        <v>238</v>
      </c>
      <c r="C65" s="22">
        <v>1</v>
      </c>
      <c r="D65" s="22" t="s">
        <v>801</v>
      </c>
      <c r="E65" s="22"/>
    </row>
    <row r="66" spans="1:5" ht="15" customHeight="1" x14ac:dyDescent="0.2">
      <c r="A66" s="22" t="s">
        <v>121</v>
      </c>
      <c r="B66" s="22" t="s">
        <v>148</v>
      </c>
      <c r="C66" s="22">
        <v>0.75</v>
      </c>
      <c r="D66" s="22" t="s">
        <v>801</v>
      </c>
      <c r="E66" s="22"/>
    </row>
    <row r="67" spans="1:5" ht="15" customHeight="1" x14ac:dyDescent="0.2">
      <c r="A67" s="22" t="s">
        <v>122</v>
      </c>
      <c r="B67" s="22" t="s">
        <v>148</v>
      </c>
      <c r="C67" s="22">
        <v>0.5</v>
      </c>
      <c r="D67" s="22" t="s">
        <v>801</v>
      </c>
      <c r="E67" s="22"/>
    </row>
    <row r="68" spans="1:5" ht="15" customHeight="1" x14ac:dyDescent="0.2">
      <c r="A68" s="22" t="s">
        <v>123</v>
      </c>
      <c r="B68" s="22" t="s">
        <v>294</v>
      </c>
      <c r="C68" s="22">
        <v>0.15</v>
      </c>
      <c r="D68" s="22" t="s">
        <v>801</v>
      </c>
      <c r="E68" s="22"/>
    </row>
    <row r="69" spans="1:5" ht="15" customHeight="1" x14ac:dyDescent="0.2">
      <c r="A69" s="22" t="s">
        <v>123</v>
      </c>
      <c r="B69" s="22" t="s">
        <v>221</v>
      </c>
      <c r="C69" s="22">
        <v>0.35</v>
      </c>
      <c r="D69" s="22" t="s">
        <v>801</v>
      </c>
      <c r="E69" s="22"/>
    </row>
    <row r="70" spans="1:5" ht="15" customHeight="1" x14ac:dyDescent="0.2">
      <c r="A70" s="22" t="s">
        <v>124</v>
      </c>
      <c r="B70" s="22" t="s">
        <v>148</v>
      </c>
      <c r="C70" s="22">
        <v>2</v>
      </c>
      <c r="D70" s="22" t="s">
        <v>801</v>
      </c>
      <c r="E70" s="22"/>
    </row>
    <row r="71" spans="1:5" ht="15" customHeight="1" x14ac:dyDescent="0.2">
      <c r="A71" s="22" t="s">
        <v>124</v>
      </c>
      <c r="B71" s="22" t="s">
        <v>294</v>
      </c>
      <c r="C71" s="22">
        <v>0.3</v>
      </c>
      <c r="D71" s="22" t="s">
        <v>801</v>
      </c>
      <c r="E71" s="22"/>
    </row>
    <row r="72" spans="1:5" ht="15" customHeight="1" x14ac:dyDescent="0.2">
      <c r="A72" s="22" t="s">
        <v>124</v>
      </c>
      <c r="B72" s="22" t="s">
        <v>221</v>
      </c>
      <c r="C72" s="22">
        <v>0.7</v>
      </c>
      <c r="D72" s="22" t="s">
        <v>801</v>
      </c>
      <c r="E72" s="22"/>
    </row>
    <row r="73" spans="1:5" ht="15" customHeight="1" x14ac:dyDescent="0.2">
      <c r="A73" s="22" t="s">
        <v>804</v>
      </c>
      <c r="B73" s="22" t="s">
        <v>148</v>
      </c>
      <c r="C73" s="22">
        <v>1</v>
      </c>
      <c r="D73" s="22" t="s">
        <v>801</v>
      </c>
      <c r="E73" s="22"/>
    </row>
    <row r="74" spans="1:5" ht="15" customHeight="1" x14ac:dyDescent="0.2">
      <c r="A74" s="22" t="s">
        <v>126</v>
      </c>
      <c r="B74" s="22" t="s">
        <v>148</v>
      </c>
      <c r="C74" s="22">
        <v>1</v>
      </c>
      <c r="D74" s="22" t="s">
        <v>801</v>
      </c>
      <c r="E74" s="22"/>
    </row>
    <row r="75" spans="1:5" ht="15" customHeight="1" x14ac:dyDescent="0.2">
      <c r="A75" s="22" t="s">
        <v>127</v>
      </c>
      <c r="B75" s="22" t="s">
        <v>148</v>
      </c>
      <c r="C75" s="22">
        <v>0.25</v>
      </c>
      <c r="D75" s="22" t="s">
        <v>801</v>
      </c>
      <c r="E75" s="22"/>
    </row>
    <row r="76" spans="1:5" ht="15" customHeight="1" x14ac:dyDescent="0.2">
      <c r="A76" s="22" t="s">
        <v>128</v>
      </c>
      <c r="B76" s="22" t="s">
        <v>148</v>
      </c>
      <c r="C76" s="22">
        <v>1</v>
      </c>
      <c r="D76" s="22" t="s">
        <v>801</v>
      </c>
      <c r="E76" s="22"/>
    </row>
    <row r="77" spans="1:5" ht="15" customHeight="1" x14ac:dyDescent="0.2">
      <c r="A77" s="22" t="s">
        <v>129</v>
      </c>
      <c r="B77" s="22" t="s">
        <v>148</v>
      </c>
      <c r="C77" s="22">
        <v>1.25</v>
      </c>
      <c r="D77" s="22" t="s">
        <v>801</v>
      </c>
      <c r="E77" s="22"/>
    </row>
    <row r="78" spans="1:5" ht="15" customHeight="1" x14ac:dyDescent="0.2">
      <c r="A78" s="22" t="s">
        <v>131</v>
      </c>
      <c r="B78" s="22" t="s">
        <v>148</v>
      </c>
      <c r="C78" s="22">
        <v>2</v>
      </c>
      <c r="D78" s="22" t="s">
        <v>801</v>
      </c>
      <c r="E78" s="22"/>
    </row>
    <row r="79" spans="1:5" ht="15" customHeight="1" x14ac:dyDescent="0.2">
      <c r="A79" s="22" t="s">
        <v>132</v>
      </c>
      <c r="B79" s="22" t="s">
        <v>148</v>
      </c>
      <c r="C79" s="22">
        <v>1</v>
      </c>
      <c r="D79" s="22" t="s">
        <v>801</v>
      </c>
      <c r="E79" s="22"/>
    </row>
    <row r="80" spans="1:5" ht="15" customHeight="1" x14ac:dyDescent="0.2">
      <c r="A80" s="22" t="s">
        <v>132</v>
      </c>
      <c r="B80" s="22" t="s">
        <v>294</v>
      </c>
      <c r="C80" s="22">
        <v>0.15</v>
      </c>
      <c r="D80" s="22" t="s">
        <v>801</v>
      </c>
      <c r="E80" s="22"/>
    </row>
    <row r="81" spans="1:5" ht="15" customHeight="1" x14ac:dyDescent="0.2">
      <c r="A81" s="22" t="s">
        <v>132</v>
      </c>
      <c r="B81" s="22" t="s">
        <v>221</v>
      </c>
      <c r="C81" s="22">
        <v>0.35</v>
      </c>
      <c r="D81" s="22" t="s">
        <v>801</v>
      </c>
      <c r="E81" s="22"/>
    </row>
    <row r="82" spans="1:5" ht="15" customHeight="1" x14ac:dyDescent="0.2">
      <c r="A82" s="22" t="s">
        <v>133</v>
      </c>
      <c r="B82" s="22" t="s">
        <v>148</v>
      </c>
      <c r="C82" s="22">
        <v>0.5</v>
      </c>
      <c r="D82" s="22" t="s">
        <v>801</v>
      </c>
      <c r="E82" s="22"/>
    </row>
    <row r="83" spans="1:5" ht="15" customHeight="1" x14ac:dyDescent="0.2">
      <c r="A83" s="22" t="s">
        <v>135</v>
      </c>
      <c r="B83" s="22" t="s">
        <v>148</v>
      </c>
      <c r="C83" s="22">
        <v>2</v>
      </c>
      <c r="D83" s="22" t="s">
        <v>801</v>
      </c>
      <c r="E83" s="22"/>
    </row>
    <row r="84" spans="1:5" ht="15" customHeight="1" x14ac:dyDescent="0.2">
      <c r="A84" s="22" t="s">
        <v>136</v>
      </c>
      <c r="B84" s="22" t="s">
        <v>148</v>
      </c>
      <c r="C84" s="22">
        <v>1</v>
      </c>
      <c r="D84" s="22" t="s">
        <v>801</v>
      </c>
      <c r="E84" s="22"/>
    </row>
    <row r="85" spans="1:5" ht="15" customHeight="1" x14ac:dyDescent="0.2">
      <c r="A85" s="22" t="s">
        <v>137</v>
      </c>
      <c r="B85" s="22" t="s">
        <v>148</v>
      </c>
      <c r="C85" s="22">
        <v>2</v>
      </c>
      <c r="D85" s="22" t="s">
        <v>801</v>
      </c>
      <c r="E85" s="22"/>
    </row>
    <row r="86" spans="1:5" ht="15" customHeight="1" x14ac:dyDescent="0.2">
      <c r="A86" s="22" t="s">
        <v>137</v>
      </c>
      <c r="B86" s="22" t="s">
        <v>238</v>
      </c>
      <c r="C86" s="22">
        <v>2</v>
      </c>
      <c r="D86" s="22" t="s">
        <v>801</v>
      </c>
      <c r="E86" s="22"/>
    </row>
    <row r="87" spans="1:5" ht="15" customHeight="1" x14ac:dyDescent="0.2">
      <c r="A87" s="22" t="s">
        <v>138</v>
      </c>
      <c r="B87" s="22" t="s">
        <v>148</v>
      </c>
      <c r="C87" s="22">
        <v>1</v>
      </c>
      <c r="D87" s="22" t="s">
        <v>801</v>
      </c>
      <c r="E87" s="22"/>
    </row>
    <row r="88" spans="1:5" ht="15" customHeight="1" x14ac:dyDescent="0.2">
      <c r="A88" s="22" t="s">
        <v>139</v>
      </c>
      <c r="B88" s="22" t="s">
        <v>148</v>
      </c>
      <c r="C88" s="22">
        <v>2.5</v>
      </c>
      <c r="D88" s="22" t="s">
        <v>801</v>
      </c>
      <c r="E88" s="22"/>
    </row>
    <row r="89" spans="1:5" ht="15" customHeight="1" x14ac:dyDescent="0.2">
      <c r="A89" s="22" t="s">
        <v>140</v>
      </c>
      <c r="B89" s="22" t="s">
        <v>148</v>
      </c>
      <c r="C89" s="22">
        <v>0.5</v>
      </c>
      <c r="D89" s="22" t="s">
        <v>801</v>
      </c>
      <c r="E89" s="22"/>
    </row>
    <row r="90" spans="1:5" ht="15" customHeight="1" x14ac:dyDescent="0.2">
      <c r="A90" s="22" t="s">
        <v>141</v>
      </c>
      <c r="B90" s="22" t="s">
        <v>148</v>
      </c>
      <c r="C90" s="22">
        <v>1</v>
      </c>
      <c r="D90" s="22" t="s">
        <v>801</v>
      </c>
      <c r="E90" s="22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G412"/>
  <sheetViews>
    <sheetView zoomScaleNormal="100" workbookViewId="0">
      <pane ySplit="3" topLeftCell="A392" activePane="bottomLeft" state="frozen"/>
      <selection pane="bottomLeft" activeCell="D3" sqref="D1:D1048576"/>
    </sheetView>
  </sheetViews>
  <sheetFormatPr baseColWidth="10" defaultColWidth="8.6640625" defaultRowHeight="15" customHeight="1" x14ac:dyDescent="0.2"/>
  <cols>
    <col min="1" max="1" width="20" customWidth="1"/>
    <col min="2" max="2" width="16" customWidth="1"/>
    <col min="3" max="3" width="38" customWidth="1"/>
    <col min="4" max="4" width="16" customWidth="1"/>
    <col min="5" max="5" width="18" customWidth="1"/>
    <col min="6" max="6" width="12" customWidth="1"/>
    <col min="7" max="7" width="20" customWidth="1"/>
  </cols>
  <sheetData>
    <row r="1" spans="1:7" ht="17.25" customHeight="1" x14ac:dyDescent="0.2">
      <c r="A1" s="143" t="s">
        <v>805</v>
      </c>
      <c r="B1" s="143"/>
      <c r="C1" s="143"/>
      <c r="D1" s="143"/>
      <c r="E1" s="143"/>
      <c r="F1" s="143"/>
      <c r="G1" s="143"/>
    </row>
    <row r="2" spans="1:7" ht="15" customHeight="1" x14ac:dyDescent="0.2">
      <c r="A2" s="146" t="s">
        <v>806</v>
      </c>
      <c r="B2" s="146"/>
      <c r="C2" s="146"/>
      <c r="D2" s="146"/>
      <c r="E2" s="146"/>
      <c r="F2" s="146"/>
      <c r="G2" s="146"/>
    </row>
    <row r="3" spans="1:7" ht="34.5" customHeight="1" x14ac:dyDescent="0.2">
      <c r="A3" s="26" t="s">
        <v>63</v>
      </c>
      <c r="B3" s="26" t="s">
        <v>64</v>
      </c>
      <c r="C3" s="26" t="s">
        <v>695</v>
      </c>
      <c r="D3" s="26" t="s">
        <v>807</v>
      </c>
      <c r="E3" s="26" t="s">
        <v>69</v>
      </c>
      <c r="F3" s="26" t="s">
        <v>808</v>
      </c>
      <c r="G3" s="26" t="s">
        <v>809</v>
      </c>
    </row>
    <row r="4" spans="1:7" ht="15" customHeight="1" x14ac:dyDescent="0.2">
      <c r="A4" s="34" t="str">
        <f>'① Timelog Input'!B4</f>
        <v>Ankit</v>
      </c>
      <c r="B4" s="34" t="str">
        <f>'① Timelog Input'!C4</f>
        <v>CAS-IH_1070</v>
      </c>
      <c r="C4" s="34" t="str">
        <f>'① Timelog Input'!R$3</f>
        <v>4P TAXES LLC</v>
      </c>
      <c r="D4" s="35">
        <f>'① Timelog Input'!R4</f>
        <v>21.5</v>
      </c>
      <c r="E4" s="34" t="str">
        <f>'① Timelog Input'!H4</f>
        <v>Accounting</v>
      </c>
      <c r="F4" s="36" t="str">
        <f t="shared" ref="F4:F67" si="0">IF(OR(E4="HR",E4="IT",E4="Marketing"),"YES","NO")</f>
        <v>NO</v>
      </c>
      <c r="G4" s="35">
        <f>IFERROR(VLOOKUP(B4,'② Salary Input'!A:V,14,FALSE())/Settings!B6,0)</f>
        <v>375</v>
      </c>
    </row>
    <row r="5" spans="1:7" ht="15" customHeight="1" x14ac:dyDescent="0.2">
      <c r="A5" s="34" t="str">
        <f>'① Timelog Input'!B4</f>
        <v>Ankit</v>
      </c>
      <c r="B5" s="34" t="str">
        <f>'① Timelog Input'!C4</f>
        <v>CAS-IH_1070</v>
      </c>
      <c r="C5" s="34" t="str">
        <f>'① Timelog Input'!AI$3</f>
        <v>CLOUDIT</v>
      </c>
      <c r="D5" s="35">
        <f>'① Timelog Input'!AI4</f>
        <v>5.84</v>
      </c>
      <c r="E5" s="34" t="str">
        <f>'① Timelog Input'!H4</f>
        <v>Accounting</v>
      </c>
      <c r="F5" s="36" t="str">
        <f t="shared" si="0"/>
        <v>NO</v>
      </c>
      <c r="G5" s="35">
        <f>IFERROR(VLOOKUP(B5,'② Salary Input'!A:V,14,FALSE())/Settings!B6,0)</f>
        <v>375</v>
      </c>
    </row>
    <row r="6" spans="1:7" ht="15" customHeight="1" x14ac:dyDescent="0.2">
      <c r="A6" s="34" t="str">
        <f>'① Timelog Input'!B4</f>
        <v>Ankit</v>
      </c>
      <c r="B6" s="34" t="str">
        <f>'① Timelog Input'!C4</f>
        <v>CAS-IH_1070</v>
      </c>
      <c r="C6" s="34" t="str">
        <f>'① Timelog Input'!AR$3</f>
        <v>IAM ACCOUNTING LLC</v>
      </c>
      <c r="D6" s="35">
        <f>'① Timelog Input'!AR4</f>
        <v>86.08</v>
      </c>
      <c r="E6" s="34" t="str">
        <f>'① Timelog Input'!H4</f>
        <v>Accounting</v>
      </c>
      <c r="F6" s="36" t="str">
        <f t="shared" si="0"/>
        <v>NO</v>
      </c>
      <c r="G6" s="35">
        <f>IFERROR(VLOOKUP(B6,'② Salary Input'!A:V,14,FALSE())/Settings!B6,0)</f>
        <v>375</v>
      </c>
    </row>
    <row r="7" spans="1:7" ht="15" customHeight="1" x14ac:dyDescent="0.2">
      <c r="A7" s="34" t="str">
        <f>'① Timelog Input'!B5</f>
        <v>Astha.D</v>
      </c>
      <c r="B7" s="34" t="str">
        <f>'① Timelog Input'!C5</f>
        <v>CAS-IH_1092</v>
      </c>
      <c r="C7" s="34" t="str">
        <f>'① Timelog Input'!AT$3</f>
        <v>INVENT WEALTH, CPA</v>
      </c>
      <c r="D7" s="35">
        <f>'① Timelog Input'!AT5</f>
        <v>156.75</v>
      </c>
      <c r="E7" s="34" t="str">
        <f>'① Timelog Input'!H5</f>
        <v>Accounting</v>
      </c>
      <c r="F7" s="36" t="str">
        <f t="shared" si="0"/>
        <v>NO</v>
      </c>
      <c r="G7" s="35">
        <f>IFERROR(VLOOKUP(B7,'② Salary Input'!A:V,14,FALSE())/Settings!B6,0)</f>
        <v>281.25</v>
      </c>
    </row>
    <row r="8" spans="1:7" ht="15" customHeight="1" x14ac:dyDescent="0.2">
      <c r="A8" s="34" t="str">
        <f>'① Timelog Input'!B6</f>
        <v>Pragati.S</v>
      </c>
      <c r="B8" s="34" t="str">
        <f>'① Timelog Input'!C6</f>
        <v>CAS-IH_1105</v>
      </c>
      <c r="C8" s="34" t="str">
        <f>'① Timelog Input'!AC$3</f>
        <v>BRIGHTSKIES BUSINESS SERVICES, LLC</v>
      </c>
      <c r="D8" s="35">
        <f>'① Timelog Input'!AC6</f>
        <v>69.58</v>
      </c>
      <c r="E8" s="34" t="str">
        <f>'① Timelog Input'!H6</f>
        <v>Accounting</v>
      </c>
      <c r="F8" s="36" t="str">
        <f t="shared" si="0"/>
        <v>NO</v>
      </c>
      <c r="G8" s="35">
        <f>IFERROR(VLOOKUP(B8,'② Salary Input'!A:V,14,FALSE())/Settings!B6,0)</f>
        <v>406.25</v>
      </c>
    </row>
    <row r="9" spans="1:7" ht="15" customHeight="1" x14ac:dyDescent="0.2">
      <c r="A9" s="34" t="str">
        <f>'① Timelog Input'!B6</f>
        <v>Pragati.S</v>
      </c>
      <c r="B9" s="34" t="str">
        <f>'① Timelog Input'!C6</f>
        <v>CAS-IH_1105</v>
      </c>
      <c r="C9" s="34" t="str">
        <f>'① Timelog Input'!AI$3</f>
        <v>CLOUDIT</v>
      </c>
      <c r="D9" s="35">
        <f>'① Timelog Input'!AI6</f>
        <v>16.61</v>
      </c>
      <c r="E9" s="34" t="str">
        <f>'① Timelog Input'!H6</f>
        <v>Accounting</v>
      </c>
      <c r="F9" s="36" t="str">
        <f t="shared" si="0"/>
        <v>NO</v>
      </c>
      <c r="G9" s="35">
        <f>IFERROR(VLOOKUP(B9,'② Salary Input'!A:V,14,FALSE())/Settings!B6,0)</f>
        <v>406.25</v>
      </c>
    </row>
    <row r="10" spans="1:7" ht="15" customHeight="1" x14ac:dyDescent="0.2">
      <c r="A10" s="34" t="str">
        <f>'① Timelog Input'!B6</f>
        <v>Pragati.S</v>
      </c>
      <c r="B10" s="34" t="str">
        <f>'① Timelog Input'!C6</f>
        <v>CAS-IH_1105</v>
      </c>
      <c r="C10" s="34" t="str">
        <f>'① Timelog Input'!AT$3</f>
        <v>INVENT WEALTH, CPA</v>
      </c>
      <c r="D10" s="35">
        <f>'① Timelog Input'!AT6</f>
        <v>3.82</v>
      </c>
      <c r="E10" s="34" t="str">
        <f>'① Timelog Input'!H6</f>
        <v>Accounting</v>
      </c>
      <c r="F10" s="36" t="str">
        <f t="shared" si="0"/>
        <v>NO</v>
      </c>
      <c r="G10" s="35">
        <f>IFERROR(VLOOKUP(B10,'② Salary Input'!A:V,14,FALSE())/Settings!B6,0)</f>
        <v>406.25</v>
      </c>
    </row>
    <row r="11" spans="1:7" ht="15" customHeight="1" x14ac:dyDescent="0.2">
      <c r="A11" s="34" t="str">
        <f>'① Timelog Input'!B6</f>
        <v>Pragati.S</v>
      </c>
      <c r="B11" s="34" t="str">
        <f>'① Timelog Input'!C6</f>
        <v>CAS-IH_1105</v>
      </c>
      <c r="C11" s="34" t="str">
        <f>'① Timelog Input'!AY$3</f>
        <v>MAINSPRING SOLUTIONS</v>
      </c>
      <c r="D11" s="35">
        <f>'① Timelog Input'!AY6</f>
        <v>27.4</v>
      </c>
      <c r="E11" s="34" t="str">
        <f>'① Timelog Input'!H6</f>
        <v>Accounting</v>
      </c>
      <c r="F11" s="36" t="str">
        <f t="shared" si="0"/>
        <v>NO</v>
      </c>
      <c r="G11" s="35">
        <f>IFERROR(VLOOKUP(B11,'② Salary Input'!A:V,14,FALSE())/Settings!B6,0)</f>
        <v>406.25</v>
      </c>
    </row>
    <row r="12" spans="1:7" ht="15" customHeight="1" x14ac:dyDescent="0.2">
      <c r="A12" s="34" t="str">
        <f>'① Timelog Input'!B6</f>
        <v>Pragati.S</v>
      </c>
      <c r="B12" s="34" t="str">
        <f>'① Timelog Input'!C6</f>
        <v>CAS-IH_1105</v>
      </c>
      <c r="C12" s="34" t="str">
        <f>'① Timelog Input'!BA$3</f>
        <v>MATHESON &amp; ASSOCIATES</v>
      </c>
      <c r="D12" s="35">
        <f>'① Timelog Input'!BA6</f>
        <v>8.17</v>
      </c>
      <c r="E12" s="34" t="str">
        <f>'① Timelog Input'!H6</f>
        <v>Accounting</v>
      </c>
      <c r="F12" s="36" t="str">
        <f t="shared" si="0"/>
        <v>NO</v>
      </c>
      <c r="G12" s="35">
        <f>IFERROR(VLOOKUP(B12,'② Salary Input'!A:V,14,FALSE())/Settings!B6,0)</f>
        <v>406.25</v>
      </c>
    </row>
    <row r="13" spans="1:7" ht="15" customHeight="1" x14ac:dyDescent="0.2">
      <c r="A13" s="34" t="str">
        <f>'① Timelog Input'!B7</f>
        <v>Anshul.O</v>
      </c>
      <c r="B13" s="34" t="str">
        <f>'① Timelog Input'!C7</f>
        <v>CAS-IH_1109</v>
      </c>
      <c r="C13" s="34" t="str">
        <f>'① Timelog Input'!Y$3</f>
        <v>ANCIENT CITY ACCOUNTING LLC</v>
      </c>
      <c r="D13" s="35">
        <f>'① Timelog Input'!Y7</f>
        <v>4.5</v>
      </c>
      <c r="E13" s="34" t="str">
        <f>'① Timelog Input'!H7</f>
        <v>Accounting</v>
      </c>
      <c r="F13" s="36" t="str">
        <f t="shared" si="0"/>
        <v>NO</v>
      </c>
      <c r="G13" s="35">
        <f>IFERROR(VLOOKUP(B13,'② Salary Input'!A:V,14,FALSE())/Settings!B6,0)</f>
        <v>525</v>
      </c>
    </row>
    <row r="14" spans="1:7" ht="15" customHeight="1" x14ac:dyDescent="0.2">
      <c r="A14" s="34" t="str">
        <f>'① Timelog Input'!B7</f>
        <v>Anshul.O</v>
      </c>
      <c r="B14" s="34" t="str">
        <f>'① Timelog Input'!C7</f>
        <v>CAS-IH_1109</v>
      </c>
      <c r="C14" s="34" t="str">
        <f>'① Timelog Input'!AC$3</f>
        <v>BRIGHTSKIES BUSINESS SERVICES, LLC</v>
      </c>
      <c r="D14" s="35">
        <f>'① Timelog Input'!AC7</f>
        <v>31.67</v>
      </c>
      <c r="E14" s="34" t="str">
        <f>'① Timelog Input'!H7</f>
        <v>Accounting</v>
      </c>
      <c r="F14" s="36" t="str">
        <f t="shared" si="0"/>
        <v>NO</v>
      </c>
      <c r="G14" s="35">
        <f>IFERROR(VLOOKUP(B14,'② Salary Input'!A:V,14,FALSE())/Settings!B6,0)</f>
        <v>525</v>
      </c>
    </row>
    <row r="15" spans="1:7" ht="15" customHeight="1" x14ac:dyDescent="0.2">
      <c r="A15" s="34" t="str">
        <f>'① Timelog Input'!B7</f>
        <v>Anshul.O</v>
      </c>
      <c r="B15" s="34" t="str">
        <f>'① Timelog Input'!C7</f>
        <v>CAS-IH_1109</v>
      </c>
      <c r="C15" s="34" t="str">
        <f>'① Timelog Input'!AD$3</f>
        <v>BUSINESS NAVIGATORS LLC</v>
      </c>
      <c r="D15" s="35">
        <f>'① Timelog Input'!AD7</f>
        <v>9.5</v>
      </c>
      <c r="E15" s="34" t="str">
        <f>'① Timelog Input'!H7</f>
        <v>Accounting</v>
      </c>
      <c r="F15" s="36" t="str">
        <f t="shared" si="0"/>
        <v>NO</v>
      </c>
      <c r="G15" s="35">
        <f>IFERROR(VLOOKUP(B15,'② Salary Input'!A:V,14,FALSE())/Settings!B6,0)</f>
        <v>525</v>
      </c>
    </row>
    <row r="16" spans="1:7" ht="15" customHeight="1" x14ac:dyDescent="0.2">
      <c r="A16" s="34" t="str">
        <f>'① Timelog Input'!B7</f>
        <v>Anshul.O</v>
      </c>
      <c r="B16" s="34" t="str">
        <f>'① Timelog Input'!C7</f>
        <v>CAS-IH_1109</v>
      </c>
      <c r="C16" s="34" t="str">
        <f>'① Timelog Input'!AI$3</f>
        <v>CLOUDIT</v>
      </c>
      <c r="D16" s="35">
        <f>'① Timelog Input'!AI7</f>
        <v>19.5</v>
      </c>
      <c r="E16" s="34" t="str">
        <f>'① Timelog Input'!H7</f>
        <v>Accounting</v>
      </c>
      <c r="F16" s="36" t="str">
        <f t="shared" si="0"/>
        <v>NO</v>
      </c>
      <c r="G16" s="35">
        <f>IFERROR(VLOOKUP(B16,'② Salary Input'!A:V,14,FALSE())/Settings!B6,0)</f>
        <v>525</v>
      </c>
    </row>
    <row r="17" spans="1:7" ht="15" customHeight="1" x14ac:dyDescent="0.2">
      <c r="A17" s="34" t="str">
        <f>'① Timelog Input'!B7</f>
        <v>Anshul.O</v>
      </c>
      <c r="B17" s="34" t="str">
        <f>'① Timelog Input'!C7</f>
        <v>CAS-IH_1109</v>
      </c>
      <c r="C17" s="34" t="str">
        <f>'① Timelog Input'!AQ$3</f>
        <v>HIA TAX</v>
      </c>
      <c r="D17" s="35">
        <f>'① Timelog Input'!AQ7</f>
        <v>6</v>
      </c>
      <c r="E17" s="34" t="str">
        <f>'① Timelog Input'!H7</f>
        <v>Accounting</v>
      </c>
      <c r="F17" s="36" t="str">
        <f t="shared" si="0"/>
        <v>NO</v>
      </c>
      <c r="G17" s="35">
        <f>IFERROR(VLOOKUP(B17,'② Salary Input'!A:V,14,FALSE())/Settings!B6,0)</f>
        <v>525</v>
      </c>
    </row>
    <row r="18" spans="1:7" ht="15" customHeight="1" x14ac:dyDescent="0.2">
      <c r="A18" s="34" t="str">
        <f>'① Timelog Input'!B7</f>
        <v>Anshul.O</v>
      </c>
      <c r="B18" s="34" t="str">
        <f>'① Timelog Input'!C7</f>
        <v>CAS-IH_1109</v>
      </c>
      <c r="C18" s="34" t="str">
        <f>'① Timelog Input'!AT$3</f>
        <v>INVENT WEALTH, CPA</v>
      </c>
      <c r="D18" s="35">
        <f>'① Timelog Input'!AT7</f>
        <v>19.5</v>
      </c>
      <c r="E18" s="34" t="str">
        <f>'① Timelog Input'!H7</f>
        <v>Accounting</v>
      </c>
      <c r="F18" s="36" t="str">
        <f t="shared" si="0"/>
        <v>NO</v>
      </c>
      <c r="G18" s="35">
        <f>IFERROR(VLOOKUP(B18,'② Salary Input'!A:V,14,FALSE())/Settings!B6,0)</f>
        <v>525</v>
      </c>
    </row>
    <row r="19" spans="1:7" ht="15" customHeight="1" x14ac:dyDescent="0.2">
      <c r="A19" s="34" t="str">
        <f>'① Timelog Input'!B7</f>
        <v>Anshul.O</v>
      </c>
      <c r="B19" s="34" t="str">
        <f>'① Timelog Input'!C7</f>
        <v>CAS-IH_1109</v>
      </c>
      <c r="C19" s="34" t="str">
        <f>'① Timelog Input'!AY$3</f>
        <v>MAINSPRING SOLUTIONS</v>
      </c>
      <c r="D19" s="35">
        <f>'① Timelog Input'!AY7</f>
        <v>6</v>
      </c>
      <c r="E19" s="34" t="str">
        <f>'① Timelog Input'!H7</f>
        <v>Accounting</v>
      </c>
      <c r="F19" s="36" t="str">
        <f t="shared" si="0"/>
        <v>NO</v>
      </c>
      <c r="G19" s="35">
        <f>IFERROR(VLOOKUP(B19,'② Salary Input'!A:V,14,FALSE())/Settings!B6,0)</f>
        <v>525</v>
      </c>
    </row>
    <row r="20" spans="1:7" ht="15" customHeight="1" x14ac:dyDescent="0.2">
      <c r="A20" s="34" t="str">
        <f>'① Timelog Input'!B7</f>
        <v>Anshul.O</v>
      </c>
      <c r="B20" s="34" t="str">
        <f>'① Timelog Input'!C7</f>
        <v>CAS-IH_1109</v>
      </c>
      <c r="C20" s="34" t="str">
        <f>'① Timelog Input'!BA$3</f>
        <v>MATHESON &amp; ASSOCIATES</v>
      </c>
      <c r="D20" s="35">
        <f>'① Timelog Input'!BA7</f>
        <v>0.5</v>
      </c>
      <c r="E20" s="34" t="str">
        <f>'① Timelog Input'!H7</f>
        <v>Accounting</v>
      </c>
      <c r="F20" s="36" t="str">
        <f t="shared" si="0"/>
        <v>NO</v>
      </c>
      <c r="G20" s="35">
        <f>IFERROR(VLOOKUP(B20,'② Salary Input'!A:V,14,FALSE())/Settings!B6,0)</f>
        <v>525</v>
      </c>
    </row>
    <row r="21" spans="1:7" ht="15" customHeight="1" x14ac:dyDescent="0.2">
      <c r="A21" s="34" t="str">
        <f>'① Timelog Input'!B7</f>
        <v>Anshul.O</v>
      </c>
      <c r="B21" s="34" t="str">
        <f>'① Timelog Input'!C7</f>
        <v>CAS-IH_1109</v>
      </c>
      <c r="C21" s="34" t="str">
        <f>'① Timelog Input'!BG$3</f>
        <v>NEWELL TAYLOR CPA</v>
      </c>
      <c r="D21" s="35">
        <f>'① Timelog Input'!BG7</f>
        <v>2</v>
      </c>
      <c r="E21" s="34" t="str">
        <f>'① Timelog Input'!H7</f>
        <v>Accounting</v>
      </c>
      <c r="F21" s="36" t="str">
        <f t="shared" si="0"/>
        <v>NO</v>
      </c>
      <c r="G21" s="35">
        <f>IFERROR(VLOOKUP(B21,'② Salary Input'!A:V,14,FALSE())/Settings!B6,0)</f>
        <v>525</v>
      </c>
    </row>
    <row r="22" spans="1:7" ht="15" customHeight="1" x14ac:dyDescent="0.2">
      <c r="A22" s="34" t="str">
        <f>'① Timelog Input'!B7</f>
        <v>Anshul.O</v>
      </c>
      <c r="B22" s="34" t="str">
        <f>'① Timelog Input'!C7</f>
        <v>CAS-IH_1109</v>
      </c>
      <c r="C22" s="34" t="str">
        <f>'① Timelog Input'!BO$3</f>
        <v>RRAW CPA LLP</v>
      </c>
      <c r="D22" s="35">
        <f>'① Timelog Input'!BO7</f>
        <v>5</v>
      </c>
      <c r="E22" s="34" t="str">
        <f>'① Timelog Input'!H7</f>
        <v>Accounting</v>
      </c>
      <c r="F22" s="36" t="str">
        <f t="shared" si="0"/>
        <v>NO</v>
      </c>
      <c r="G22" s="35">
        <f>IFERROR(VLOOKUP(B22,'② Salary Input'!A:V,14,FALSE())/Settings!B6,0)</f>
        <v>525</v>
      </c>
    </row>
    <row r="23" spans="1:7" ht="15" customHeight="1" x14ac:dyDescent="0.2">
      <c r="A23" s="34" t="str">
        <f>'① Timelog Input'!B7</f>
        <v>Anshul.O</v>
      </c>
      <c r="B23" s="34" t="str">
        <f>'① Timelog Input'!C7</f>
        <v>CAS-IH_1109</v>
      </c>
      <c r="C23" s="34" t="str">
        <f>'① Timelog Input'!BZ$3</f>
        <v>WB MORROW</v>
      </c>
      <c r="D23" s="35">
        <f>'① Timelog Input'!BZ7</f>
        <v>53.25</v>
      </c>
      <c r="E23" s="34" t="str">
        <f>'① Timelog Input'!H7</f>
        <v>Accounting</v>
      </c>
      <c r="F23" s="36" t="str">
        <f t="shared" si="0"/>
        <v>NO</v>
      </c>
      <c r="G23" s="35">
        <f>IFERROR(VLOOKUP(B23,'② Salary Input'!A:V,14,FALSE())/Settings!B6,0)</f>
        <v>525</v>
      </c>
    </row>
    <row r="24" spans="1:7" ht="15" customHeight="1" x14ac:dyDescent="0.2">
      <c r="A24" s="34" t="str">
        <f>'① Timelog Input'!B8</f>
        <v>Shefali.B</v>
      </c>
      <c r="B24" s="34" t="str">
        <f>'① Timelog Input'!C8</f>
        <v>CAS-IH_1122</v>
      </c>
      <c r="C24" s="34" t="str">
        <f>'① Timelog Input'!AI$3</f>
        <v>CLOUDIT</v>
      </c>
      <c r="D24" s="35">
        <f>'① Timelog Input'!AI8</f>
        <v>5.92</v>
      </c>
      <c r="E24" s="34" t="str">
        <f>'① Timelog Input'!H8</f>
        <v>Accounting</v>
      </c>
      <c r="F24" s="36" t="str">
        <f t="shared" si="0"/>
        <v>NO</v>
      </c>
      <c r="G24" s="35">
        <f>IFERROR(VLOOKUP(B24,'② Salary Input'!A:V,14,FALSE())/Settings!B6,0)</f>
        <v>281.25</v>
      </c>
    </row>
    <row r="25" spans="1:7" ht="15" customHeight="1" x14ac:dyDescent="0.2">
      <c r="A25" s="34" t="str">
        <f>'① Timelog Input'!B8</f>
        <v>Shefali.B</v>
      </c>
      <c r="B25" s="34" t="str">
        <f>'① Timelog Input'!C8</f>
        <v>CAS-IH_1122</v>
      </c>
      <c r="C25" s="34" t="str">
        <f>'① Timelog Input'!BA$3</f>
        <v>MATHESON &amp; ASSOCIATES</v>
      </c>
      <c r="D25" s="35">
        <f>'① Timelog Input'!BA8</f>
        <v>141.49</v>
      </c>
      <c r="E25" s="34" t="str">
        <f>'① Timelog Input'!H8</f>
        <v>Accounting</v>
      </c>
      <c r="F25" s="36" t="str">
        <f t="shared" si="0"/>
        <v>NO</v>
      </c>
      <c r="G25" s="35">
        <f>IFERROR(VLOOKUP(B25,'② Salary Input'!A:V,14,FALSE())/Settings!B6,0)</f>
        <v>281.25</v>
      </c>
    </row>
    <row r="26" spans="1:7" ht="15" customHeight="1" x14ac:dyDescent="0.2">
      <c r="A26" s="34" t="str">
        <f>'① Timelog Input'!B9</f>
        <v>Sandesh.H</v>
      </c>
      <c r="B26" s="34" t="str">
        <f>'① Timelog Input'!C9</f>
        <v>CAS-IH_1149</v>
      </c>
      <c r="C26" s="34" t="str">
        <f>'① Timelog Input'!AB$3</f>
        <v>BRADLEY FINANCIAL SERVICES LLC</v>
      </c>
      <c r="D26" s="35">
        <f>'① Timelog Input'!AB9</f>
        <v>43.5</v>
      </c>
      <c r="E26" s="34" t="str">
        <f>'① Timelog Input'!H9</f>
        <v>Accounting</v>
      </c>
      <c r="F26" s="36" t="str">
        <f t="shared" si="0"/>
        <v>NO</v>
      </c>
      <c r="G26" s="35">
        <f>IFERROR(VLOOKUP(B26,'② Salary Input'!A:V,14,FALSE())/Settings!B6,0)</f>
        <v>250</v>
      </c>
    </row>
    <row r="27" spans="1:7" ht="15" customHeight="1" x14ac:dyDescent="0.2">
      <c r="A27" s="34" t="str">
        <f>'① Timelog Input'!B9</f>
        <v>Sandesh.H</v>
      </c>
      <c r="B27" s="34" t="str">
        <f>'① Timelog Input'!C9</f>
        <v>CAS-IH_1149</v>
      </c>
      <c r="C27" s="34" t="str">
        <f>'① Timelog Input'!AC$3</f>
        <v>BRIGHTSKIES BUSINESS SERVICES, LLC</v>
      </c>
      <c r="D27" s="35">
        <f>'① Timelog Input'!AC9</f>
        <v>122.5</v>
      </c>
      <c r="E27" s="34" t="str">
        <f>'① Timelog Input'!H9</f>
        <v>Accounting</v>
      </c>
      <c r="F27" s="36" t="str">
        <f t="shared" si="0"/>
        <v>NO</v>
      </c>
      <c r="G27" s="35">
        <f>IFERROR(VLOOKUP(B27,'② Salary Input'!A:V,14,FALSE())/Settings!B6,0)</f>
        <v>250</v>
      </c>
    </row>
    <row r="28" spans="1:7" ht="15" customHeight="1" x14ac:dyDescent="0.2">
      <c r="A28" s="34" t="str">
        <f>'① Timelog Input'!B10</f>
        <v>Robin.S</v>
      </c>
      <c r="B28" s="34" t="str">
        <f>'① Timelog Input'!C10</f>
        <v>CAS-IH_1162</v>
      </c>
      <c r="C28" s="34" t="str">
        <f>'① Timelog Input'!AI$3</f>
        <v>CLOUDIT</v>
      </c>
      <c r="D28" s="35">
        <f>'① Timelog Input'!AI10</f>
        <v>1</v>
      </c>
      <c r="E28" s="34" t="str">
        <f>'① Timelog Input'!H10</f>
        <v>Accounting</v>
      </c>
      <c r="F28" s="36" t="str">
        <f t="shared" si="0"/>
        <v>NO</v>
      </c>
      <c r="G28" s="35">
        <f>IFERROR(VLOOKUP(B28,'② Salary Input'!A:V,14,FALSE())/Settings!B6,0)</f>
        <v>250</v>
      </c>
    </row>
    <row r="29" spans="1:7" ht="15" customHeight="1" x14ac:dyDescent="0.2">
      <c r="A29" s="34" t="str">
        <f>'① Timelog Input'!B10</f>
        <v>Robin.S</v>
      </c>
      <c r="B29" s="34" t="str">
        <f>'① Timelog Input'!C10</f>
        <v>CAS-IH_1162</v>
      </c>
      <c r="C29" s="34" t="str">
        <f>'① Timelog Input'!AT$3</f>
        <v>INVENT WEALTH, CPA</v>
      </c>
      <c r="D29" s="35">
        <f>'① Timelog Input'!AT10</f>
        <v>140.24</v>
      </c>
      <c r="E29" s="34" t="str">
        <f>'① Timelog Input'!H10</f>
        <v>Accounting</v>
      </c>
      <c r="F29" s="36" t="str">
        <f t="shared" si="0"/>
        <v>NO</v>
      </c>
      <c r="G29" s="35">
        <f>IFERROR(VLOOKUP(B29,'② Salary Input'!A:V,14,FALSE())/Settings!B6,0)</f>
        <v>250</v>
      </c>
    </row>
    <row r="30" spans="1:7" ht="15" customHeight="1" x14ac:dyDescent="0.2">
      <c r="A30" s="34" t="str">
        <f>'① Timelog Input'!B11</f>
        <v>Vijet.B</v>
      </c>
      <c r="B30" s="34" t="str">
        <f>'① Timelog Input'!C11</f>
        <v>CAS-RR_2371</v>
      </c>
      <c r="C30" s="34" t="str">
        <f>'① Timelog Input'!AI$3</f>
        <v>CLOUDIT</v>
      </c>
      <c r="D30" s="35">
        <f>'① Timelog Input'!AI11</f>
        <v>2</v>
      </c>
      <c r="E30" s="34" t="str">
        <f>'① Timelog Input'!H11</f>
        <v>Accounting</v>
      </c>
      <c r="F30" s="36" t="str">
        <f t="shared" si="0"/>
        <v>NO</v>
      </c>
      <c r="G30" s="35">
        <f>IFERROR(VLOOKUP(B30,'② Salary Input'!A:V,14,FALSE())/Settings!B6,0)</f>
        <v>200</v>
      </c>
    </row>
    <row r="31" spans="1:7" ht="15" customHeight="1" x14ac:dyDescent="0.2">
      <c r="A31" s="34" t="str">
        <f>'① Timelog Input'!B11</f>
        <v>Vijet.B</v>
      </c>
      <c r="B31" s="34" t="str">
        <f>'① Timelog Input'!C11</f>
        <v>CAS-RR_2371</v>
      </c>
      <c r="C31" s="34" t="str">
        <f>'① Timelog Input'!AQ$3</f>
        <v>HIA TAX</v>
      </c>
      <c r="D31" s="35">
        <f>'① Timelog Input'!AQ11</f>
        <v>73</v>
      </c>
      <c r="E31" s="34" t="str">
        <f>'① Timelog Input'!H11</f>
        <v>Accounting</v>
      </c>
      <c r="F31" s="36" t="str">
        <f t="shared" si="0"/>
        <v>NO</v>
      </c>
      <c r="G31" s="35">
        <f>IFERROR(VLOOKUP(B31,'② Salary Input'!A:V,14,FALSE())/Settings!B6,0)</f>
        <v>200</v>
      </c>
    </row>
    <row r="32" spans="1:7" ht="15" customHeight="1" x14ac:dyDescent="0.2">
      <c r="A32" s="34" t="str">
        <f>'① Timelog Input'!B11</f>
        <v>Vijet.B</v>
      </c>
      <c r="B32" s="34" t="str">
        <f>'① Timelog Input'!C11</f>
        <v>CAS-RR_2371</v>
      </c>
      <c r="C32" s="34" t="str">
        <f>'① Timelog Input'!BG$3</f>
        <v>NEWELL TAYLOR CPA</v>
      </c>
      <c r="D32" s="35">
        <f>'① Timelog Input'!BG11</f>
        <v>82.75</v>
      </c>
      <c r="E32" s="34" t="str">
        <f>'① Timelog Input'!H11</f>
        <v>Accounting</v>
      </c>
      <c r="F32" s="36" t="str">
        <f t="shared" si="0"/>
        <v>NO</v>
      </c>
      <c r="G32" s="35">
        <f>IFERROR(VLOOKUP(B32,'② Salary Input'!A:V,14,FALSE())/Settings!B6,0)</f>
        <v>200</v>
      </c>
    </row>
    <row r="33" spans="1:7" ht="15" customHeight="1" x14ac:dyDescent="0.2">
      <c r="A33" s="34" t="str">
        <f>'① Timelog Input'!B12</f>
        <v>Somya.B</v>
      </c>
      <c r="B33" s="34" t="str">
        <f>'① Timelog Input'!C12</f>
        <v>CAS-IH_1169</v>
      </c>
      <c r="C33" s="34" t="str">
        <f>'① Timelog Input'!Y$3</f>
        <v>ANCIENT CITY ACCOUNTING LLC</v>
      </c>
      <c r="D33" s="35">
        <f>'① Timelog Input'!Y12</f>
        <v>139.75</v>
      </c>
      <c r="E33" s="34" t="str">
        <f>'① Timelog Input'!H12</f>
        <v>Accounting</v>
      </c>
      <c r="F33" s="36" t="str">
        <f t="shared" si="0"/>
        <v>NO</v>
      </c>
      <c r="G33" s="35">
        <f>IFERROR(VLOOKUP(B33,'② Salary Input'!A:V,14,FALSE())/Settings!B6,0)</f>
        <v>312.5</v>
      </c>
    </row>
    <row r="34" spans="1:7" ht="15" customHeight="1" x14ac:dyDescent="0.2">
      <c r="A34" s="34" t="str">
        <f>'① Timelog Input'!B12</f>
        <v>Somya.B</v>
      </c>
      <c r="B34" s="34" t="str">
        <f>'① Timelog Input'!C12</f>
        <v>CAS-IH_1169</v>
      </c>
      <c r="C34" s="34" t="str">
        <f>'① Timelog Input'!AI$3</f>
        <v>CLOUDIT</v>
      </c>
      <c r="D34" s="35">
        <f>'① Timelog Input'!AI12</f>
        <v>7</v>
      </c>
      <c r="E34" s="34" t="str">
        <f>'① Timelog Input'!H12</f>
        <v>Accounting</v>
      </c>
      <c r="F34" s="36" t="str">
        <f t="shared" si="0"/>
        <v>NO</v>
      </c>
      <c r="G34" s="35">
        <f>IFERROR(VLOOKUP(B34,'② Salary Input'!A:V,14,FALSE())/Settings!B6,0)</f>
        <v>312.5</v>
      </c>
    </row>
    <row r="35" spans="1:7" ht="23.25" customHeight="1" x14ac:dyDescent="0.2">
      <c r="A35" s="34" t="str">
        <f>'① Timelog Input'!B13</f>
        <v>Jasleen.D</v>
      </c>
      <c r="B35" s="34" t="str">
        <f>'① Timelog Input'!C13</f>
        <v>CAS-IH_1069</v>
      </c>
      <c r="C35" s="34" t="str">
        <f>'① Timelog Input'!Q$3</f>
        <v>406 CONSULTING LLC</v>
      </c>
      <c r="D35" s="35">
        <f>'① Timelog Input'!Q13</f>
        <v>0</v>
      </c>
      <c r="E35" s="34" t="str">
        <f>'① Timelog Input'!H13</f>
        <v>Accounting</v>
      </c>
      <c r="F35" s="36" t="str">
        <f t="shared" si="0"/>
        <v>NO</v>
      </c>
      <c r="G35" s="35">
        <f>IFERROR(VLOOKUP(B35,'② Salary Input'!A:V,14,FALSE())/Settings!B6,0)</f>
        <v>1531.25</v>
      </c>
    </row>
    <row r="36" spans="1:7" ht="23.25" customHeight="1" x14ac:dyDescent="0.2">
      <c r="A36" s="34" t="str">
        <f>'① Timelog Input'!B13</f>
        <v>Jasleen.D</v>
      </c>
      <c r="B36" s="34" t="str">
        <f>'① Timelog Input'!C13</f>
        <v>CAS-IH_1069</v>
      </c>
      <c r="C36" s="34" t="str">
        <f>'① Timelog Input'!AI$3</f>
        <v>CLOUDIT</v>
      </c>
      <c r="D36" s="35">
        <f>'① Timelog Input'!AI13</f>
        <v>54</v>
      </c>
      <c r="E36" s="34" t="str">
        <f>'① Timelog Input'!H13</f>
        <v>Accounting</v>
      </c>
      <c r="F36" s="36" t="str">
        <f t="shared" si="0"/>
        <v>NO</v>
      </c>
      <c r="G36" s="35">
        <f>IFERROR(VLOOKUP(B36,'② Salary Input'!A:V,14,FALSE())/Settings!B6,0)</f>
        <v>1531.25</v>
      </c>
    </row>
    <row r="37" spans="1:7" ht="23.25" customHeight="1" x14ac:dyDescent="0.2">
      <c r="A37" s="34" t="str">
        <f>'① Timelog Input'!B13</f>
        <v>Jasleen.D</v>
      </c>
      <c r="B37" s="34" t="str">
        <f>'① Timelog Input'!C13</f>
        <v>CAS-IH_1069</v>
      </c>
      <c r="C37" s="34" t="str">
        <f>'① Timelog Input'!AM$3</f>
        <v>Fleming Accounting Solutions</v>
      </c>
      <c r="D37" s="35">
        <f>'① Timelog Input'!AM13</f>
        <v>0</v>
      </c>
      <c r="E37" s="34" t="str">
        <f>'① Timelog Input'!H13</f>
        <v>Accounting</v>
      </c>
      <c r="F37" s="36" t="str">
        <f t="shared" si="0"/>
        <v>NO</v>
      </c>
      <c r="G37" s="35">
        <f>IFERROR(VLOOKUP(B37,'② Salary Input'!A:V,14,FALSE())/Settings!B6,0)</f>
        <v>1531.25</v>
      </c>
    </row>
    <row r="38" spans="1:7" ht="23.25" customHeight="1" x14ac:dyDescent="0.2">
      <c r="A38" s="34" t="str">
        <f>'① Timelog Input'!B13</f>
        <v>Jasleen.D</v>
      </c>
      <c r="B38" s="34" t="str">
        <f>'① Timelog Input'!C13</f>
        <v>CAS-IH_1069</v>
      </c>
      <c r="C38" s="34" t="str">
        <f>'① Timelog Input'!AN$3</f>
        <v>FULL COMPLIANCE, LLC</v>
      </c>
      <c r="D38" s="35">
        <f>'① Timelog Input'!AN13</f>
        <v>0</v>
      </c>
      <c r="E38" s="34" t="str">
        <f>'① Timelog Input'!H13</f>
        <v>Accounting</v>
      </c>
      <c r="F38" s="36" t="str">
        <f t="shared" si="0"/>
        <v>NO</v>
      </c>
      <c r="G38" s="35">
        <f>IFERROR(VLOOKUP(B38,'② Salary Input'!A:V,14,FALSE())/Settings!B6,0)</f>
        <v>1531.25</v>
      </c>
    </row>
    <row r="39" spans="1:7" ht="23.25" customHeight="1" x14ac:dyDescent="0.2">
      <c r="A39" s="34" t="str">
        <f>'① Timelog Input'!B13</f>
        <v>Jasleen.D</v>
      </c>
      <c r="B39" s="34" t="str">
        <f>'① Timelog Input'!C13</f>
        <v>CAS-IH_1069</v>
      </c>
      <c r="C39" s="34" t="str">
        <f>'① Timelog Input'!AT$3</f>
        <v>INVENT WEALTH, CPA</v>
      </c>
      <c r="D39" s="35">
        <f>'① Timelog Input'!AT13</f>
        <v>2</v>
      </c>
      <c r="E39" s="34" t="str">
        <f>'① Timelog Input'!H13</f>
        <v>Accounting</v>
      </c>
      <c r="F39" s="36" t="str">
        <f t="shared" si="0"/>
        <v>NO</v>
      </c>
      <c r="G39" s="35">
        <f>IFERROR(VLOOKUP(B39,'② Salary Input'!A:V,14,FALSE())/Settings!B6,0)</f>
        <v>1531.25</v>
      </c>
    </row>
    <row r="40" spans="1:7" ht="23.25" customHeight="1" x14ac:dyDescent="0.2">
      <c r="A40" s="34" t="str">
        <f>'① Timelog Input'!B13</f>
        <v>Jasleen.D</v>
      </c>
      <c r="B40" s="34" t="str">
        <f>'① Timelog Input'!C13</f>
        <v>CAS-IH_1069</v>
      </c>
      <c r="C40" s="34" t="str">
        <f>'① Timelog Input'!AZ$3</f>
        <v>MARTIN D. EISENSTEIN, CPA</v>
      </c>
      <c r="D40" s="35">
        <f>'① Timelog Input'!AZ13</f>
        <v>0</v>
      </c>
      <c r="E40" s="34" t="str">
        <f>'① Timelog Input'!H13</f>
        <v>Accounting</v>
      </c>
      <c r="F40" s="36" t="str">
        <f t="shared" si="0"/>
        <v>NO</v>
      </c>
      <c r="G40" s="35">
        <f>IFERROR(VLOOKUP(B40,'② Salary Input'!A:V,14,FALSE())/Settings!B6,0)</f>
        <v>1531.25</v>
      </c>
    </row>
    <row r="41" spans="1:7" ht="23.25" customHeight="1" x14ac:dyDescent="0.2">
      <c r="A41" s="34" t="str">
        <f>'① Timelog Input'!B13</f>
        <v>Jasleen.D</v>
      </c>
      <c r="B41" s="34" t="str">
        <f>'① Timelog Input'!C13</f>
        <v>CAS-IH_1069</v>
      </c>
      <c r="C41" s="34" t="str">
        <f>'① Timelog Input'!BE$3</f>
        <v>NATIONAL TAX CENTERS, LLC</v>
      </c>
      <c r="D41" s="35">
        <f>'① Timelog Input'!BE13</f>
        <v>0</v>
      </c>
      <c r="E41" s="34" t="str">
        <f>'① Timelog Input'!H13</f>
        <v>Accounting</v>
      </c>
      <c r="F41" s="36" t="str">
        <f t="shared" si="0"/>
        <v>NO</v>
      </c>
      <c r="G41" s="35">
        <f>IFERROR(VLOOKUP(B41,'② Salary Input'!A:V,14,FALSE())/Settings!B6,0)</f>
        <v>1531.25</v>
      </c>
    </row>
    <row r="42" spans="1:7" ht="23.25" customHeight="1" x14ac:dyDescent="0.2">
      <c r="A42" s="34" t="str">
        <f>'① Timelog Input'!B13</f>
        <v>Jasleen.D</v>
      </c>
      <c r="B42" s="34" t="str">
        <f>'① Timelog Input'!C13</f>
        <v>CAS-IH_1069</v>
      </c>
      <c r="C42" s="34" t="str">
        <f>'① Timelog Input'!BK$3</f>
        <v>PROVISION ACCOUNTING SOLUTIONS</v>
      </c>
      <c r="D42" s="35">
        <f>'① Timelog Input'!BK13</f>
        <v>0</v>
      </c>
      <c r="E42" s="34" t="str">
        <f>'① Timelog Input'!H13</f>
        <v>Accounting</v>
      </c>
      <c r="F42" s="36" t="str">
        <f t="shared" si="0"/>
        <v>NO</v>
      </c>
      <c r="G42" s="35">
        <f>IFERROR(VLOOKUP(B42,'② Salary Input'!A:V,14,FALSE())/Settings!B6,0)</f>
        <v>1531.25</v>
      </c>
    </row>
    <row r="43" spans="1:7" ht="23.25" customHeight="1" x14ac:dyDescent="0.2">
      <c r="A43" s="34" t="str">
        <f>'① Timelog Input'!B13</f>
        <v>Jasleen.D</v>
      </c>
      <c r="B43" s="34" t="str">
        <f>'① Timelog Input'!C13</f>
        <v>CAS-IH_1069</v>
      </c>
      <c r="C43" s="34" t="str">
        <f>'① Timelog Input'!BL$3</f>
        <v>PW ADVISORS LLC</v>
      </c>
      <c r="D43" s="35">
        <f>'① Timelog Input'!BL13</f>
        <v>0</v>
      </c>
      <c r="E43" s="34" t="str">
        <f>'① Timelog Input'!H13</f>
        <v>Accounting</v>
      </c>
      <c r="F43" s="36" t="str">
        <f t="shared" si="0"/>
        <v>NO</v>
      </c>
      <c r="G43" s="35">
        <f>IFERROR(VLOOKUP(B43,'② Salary Input'!A:V,14,FALSE())/Settings!B6,0)</f>
        <v>1531.25</v>
      </c>
    </row>
    <row r="44" spans="1:7" ht="15" customHeight="1" x14ac:dyDescent="0.2">
      <c r="A44" s="34" t="str">
        <f>'① Timelog Input'!B14</f>
        <v>Jyoti</v>
      </c>
      <c r="B44" s="34" t="str">
        <f>'① Timelog Input'!C14</f>
        <v>CAS-IH_1037</v>
      </c>
      <c r="C44" s="34" t="str">
        <f>'① Timelog Input'!AI$3</f>
        <v>CLOUDIT</v>
      </c>
      <c r="D44" s="35">
        <f>'① Timelog Input'!AI14</f>
        <v>40.159999999999997</v>
      </c>
      <c r="E44" s="34" t="str">
        <f>'① Timelog Input'!H14</f>
        <v>Accounting, Business Tax, VA</v>
      </c>
      <c r="F44" s="36" t="str">
        <f t="shared" si="0"/>
        <v>NO</v>
      </c>
      <c r="G44" s="35">
        <f>IFERROR(VLOOKUP(B44,'② Salary Input'!A:V,14,FALSE())/Settings!B6,0)</f>
        <v>0</v>
      </c>
    </row>
    <row r="45" spans="1:7" ht="23.25" customHeight="1" x14ac:dyDescent="0.2">
      <c r="A45" s="34" t="str">
        <f>'① Timelog Input'!B15</f>
        <v>Vini</v>
      </c>
      <c r="B45" s="34" t="str">
        <f>'① Timelog Input'!C15</f>
        <v>CAS-IH_1018</v>
      </c>
      <c r="C45" s="34" t="str">
        <f>'① Timelog Input'!AI$3</f>
        <v>CLOUDIT</v>
      </c>
      <c r="D45" s="35">
        <f>'① Timelog Input'!AI15</f>
        <v>10.42</v>
      </c>
      <c r="E45" s="34" t="str">
        <f>'① Timelog Input'!H15</f>
        <v>HR</v>
      </c>
      <c r="F45" s="36" t="str">
        <f t="shared" si="0"/>
        <v>YES</v>
      </c>
      <c r="G45" s="35">
        <f>IFERROR(VLOOKUP(B45,'② Salary Input'!A:V,14,FALSE())/Settings!B6,0)</f>
        <v>1093.75</v>
      </c>
    </row>
    <row r="46" spans="1:7" ht="23.25" customHeight="1" x14ac:dyDescent="0.2">
      <c r="A46" s="34" t="str">
        <f>'① Timelog Input'!B15</f>
        <v>Vini</v>
      </c>
      <c r="B46" s="34" t="str">
        <f>'① Timelog Input'!C15</f>
        <v>CAS-IH_1018</v>
      </c>
      <c r="C46" s="34" t="str">
        <f>'① Timelog Input'!AM$3</f>
        <v>Fleming Accounting Solutions</v>
      </c>
      <c r="D46" s="35">
        <f>'① Timelog Input'!AM15</f>
        <v>0</v>
      </c>
      <c r="E46" s="34" t="str">
        <f>'① Timelog Input'!H15</f>
        <v>HR</v>
      </c>
      <c r="F46" s="36" t="str">
        <f t="shared" si="0"/>
        <v>YES</v>
      </c>
      <c r="G46" s="35">
        <f>IFERROR(VLOOKUP(B46,'② Salary Input'!A:V,14,FALSE())/Settings!B6,0)</f>
        <v>1093.75</v>
      </c>
    </row>
    <row r="47" spans="1:7" ht="23.25" customHeight="1" x14ac:dyDescent="0.2">
      <c r="A47" s="34" t="str">
        <f>'① Timelog Input'!B15</f>
        <v>Vini</v>
      </c>
      <c r="B47" s="34" t="str">
        <f>'① Timelog Input'!C15</f>
        <v>CAS-IH_1018</v>
      </c>
      <c r="C47" s="34" t="str">
        <f>'① Timelog Input'!AT$3</f>
        <v>INVENT WEALTH, CPA</v>
      </c>
      <c r="D47" s="35">
        <f>'① Timelog Input'!AT15</f>
        <v>0</v>
      </c>
      <c r="E47" s="34" t="str">
        <f>'① Timelog Input'!H15</f>
        <v>HR</v>
      </c>
      <c r="F47" s="36" t="str">
        <f t="shared" si="0"/>
        <v>YES</v>
      </c>
      <c r="G47" s="35">
        <f>IFERROR(VLOOKUP(B47,'② Salary Input'!A:V,14,FALSE())/Settings!B6,0)</f>
        <v>1093.75</v>
      </c>
    </row>
    <row r="48" spans="1:7" ht="23.25" customHeight="1" x14ac:dyDescent="0.2">
      <c r="A48" s="34" t="str">
        <f>'① Timelog Input'!B15</f>
        <v>Vini</v>
      </c>
      <c r="B48" s="34" t="str">
        <f>'① Timelog Input'!C15</f>
        <v>CAS-IH_1018</v>
      </c>
      <c r="C48" s="34" t="str">
        <f>'① Timelog Input'!AU$3</f>
        <v>jmWILLIAMS, CPA, LLP</v>
      </c>
      <c r="D48" s="35">
        <f>'① Timelog Input'!AU15</f>
        <v>0</v>
      </c>
      <c r="E48" s="34" t="str">
        <f>'① Timelog Input'!H15</f>
        <v>HR</v>
      </c>
      <c r="F48" s="36" t="str">
        <f t="shared" si="0"/>
        <v>YES</v>
      </c>
      <c r="G48" s="35">
        <f>IFERROR(VLOOKUP(B48,'② Salary Input'!A:V,14,FALSE())/Settings!B6,0)</f>
        <v>1093.75</v>
      </c>
    </row>
    <row r="49" spans="1:7" ht="23.25" customHeight="1" x14ac:dyDescent="0.2">
      <c r="A49" s="34" t="str">
        <f>'① Timelog Input'!B15</f>
        <v>Vini</v>
      </c>
      <c r="B49" s="34" t="str">
        <f>'① Timelog Input'!C15</f>
        <v>CAS-IH_1018</v>
      </c>
      <c r="C49" s="34" t="str">
        <f>'① Timelog Input'!AZ$3</f>
        <v>MARTIN D. EISENSTEIN, CPA</v>
      </c>
      <c r="D49" s="35">
        <f>'① Timelog Input'!AZ15</f>
        <v>0</v>
      </c>
      <c r="E49" s="34" t="str">
        <f>'① Timelog Input'!H15</f>
        <v>HR</v>
      </c>
      <c r="F49" s="36" t="str">
        <f t="shared" si="0"/>
        <v>YES</v>
      </c>
      <c r="G49" s="35">
        <f>IFERROR(VLOOKUP(B49,'② Salary Input'!A:V,14,FALSE())/Settings!B6,0)</f>
        <v>1093.75</v>
      </c>
    </row>
    <row r="50" spans="1:7" ht="23.25" customHeight="1" x14ac:dyDescent="0.2">
      <c r="A50" s="34" t="str">
        <f>'① Timelog Input'!B15</f>
        <v>Vini</v>
      </c>
      <c r="B50" s="34" t="str">
        <f>'① Timelog Input'!C15</f>
        <v>CAS-IH_1018</v>
      </c>
      <c r="C50" s="34" t="str">
        <f>'① Timelog Input'!BE$3</f>
        <v>NATIONAL TAX CENTERS, LLC</v>
      </c>
      <c r="D50" s="35">
        <f>'① Timelog Input'!BE15</f>
        <v>0</v>
      </c>
      <c r="E50" s="34" t="str">
        <f>'① Timelog Input'!H15</f>
        <v>HR</v>
      </c>
      <c r="F50" s="36" t="str">
        <f t="shared" si="0"/>
        <v>YES</v>
      </c>
      <c r="G50" s="35">
        <f>IFERROR(VLOOKUP(B50,'② Salary Input'!A:V,14,FALSE())/Settings!B6,0)</f>
        <v>1093.75</v>
      </c>
    </row>
    <row r="51" spans="1:7" ht="23.25" customHeight="1" x14ac:dyDescent="0.2">
      <c r="A51" s="34" t="str">
        <f>'① Timelog Input'!B15</f>
        <v>Vini</v>
      </c>
      <c r="B51" s="34" t="str">
        <f>'① Timelog Input'!C15</f>
        <v>CAS-IH_1018</v>
      </c>
      <c r="C51" s="34" t="str">
        <f>'① Timelog Input'!BK$3</f>
        <v>PROVISION ACCOUNTING SOLUTIONS</v>
      </c>
      <c r="D51" s="35">
        <f>'① Timelog Input'!BK15</f>
        <v>0</v>
      </c>
      <c r="E51" s="34" t="str">
        <f>'① Timelog Input'!H15</f>
        <v>HR</v>
      </c>
      <c r="F51" s="36" t="str">
        <f t="shared" si="0"/>
        <v>YES</v>
      </c>
      <c r="G51" s="35">
        <f>IFERROR(VLOOKUP(B51,'② Salary Input'!A:V,14,FALSE())/Settings!B6,0)</f>
        <v>1093.75</v>
      </c>
    </row>
    <row r="52" spans="1:7" ht="23.25" customHeight="1" x14ac:dyDescent="0.2">
      <c r="A52" s="34" t="str">
        <f>'① Timelog Input'!B15</f>
        <v>Vini</v>
      </c>
      <c r="B52" s="34" t="str">
        <f>'① Timelog Input'!C15</f>
        <v>CAS-IH_1018</v>
      </c>
      <c r="C52" s="34" t="str">
        <f>'① Timelog Input'!BL$3</f>
        <v>PW ADVISORS LLC</v>
      </c>
      <c r="D52" s="35">
        <f>'① Timelog Input'!BL15</f>
        <v>0</v>
      </c>
      <c r="E52" s="34" t="str">
        <f>'① Timelog Input'!H15</f>
        <v>HR</v>
      </c>
      <c r="F52" s="36" t="str">
        <f t="shared" si="0"/>
        <v>YES</v>
      </c>
      <c r="G52" s="35">
        <f>IFERROR(VLOOKUP(B52,'② Salary Input'!A:V,14,FALSE())/Settings!B6,0)</f>
        <v>1093.75</v>
      </c>
    </row>
    <row r="53" spans="1:7" ht="23.25" customHeight="1" x14ac:dyDescent="0.2">
      <c r="A53" s="34" t="str">
        <f>'① Timelog Input'!B15</f>
        <v>Vini</v>
      </c>
      <c r="B53" s="34" t="str">
        <f>'① Timelog Input'!C15</f>
        <v>CAS-IH_1018</v>
      </c>
      <c r="C53" s="34" t="str">
        <f>'① Timelog Input'!BT$3</f>
        <v>TAX GEEK LLC</v>
      </c>
      <c r="D53" s="35">
        <f>'① Timelog Input'!BT15</f>
        <v>0</v>
      </c>
      <c r="E53" s="34" t="str">
        <f>'① Timelog Input'!H15</f>
        <v>HR</v>
      </c>
      <c r="F53" s="36" t="str">
        <f t="shared" si="0"/>
        <v>YES</v>
      </c>
      <c r="G53" s="35">
        <f>IFERROR(VLOOKUP(B53,'② Salary Input'!A:V,14,FALSE())/Settings!B6,0)</f>
        <v>1093.75</v>
      </c>
    </row>
    <row r="54" spans="1:7" ht="23.25" customHeight="1" x14ac:dyDescent="0.2">
      <c r="A54" s="34" t="str">
        <f>'① Timelog Input'!B16</f>
        <v>Asmita</v>
      </c>
      <c r="B54" s="34" t="str">
        <f>'① Timelog Input'!C16</f>
        <v>CAS-IH_1049</v>
      </c>
      <c r="C54" s="34" t="str">
        <f>'① Timelog Input'!U$3</f>
        <v>ACE CPA</v>
      </c>
      <c r="D54" s="35">
        <f>'① Timelog Input'!U16</f>
        <v>0</v>
      </c>
      <c r="E54" s="34" t="str">
        <f>'① Timelog Input'!H16</f>
        <v>Accounting, Business Tax</v>
      </c>
      <c r="F54" s="36" t="str">
        <f t="shared" si="0"/>
        <v>NO</v>
      </c>
      <c r="G54" s="35">
        <f>IFERROR(VLOOKUP(B54,'② Salary Input'!A:V,14,FALSE())/Settings!B6,0)</f>
        <v>390.625</v>
      </c>
    </row>
    <row r="55" spans="1:7" ht="23.25" customHeight="1" x14ac:dyDescent="0.2">
      <c r="A55" s="34" t="str">
        <f>'① Timelog Input'!B16</f>
        <v>Asmita</v>
      </c>
      <c r="B55" s="34" t="str">
        <f>'① Timelog Input'!C16</f>
        <v>CAS-IH_1049</v>
      </c>
      <c r="C55" s="34" t="str">
        <f>'① Timelog Input'!AI$3</f>
        <v>CLOUDIT</v>
      </c>
      <c r="D55" s="35">
        <f>'① Timelog Input'!AI16</f>
        <v>1</v>
      </c>
      <c r="E55" s="34" t="str">
        <f>'① Timelog Input'!H16</f>
        <v>Accounting, Business Tax</v>
      </c>
      <c r="F55" s="36" t="str">
        <f t="shared" si="0"/>
        <v>NO</v>
      </c>
      <c r="G55" s="35">
        <f>IFERROR(VLOOKUP(B55,'② Salary Input'!A:V,14,FALSE())/Settings!B6,0)</f>
        <v>390.625</v>
      </c>
    </row>
    <row r="56" spans="1:7" ht="23.25" customHeight="1" x14ac:dyDescent="0.2">
      <c r="A56" s="34" t="str">
        <f>'① Timelog Input'!B16</f>
        <v>Asmita</v>
      </c>
      <c r="B56" s="34" t="str">
        <f>'① Timelog Input'!C16</f>
        <v>CAS-IH_1049</v>
      </c>
      <c r="C56" s="34" t="str">
        <f>'① Timelog Input'!BM$3</f>
        <v>RATHEL’S ACCOUNTING SERVICE, INC</v>
      </c>
      <c r="D56" s="35">
        <f>'① Timelog Input'!BM16</f>
        <v>0</v>
      </c>
      <c r="E56" s="34" t="str">
        <f>'① Timelog Input'!H16</f>
        <v>Accounting, Business Tax</v>
      </c>
      <c r="F56" s="36" t="str">
        <f t="shared" si="0"/>
        <v>NO</v>
      </c>
      <c r="G56" s="35">
        <f>IFERROR(VLOOKUP(B56,'② Salary Input'!A:V,14,FALSE())/Settings!B6,0)</f>
        <v>390.625</v>
      </c>
    </row>
    <row r="57" spans="1:7" ht="23.25" customHeight="1" x14ac:dyDescent="0.2">
      <c r="A57" s="34" t="str">
        <f>'① Timelog Input'!B16</f>
        <v>Asmita</v>
      </c>
      <c r="B57" s="34" t="str">
        <f>'① Timelog Input'!C16</f>
        <v>CAS-IH_1049</v>
      </c>
      <c r="C57" s="34" t="str">
        <f>'① Timelog Input'!CA$3</f>
        <v>WE ARE QUADRANT</v>
      </c>
      <c r="D57" s="35">
        <f>'① Timelog Input'!CA16</f>
        <v>0</v>
      </c>
      <c r="E57" s="34" t="str">
        <f>'① Timelog Input'!H16</f>
        <v>Accounting, Business Tax</v>
      </c>
      <c r="F57" s="36" t="str">
        <f t="shared" si="0"/>
        <v>NO</v>
      </c>
      <c r="G57" s="35">
        <f>IFERROR(VLOOKUP(B57,'② Salary Input'!A:V,14,FALSE())/Settings!B6,0)</f>
        <v>390.625</v>
      </c>
    </row>
    <row r="58" spans="1:7" ht="23.25" customHeight="1" x14ac:dyDescent="0.2">
      <c r="A58" s="34" t="str">
        <f>'① Timelog Input'!B16</f>
        <v>Asmita</v>
      </c>
      <c r="B58" s="34" t="str">
        <f>'① Timelog Input'!C16</f>
        <v>CAS-IH_1049</v>
      </c>
      <c r="C58" s="34" t="str">
        <f>'① Timelog Input'!CB$3</f>
        <v>WIGGS CPA TAX &amp; ACCOUNTING</v>
      </c>
      <c r="D58" s="35">
        <f>'① Timelog Input'!CB16</f>
        <v>0</v>
      </c>
      <c r="E58" s="34" t="str">
        <f>'① Timelog Input'!H16</f>
        <v>Accounting, Business Tax</v>
      </c>
      <c r="F58" s="36" t="str">
        <f t="shared" si="0"/>
        <v>NO</v>
      </c>
      <c r="G58" s="35">
        <f>IFERROR(VLOOKUP(B58,'② Salary Input'!A:V,14,FALSE())/Settings!B6,0)</f>
        <v>390.625</v>
      </c>
    </row>
    <row r="59" spans="1:7" ht="15" customHeight="1" x14ac:dyDescent="0.2">
      <c r="A59" s="34" t="str">
        <f>'① Timelog Input'!B18</f>
        <v>Ayushi</v>
      </c>
      <c r="B59" s="34" t="str">
        <f>'① Timelog Input'!C18</f>
        <v>CAS-IH_1051</v>
      </c>
      <c r="C59" s="34" t="str">
        <f>'① Timelog Input'!U$3</f>
        <v>ACE CPA</v>
      </c>
      <c r="D59" s="35">
        <f>'① Timelog Input'!U18</f>
        <v>0</v>
      </c>
      <c r="E59" s="34" t="str">
        <f>'① Timelog Input'!H18</f>
        <v>Accounting, Business Tax</v>
      </c>
      <c r="F59" s="36" t="str">
        <f t="shared" si="0"/>
        <v>NO</v>
      </c>
      <c r="G59" s="35">
        <f>IFERROR(VLOOKUP(B59,'② Salary Input'!A:V,14,FALSE())/Settings!B6,0)</f>
        <v>906.25</v>
      </c>
    </row>
    <row r="60" spans="1:7" ht="15" customHeight="1" x14ac:dyDescent="0.2">
      <c r="A60" s="34" t="str">
        <f>'① Timelog Input'!B18</f>
        <v>Ayushi</v>
      </c>
      <c r="B60" s="34" t="str">
        <f>'① Timelog Input'!C18</f>
        <v>CAS-IH_1051</v>
      </c>
      <c r="C60" s="34" t="str">
        <f>'① Timelog Input'!W$3</f>
        <v>ACTION ACCOUNTING</v>
      </c>
      <c r="D60" s="35">
        <f>'① Timelog Input'!W18</f>
        <v>0</v>
      </c>
      <c r="E60" s="34" t="str">
        <f>'① Timelog Input'!H18</f>
        <v>Accounting, Business Tax</v>
      </c>
      <c r="F60" s="36" t="str">
        <f t="shared" si="0"/>
        <v>NO</v>
      </c>
      <c r="G60" s="35">
        <f>IFERROR(VLOOKUP(B60,'② Salary Input'!A:V,14,FALSE())/Settings!B6,0)</f>
        <v>906.25</v>
      </c>
    </row>
    <row r="61" spans="1:7" ht="15" customHeight="1" x14ac:dyDescent="0.2">
      <c r="A61" s="34" t="str">
        <f>'① Timelog Input'!B18</f>
        <v>Ayushi</v>
      </c>
      <c r="B61" s="34" t="str">
        <f>'① Timelog Input'!C18</f>
        <v>CAS-IH_1051</v>
      </c>
      <c r="C61" s="34" t="str">
        <f>'① Timelog Input'!AI$3</f>
        <v>CLOUDIT</v>
      </c>
      <c r="D61" s="35">
        <f>'① Timelog Input'!AI18</f>
        <v>0</v>
      </c>
      <c r="E61" s="34" t="str">
        <f>'① Timelog Input'!H18</f>
        <v>Accounting, Business Tax</v>
      </c>
      <c r="F61" s="36" t="str">
        <f t="shared" si="0"/>
        <v>NO</v>
      </c>
      <c r="G61" s="35">
        <f>IFERROR(VLOOKUP(B61,'② Salary Input'!A:V,14,FALSE())/Settings!B6,0)</f>
        <v>906.25</v>
      </c>
    </row>
    <row r="62" spans="1:7" ht="15" customHeight="1" x14ac:dyDescent="0.2">
      <c r="A62" s="34" t="str">
        <f>'① Timelog Input'!B18</f>
        <v>Ayushi</v>
      </c>
      <c r="B62" s="34" t="str">
        <f>'① Timelog Input'!C18</f>
        <v>CAS-IH_1051</v>
      </c>
      <c r="C62" s="34" t="str">
        <f>'① Timelog Input'!BB$3</f>
        <v>MCFADDEN ACCOUNTING</v>
      </c>
      <c r="D62" s="35">
        <f>'① Timelog Input'!BB18</f>
        <v>0</v>
      </c>
      <c r="E62" s="34" t="str">
        <f>'① Timelog Input'!H18</f>
        <v>Accounting, Business Tax</v>
      </c>
      <c r="F62" s="36" t="str">
        <f t="shared" si="0"/>
        <v>NO</v>
      </c>
      <c r="G62" s="35">
        <f>IFERROR(VLOOKUP(B62,'② Salary Input'!A:V,14,FALSE())/Settings!B6,0)</f>
        <v>906.25</v>
      </c>
    </row>
    <row r="63" spans="1:7" ht="15" customHeight="1" x14ac:dyDescent="0.2">
      <c r="A63" s="34" t="str">
        <f>'① Timelog Input'!B18</f>
        <v>Ayushi</v>
      </c>
      <c r="B63" s="34" t="str">
        <f>'① Timelog Input'!C18</f>
        <v>CAS-IH_1051</v>
      </c>
      <c r="C63" s="34" t="str">
        <f>'① Timelog Input'!BL$3</f>
        <v>PW ADVISORS LLC</v>
      </c>
      <c r="D63" s="35">
        <f>'① Timelog Input'!BL18</f>
        <v>0</v>
      </c>
      <c r="E63" s="34" t="str">
        <f>'① Timelog Input'!H18</f>
        <v>Accounting, Business Tax</v>
      </c>
      <c r="F63" s="36" t="str">
        <f t="shared" si="0"/>
        <v>NO</v>
      </c>
      <c r="G63" s="35">
        <f>IFERROR(VLOOKUP(B63,'② Salary Input'!A:V,14,FALSE())/Settings!B6,0)</f>
        <v>906.25</v>
      </c>
    </row>
    <row r="64" spans="1:7" ht="15" customHeight="1" x14ac:dyDescent="0.2">
      <c r="A64" s="34" t="str">
        <f>'① Timelog Input'!B18</f>
        <v>Ayushi</v>
      </c>
      <c r="B64" s="34" t="str">
        <f>'① Timelog Input'!C18</f>
        <v>CAS-IH_1051</v>
      </c>
      <c r="C64" s="34" t="str">
        <f>'① Timelog Input'!BM$3</f>
        <v>RATHEL’S ACCOUNTING SERVICE, INC</v>
      </c>
      <c r="D64" s="35">
        <f>'① Timelog Input'!BM18</f>
        <v>0</v>
      </c>
      <c r="E64" s="34" t="str">
        <f>'① Timelog Input'!H18</f>
        <v>Accounting, Business Tax</v>
      </c>
      <c r="F64" s="36" t="str">
        <f t="shared" si="0"/>
        <v>NO</v>
      </c>
      <c r="G64" s="35">
        <f>IFERROR(VLOOKUP(B64,'② Salary Input'!A:V,14,FALSE())/Settings!B6,0)</f>
        <v>906.25</v>
      </c>
    </row>
    <row r="65" spans="1:7" ht="15" customHeight="1" x14ac:dyDescent="0.2">
      <c r="A65" s="34" t="str">
        <f>'① Timelog Input'!B18</f>
        <v>Ayushi</v>
      </c>
      <c r="B65" s="34" t="str">
        <f>'① Timelog Input'!C18</f>
        <v>CAS-IH_1051</v>
      </c>
      <c r="C65" s="34" t="str">
        <f>'① Timelog Input'!BV$3</f>
        <v>THE TAX CUTTERY</v>
      </c>
      <c r="D65" s="35">
        <f>'① Timelog Input'!BV18</f>
        <v>0</v>
      </c>
      <c r="E65" s="34" t="str">
        <f>'① Timelog Input'!H18</f>
        <v>Accounting, Business Tax</v>
      </c>
      <c r="F65" s="36" t="str">
        <f t="shared" si="0"/>
        <v>NO</v>
      </c>
      <c r="G65" s="35">
        <f>IFERROR(VLOOKUP(B65,'② Salary Input'!A:V,14,FALSE())/Settings!B6,0)</f>
        <v>906.25</v>
      </c>
    </row>
    <row r="66" spans="1:7" ht="15" customHeight="1" x14ac:dyDescent="0.2">
      <c r="A66" s="34" t="str">
        <f>'① Timelog Input'!B18</f>
        <v>Ayushi</v>
      </c>
      <c r="B66" s="34" t="str">
        <f>'① Timelog Input'!C18</f>
        <v>CAS-IH_1051</v>
      </c>
      <c r="C66" s="34" t="str">
        <f>'① Timelog Input'!BW$3</f>
        <v>THINKING MAPS, INC.</v>
      </c>
      <c r="D66" s="35">
        <f>'① Timelog Input'!BW18</f>
        <v>0</v>
      </c>
      <c r="E66" s="34" t="str">
        <f>'① Timelog Input'!H18</f>
        <v>Accounting, Business Tax</v>
      </c>
      <c r="F66" s="36" t="str">
        <f t="shared" si="0"/>
        <v>NO</v>
      </c>
      <c r="G66" s="35">
        <f>IFERROR(VLOOKUP(B66,'② Salary Input'!A:V,14,FALSE())/Settings!B6,0)</f>
        <v>906.25</v>
      </c>
    </row>
    <row r="67" spans="1:7" ht="15" customHeight="1" x14ac:dyDescent="0.2">
      <c r="A67" s="34" t="str">
        <f>'① Timelog Input'!B18</f>
        <v>Ayushi</v>
      </c>
      <c r="B67" s="34" t="str">
        <f>'① Timelog Input'!C18</f>
        <v>CAS-IH_1051</v>
      </c>
      <c r="C67" s="34" t="str">
        <f>'① Timelog Input'!CA$3</f>
        <v>WE ARE QUADRANT</v>
      </c>
      <c r="D67" s="35">
        <f>'① Timelog Input'!CA18</f>
        <v>0</v>
      </c>
      <c r="E67" s="34" t="str">
        <f>'① Timelog Input'!H18</f>
        <v>Accounting, Business Tax</v>
      </c>
      <c r="F67" s="36" t="str">
        <f t="shared" si="0"/>
        <v>NO</v>
      </c>
      <c r="G67" s="35">
        <f>IFERROR(VLOOKUP(B67,'② Salary Input'!A:V,14,FALSE())/Settings!B6,0)</f>
        <v>906.25</v>
      </c>
    </row>
    <row r="68" spans="1:7" ht="15" customHeight="1" x14ac:dyDescent="0.2">
      <c r="A68" s="34" t="str">
        <f>'① Timelog Input'!B18</f>
        <v>Ayushi</v>
      </c>
      <c r="B68" s="34" t="str">
        <f>'① Timelog Input'!C18</f>
        <v>CAS-IH_1051</v>
      </c>
      <c r="C68" s="34" t="str">
        <f>'① Timelog Input'!CC$3</f>
        <v>XPERT BOOKKEEPING LLC</v>
      </c>
      <c r="D68" s="35">
        <f>'① Timelog Input'!CC18</f>
        <v>0</v>
      </c>
      <c r="E68" s="34" t="str">
        <f>'① Timelog Input'!H18</f>
        <v>Accounting, Business Tax</v>
      </c>
      <c r="F68" s="36" t="str">
        <f t="shared" ref="F68:F131" si="1">IF(OR(E68="HR",E68="IT",E68="Marketing"),"YES","NO")</f>
        <v>NO</v>
      </c>
      <c r="G68" s="35">
        <f>IFERROR(VLOOKUP(B68,'② Salary Input'!A:V,14,FALSE())/Settings!B6,0)</f>
        <v>906.25</v>
      </c>
    </row>
    <row r="69" spans="1:7" ht="15" customHeight="1" x14ac:dyDescent="0.2">
      <c r="A69" s="34" t="str">
        <f>'① Timelog Input'!B21</f>
        <v>Gaganjot</v>
      </c>
      <c r="B69" s="34" t="str">
        <f>'① Timelog Input'!C21</f>
        <v>CAS-IH_1159</v>
      </c>
      <c r="C69" s="34" t="str">
        <f>'① Timelog Input'!AI$3</f>
        <v>CLOUDIT</v>
      </c>
      <c r="D69" s="35">
        <f>'① Timelog Input'!AI21</f>
        <v>0</v>
      </c>
      <c r="E69" s="34" t="str">
        <f>'① Timelog Input'!H21</f>
        <v>Accounting, Business Tax</v>
      </c>
      <c r="F69" s="36" t="str">
        <f t="shared" si="1"/>
        <v>NO</v>
      </c>
      <c r="G69" s="35">
        <f>IFERROR(VLOOKUP(B69,'② Salary Input'!A:V,14,FALSE())/Settings!B6,0)</f>
        <v>437.5</v>
      </c>
    </row>
    <row r="70" spans="1:7" ht="15" customHeight="1" x14ac:dyDescent="0.2">
      <c r="A70" s="34" t="str">
        <f>'① Timelog Input'!B21</f>
        <v>Gaganjot</v>
      </c>
      <c r="B70" s="34" t="str">
        <f>'① Timelog Input'!C21</f>
        <v>CAS-IH_1159</v>
      </c>
      <c r="C70" s="34" t="str">
        <f>'① Timelog Input'!AN$3</f>
        <v>FULL COMPLIANCE, LLC</v>
      </c>
      <c r="D70" s="35">
        <f>'① Timelog Input'!AN21</f>
        <v>0</v>
      </c>
      <c r="E70" s="34" t="str">
        <f>'① Timelog Input'!H21</f>
        <v>Accounting, Business Tax</v>
      </c>
      <c r="F70" s="36" t="str">
        <f t="shared" si="1"/>
        <v>NO</v>
      </c>
      <c r="G70" s="35">
        <f>IFERROR(VLOOKUP(B70,'② Salary Input'!A:V,14,FALSE())/Settings!B6,0)</f>
        <v>437.5</v>
      </c>
    </row>
    <row r="71" spans="1:7" ht="15" customHeight="1" x14ac:dyDescent="0.2">
      <c r="A71" s="34" t="str">
        <f>'① Timelog Input'!B21</f>
        <v>Gaganjot</v>
      </c>
      <c r="B71" s="34" t="str">
        <f>'① Timelog Input'!C21</f>
        <v>CAS-IH_1159</v>
      </c>
      <c r="C71" s="34" t="str">
        <f>'① Timelog Input'!AZ$3</f>
        <v>MARTIN D. EISENSTEIN, CPA</v>
      </c>
      <c r="D71" s="35">
        <f>'① Timelog Input'!AZ21</f>
        <v>0</v>
      </c>
      <c r="E71" s="34" t="str">
        <f>'① Timelog Input'!H21</f>
        <v>Accounting, Business Tax</v>
      </c>
      <c r="F71" s="36" t="str">
        <f t="shared" si="1"/>
        <v>NO</v>
      </c>
      <c r="G71" s="35">
        <f>IFERROR(VLOOKUP(B71,'② Salary Input'!A:V,14,FALSE())/Settings!B6,0)</f>
        <v>437.5</v>
      </c>
    </row>
    <row r="72" spans="1:7" ht="15" customHeight="1" x14ac:dyDescent="0.2">
      <c r="A72" s="34" t="str">
        <f>'① Timelog Input'!B21</f>
        <v>Gaganjot</v>
      </c>
      <c r="B72" s="34" t="str">
        <f>'① Timelog Input'!C21</f>
        <v>CAS-IH_1159</v>
      </c>
      <c r="C72" s="34" t="str">
        <f>'① Timelog Input'!BC$3</f>
        <v>MEJIA &amp; ASSOCIATES, INC.</v>
      </c>
      <c r="D72" s="35">
        <f>'① Timelog Input'!BC21</f>
        <v>0</v>
      </c>
      <c r="E72" s="34" t="str">
        <f>'① Timelog Input'!H21</f>
        <v>Accounting, Business Tax</v>
      </c>
      <c r="F72" s="36" t="str">
        <f t="shared" si="1"/>
        <v>NO</v>
      </c>
      <c r="G72" s="35">
        <f>IFERROR(VLOOKUP(B72,'② Salary Input'!A:V,14,FALSE())/Settings!B6,0)</f>
        <v>437.5</v>
      </c>
    </row>
    <row r="73" spans="1:7" ht="15" customHeight="1" x14ac:dyDescent="0.2">
      <c r="A73" s="34" t="str">
        <f>'① Timelog Input'!B21</f>
        <v>Gaganjot</v>
      </c>
      <c r="B73" s="34" t="str">
        <f>'① Timelog Input'!C21</f>
        <v>CAS-IH_1159</v>
      </c>
      <c r="C73" s="34" t="str">
        <f>'① Timelog Input'!BK$3</f>
        <v>PROVISION ACCOUNTING SOLUTIONS</v>
      </c>
      <c r="D73" s="35">
        <f>'① Timelog Input'!BK21</f>
        <v>0</v>
      </c>
      <c r="E73" s="34" t="str">
        <f>'① Timelog Input'!H21</f>
        <v>Accounting, Business Tax</v>
      </c>
      <c r="F73" s="36" t="str">
        <f t="shared" si="1"/>
        <v>NO</v>
      </c>
      <c r="G73" s="35">
        <f>IFERROR(VLOOKUP(B73,'② Salary Input'!A:V,14,FALSE())/Settings!B6,0)</f>
        <v>437.5</v>
      </c>
    </row>
    <row r="74" spans="1:7" ht="15" customHeight="1" x14ac:dyDescent="0.2">
      <c r="A74" s="34" t="str">
        <f>'① Timelog Input'!B21</f>
        <v>Gaganjot</v>
      </c>
      <c r="B74" s="34" t="str">
        <f>'① Timelog Input'!C21</f>
        <v>CAS-IH_1159</v>
      </c>
      <c r="C74" s="34" t="str">
        <f>'① Timelog Input'!BS$3</f>
        <v>SOUTH FLORIDA SECURITY GROUP</v>
      </c>
      <c r="D74" s="35">
        <f>'① Timelog Input'!BS21</f>
        <v>0</v>
      </c>
      <c r="E74" s="34" t="str">
        <f>'① Timelog Input'!H21</f>
        <v>Accounting, Business Tax</v>
      </c>
      <c r="F74" s="36" t="str">
        <f t="shared" si="1"/>
        <v>NO</v>
      </c>
      <c r="G74" s="35">
        <f>IFERROR(VLOOKUP(B74,'② Salary Input'!A:V,14,FALSE())/Settings!B6,0)</f>
        <v>437.5</v>
      </c>
    </row>
    <row r="75" spans="1:7" ht="23.25" customHeight="1" x14ac:dyDescent="0.2">
      <c r="A75" s="34" t="str">
        <f>'① Timelog Input'!B22</f>
        <v>Robin</v>
      </c>
      <c r="B75" s="34" t="str">
        <f>'① Timelog Input'!C22</f>
        <v>CAS-IH_1005</v>
      </c>
      <c r="C75" s="34" t="str">
        <f>'① Timelog Input'!AN$3</f>
        <v>FULL COMPLIANCE, LLC</v>
      </c>
      <c r="D75" s="35">
        <f>'① Timelog Input'!AN22</f>
        <v>130.25</v>
      </c>
      <c r="E75" s="34" t="str">
        <f>'① Timelog Input'!H22</f>
        <v>Accounting</v>
      </c>
      <c r="F75" s="36" t="str">
        <f t="shared" si="1"/>
        <v>NO</v>
      </c>
      <c r="G75" s="35">
        <f>IFERROR(VLOOKUP(B75,'② Salary Input'!A:V,14,FALSE())/Settings!B6,0)</f>
        <v>437.5</v>
      </c>
    </row>
    <row r="76" spans="1:7" ht="15" customHeight="1" x14ac:dyDescent="0.2">
      <c r="A76" s="34" t="str">
        <f>'① Timelog Input'!B23</f>
        <v>Nishu</v>
      </c>
      <c r="B76" s="34" t="str">
        <f>'① Timelog Input'!C23</f>
        <v>CAS-IH_1038</v>
      </c>
      <c r="C76" s="34" t="str">
        <f>'① Timelog Input'!S$3</f>
        <v>AB CAPSTONE GROUP</v>
      </c>
      <c r="D76" s="35">
        <f>'① Timelog Input'!S23</f>
        <v>0</v>
      </c>
      <c r="E76" s="34" t="str">
        <f>'① Timelog Input'!H23</f>
        <v>Accounting, Business Tax, VA</v>
      </c>
      <c r="F76" s="36" t="str">
        <f t="shared" si="1"/>
        <v>NO</v>
      </c>
      <c r="G76" s="35">
        <f>IFERROR(VLOOKUP(B76,'② Salary Input'!A:V,14,FALSE())/Settings!B6,0)</f>
        <v>268.75</v>
      </c>
    </row>
    <row r="77" spans="1:7" ht="23.25" customHeight="1" x14ac:dyDescent="0.2">
      <c r="A77" s="34" t="str">
        <f>'① Timelog Input'!B24</f>
        <v>Pinky</v>
      </c>
      <c r="B77" s="34" t="str">
        <f>'① Timelog Input'!C24</f>
        <v>CAS-RT_2045</v>
      </c>
      <c r="C77" s="34" t="str">
        <f>'① Timelog Input'!V$3</f>
        <v>ACT NOW FINANCIAL SERVICES, LLC</v>
      </c>
      <c r="D77" s="35">
        <f>'① Timelog Input'!V24</f>
        <v>0</v>
      </c>
      <c r="E77" s="34" t="str">
        <f>'① Timelog Input'!H24</f>
        <v>Accounting</v>
      </c>
      <c r="F77" s="36" t="str">
        <f t="shared" si="1"/>
        <v>NO</v>
      </c>
      <c r="G77" s="35">
        <f>IFERROR(VLOOKUP(B77,'② Salary Input'!A:V,14,FALSE())/Settings!B6,0)</f>
        <v>429</v>
      </c>
    </row>
    <row r="78" spans="1:7" ht="23.25" customHeight="1" x14ac:dyDescent="0.2">
      <c r="A78" s="34" t="str">
        <f>'① Timelog Input'!B24</f>
        <v>Pinky</v>
      </c>
      <c r="B78" s="34" t="str">
        <f>'① Timelog Input'!C24</f>
        <v>CAS-RT_2045</v>
      </c>
      <c r="C78" s="34" t="str">
        <f>'① Timelog Input'!AG$3</f>
        <v>CHRIS WHALEN CPA, LLC</v>
      </c>
      <c r="D78" s="35">
        <f>'① Timelog Input'!AG24</f>
        <v>0</v>
      </c>
      <c r="E78" s="34" t="str">
        <f>'① Timelog Input'!H24</f>
        <v>Accounting</v>
      </c>
      <c r="F78" s="36" t="str">
        <f t="shared" si="1"/>
        <v>NO</v>
      </c>
      <c r="G78" s="35">
        <f>IFERROR(VLOOKUP(B78,'② Salary Input'!A:V,14,FALSE())/Settings!B6,0)</f>
        <v>429</v>
      </c>
    </row>
    <row r="79" spans="1:7" ht="23.25" customHeight="1" x14ac:dyDescent="0.2">
      <c r="A79" s="34" t="str">
        <f>'① Timelog Input'!B24</f>
        <v>Pinky</v>
      </c>
      <c r="B79" s="34" t="str">
        <f>'① Timelog Input'!C24</f>
        <v>CAS-RT_2045</v>
      </c>
      <c r="C79" s="34" t="str">
        <f>'① Timelog Input'!AI$3</f>
        <v>CLOUDIT</v>
      </c>
      <c r="D79" s="35">
        <f>'① Timelog Input'!AI24</f>
        <v>0</v>
      </c>
      <c r="E79" s="34" t="str">
        <f>'① Timelog Input'!H24</f>
        <v>Accounting</v>
      </c>
      <c r="F79" s="36" t="str">
        <f t="shared" si="1"/>
        <v>NO</v>
      </c>
      <c r="G79" s="35">
        <f>IFERROR(VLOOKUP(B79,'② Salary Input'!A:V,14,FALSE())/Settings!B6,0)</f>
        <v>429</v>
      </c>
    </row>
    <row r="80" spans="1:7" ht="23.25" customHeight="1" x14ac:dyDescent="0.2">
      <c r="A80" s="34" t="str">
        <f>'① Timelog Input'!B24</f>
        <v>Pinky</v>
      </c>
      <c r="B80" s="34" t="str">
        <f>'① Timelog Input'!C24</f>
        <v>CAS-RT_2045</v>
      </c>
      <c r="C80" s="34" t="str">
        <f>'① Timelog Input'!AV$3</f>
        <v>JOHNSON &amp; ROBINSON LLC</v>
      </c>
      <c r="D80" s="35">
        <f>'① Timelog Input'!AV24</f>
        <v>0</v>
      </c>
      <c r="E80" s="34" t="str">
        <f>'① Timelog Input'!H24</f>
        <v>Accounting</v>
      </c>
      <c r="F80" s="36" t="str">
        <f t="shared" si="1"/>
        <v>NO</v>
      </c>
      <c r="G80" s="35">
        <f>IFERROR(VLOOKUP(B80,'② Salary Input'!A:V,14,FALSE())/Settings!B6,0)</f>
        <v>429</v>
      </c>
    </row>
    <row r="81" spans="1:7" ht="23.25" customHeight="1" x14ac:dyDescent="0.2">
      <c r="A81" s="34" t="str">
        <f>'① Timelog Input'!B24</f>
        <v>Pinky</v>
      </c>
      <c r="B81" s="34" t="str">
        <f>'① Timelog Input'!C24</f>
        <v>CAS-RT_2045</v>
      </c>
      <c r="C81" s="34" t="str">
        <f>'① Timelog Input'!AW$3</f>
        <v>LEANCORP ACCOUNTING</v>
      </c>
      <c r="D81" s="35">
        <f>'① Timelog Input'!AW24</f>
        <v>0</v>
      </c>
      <c r="E81" s="34" t="str">
        <f>'① Timelog Input'!H24</f>
        <v>Accounting</v>
      </c>
      <c r="F81" s="36" t="str">
        <f t="shared" si="1"/>
        <v>NO</v>
      </c>
      <c r="G81" s="35">
        <f>IFERROR(VLOOKUP(B81,'② Salary Input'!A:V,14,FALSE())/Settings!B6,0)</f>
        <v>429</v>
      </c>
    </row>
    <row r="82" spans="1:7" ht="23.25" customHeight="1" x14ac:dyDescent="0.2">
      <c r="A82" s="34" t="str">
        <f>'① Timelog Input'!B24</f>
        <v>Pinky</v>
      </c>
      <c r="B82" s="34" t="str">
        <f>'① Timelog Input'!C24</f>
        <v>CAS-RT_2045</v>
      </c>
      <c r="C82" s="34" t="str">
        <f>'① Timelog Input'!BL$3</f>
        <v>PW ADVISORS LLC</v>
      </c>
      <c r="D82" s="35">
        <f>'① Timelog Input'!BL24</f>
        <v>0</v>
      </c>
      <c r="E82" s="34" t="str">
        <f>'① Timelog Input'!H24</f>
        <v>Accounting</v>
      </c>
      <c r="F82" s="36" t="str">
        <f t="shared" si="1"/>
        <v>NO</v>
      </c>
      <c r="G82" s="35">
        <f>IFERROR(VLOOKUP(B82,'② Salary Input'!A:V,14,FALSE())/Settings!B6,0)</f>
        <v>429</v>
      </c>
    </row>
    <row r="83" spans="1:7" ht="23.25" customHeight="1" x14ac:dyDescent="0.2">
      <c r="A83" s="34" t="str">
        <f>'① Timelog Input'!B24</f>
        <v>Pinky</v>
      </c>
      <c r="B83" s="34" t="str">
        <f>'① Timelog Input'!C24</f>
        <v>CAS-RT_2045</v>
      </c>
      <c r="C83" s="34" t="str">
        <f>'① Timelog Input'!BN$3</f>
        <v>ROSEN KUSLANSKY CPA PC</v>
      </c>
      <c r="D83" s="35">
        <f>'① Timelog Input'!BN24</f>
        <v>0</v>
      </c>
      <c r="E83" s="34" t="str">
        <f>'① Timelog Input'!H24</f>
        <v>Accounting</v>
      </c>
      <c r="F83" s="36" t="str">
        <f t="shared" si="1"/>
        <v>NO</v>
      </c>
      <c r="G83" s="35">
        <f>IFERROR(VLOOKUP(B83,'② Salary Input'!A:V,14,FALSE())/Settings!B6,0)</f>
        <v>429</v>
      </c>
    </row>
    <row r="84" spans="1:7" ht="23.25" customHeight="1" x14ac:dyDescent="0.2">
      <c r="A84" s="34" t="str">
        <f>'① Timelog Input'!B24</f>
        <v>Pinky</v>
      </c>
      <c r="B84" s="34" t="str">
        <f>'① Timelog Input'!C24</f>
        <v>CAS-RT_2045</v>
      </c>
      <c r="C84" s="34" t="str">
        <f>'① Timelog Input'!CB$3</f>
        <v>WIGGS CPA TAX &amp; ACCOUNTING</v>
      </c>
      <c r="D84" s="35">
        <f>'① Timelog Input'!CB24</f>
        <v>0</v>
      </c>
      <c r="E84" s="34" t="str">
        <f>'① Timelog Input'!H24</f>
        <v>Accounting</v>
      </c>
      <c r="F84" s="36" t="str">
        <f t="shared" si="1"/>
        <v>NO</v>
      </c>
      <c r="G84" s="35">
        <f>IFERROR(VLOOKUP(B84,'② Salary Input'!A:V,14,FALSE())/Settings!B6,0)</f>
        <v>429</v>
      </c>
    </row>
    <row r="85" spans="1:7" ht="15" customHeight="1" x14ac:dyDescent="0.2">
      <c r="A85" s="34" t="str">
        <f>'① Timelog Input'!B25</f>
        <v>Preety</v>
      </c>
      <c r="B85" s="34" t="str">
        <f>'① Timelog Input'!C25</f>
        <v>CAS-IH_1056</v>
      </c>
      <c r="C85" s="34" t="str">
        <f>'① Timelog Input'!S$3</f>
        <v>AB CAPSTONE GROUP</v>
      </c>
      <c r="D85" s="35">
        <f>'① Timelog Input'!S25</f>
        <v>0</v>
      </c>
      <c r="E85" s="34" t="str">
        <f>'① Timelog Input'!H25</f>
        <v>Accounting, Business Tax</v>
      </c>
      <c r="F85" s="36" t="str">
        <f t="shared" si="1"/>
        <v>NO</v>
      </c>
      <c r="G85" s="35">
        <f>IFERROR(VLOOKUP(B85,'② Salary Input'!A:V,14,FALSE())/Settings!B6,0)</f>
        <v>625</v>
      </c>
    </row>
    <row r="86" spans="1:7" ht="15" customHeight="1" x14ac:dyDescent="0.2">
      <c r="A86" s="34" t="str">
        <f>'① Timelog Input'!B26</f>
        <v>Urvashi</v>
      </c>
      <c r="B86" s="34" t="str">
        <f>'① Timelog Input'!C26</f>
        <v>CAS-RT_2063</v>
      </c>
      <c r="C86" s="34" t="str">
        <f>'① Timelog Input'!AI$3</f>
        <v>CLOUDIT</v>
      </c>
      <c r="D86" s="35">
        <f>'① Timelog Input'!AI26</f>
        <v>0</v>
      </c>
      <c r="E86" s="34" t="str">
        <f>'① Timelog Input'!H26</f>
        <v>Accounting</v>
      </c>
      <c r="F86" s="36" t="str">
        <f t="shared" si="1"/>
        <v>NO</v>
      </c>
      <c r="G86" s="35">
        <f>IFERROR(VLOOKUP(B86,'② Salary Input'!A:V,14,FALSE())/Settings!B6,0)</f>
        <v>158.59375</v>
      </c>
    </row>
    <row r="87" spans="1:7" ht="15" customHeight="1" x14ac:dyDescent="0.2">
      <c r="A87" s="34" t="str">
        <f>'① Timelog Input'!B26</f>
        <v>Urvashi</v>
      </c>
      <c r="B87" s="34" t="str">
        <f>'① Timelog Input'!C26</f>
        <v>CAS-RT_2063</v>
      </c>
      <c r="C87" s="34" t="str">
        <f>'① Timelog Input'!AM$3</f>
        <v>Fleming Accounting Solutions</v>
      </c>
      <c r="D87" s="35">
        <f>'① Timelog Input'!AM26</f>
        <v>0</v>
      </c>
      <c r="E87" s="34" t="str">
        <f>'① Timelog Input'!H26</f>
        <v>Accounting</v>
      </c>
      <c r="F87" s="36" t="str">
        <f t="shared" si="1"/>
        <v>NO</v>
      </c>
      <c r="G87" s="35">
        <f>IFERROR(VLOOKUP(B87,'② Salary Input'!A:V,14,FALSE())/Settings!B6,0)</f>
        <v>158.59375</v>
      </c>
    </row>
    <row r="88" spans="1:7" ht="15" customHeight="1" x14ac:dyDescent="0.2">
      <c r="A88" s="34" t="str">
        <f>'① Timelog Input'!B26</f>
        <v>Urvashi</v>
      </c>
      <c r="B88" s="34" t="str">
        <f>'① Timelog Input'!C26</f>
        <v>CAS-RT_2063</v>
      </c>
      <c r="C88" s="34" t="str">
        <f>'① Timelog Input'!AN$3</f>
        <v>FULL COMPLIANCE, LLC</v>
      </c>
      <c r="D88" s="35">
        <f>'① Timelog Input'!AN26</f>
        <v>0</v>
      </c>
      <c r="E88" s="34" t="str">
        <f>'① Timelog Input'!H26</f>
        <v>Accounting</v>
      </c>
      <c r="F88" s="36" t="str">
        <f t="shared" si="1"/>
        <v>NO</v>
      </c>
      <c r="G88" s="35">
        <f>IFERROR(VLOOKUP(B88,'② Salary Input'!A:V,14,FALSE())/Settings!B6,0)</f>
        <v>158.59375</v>
      </c>
    </row>
    <row r="89" spans="1:7" ht="15" customHeight="1" x14ac:dyDescent="0.2">
      <c r="A89" s="34" t="str">
        <f>'① Timelog Input'!B26</f>
        <v>Urvashi</v>
      </c>
      <c r="B89" s="34" t="str">
        <f>'① Timelog Input'!C26</f>
        <v>CAS-RT_2063</v>
      </c>
      <c r="C89" s="34" t="str">
        <f>'① Timelog Input'!AT$3</f>
        <v>INVENT WEALTH, CPA</v>
      </c>
      <c r="D89" s="35">
        <f>'① Timelog Input'!AT26</f>
        <v>0</v>
      </c>
      <c r="E89" s="34" t="str">
        <f>'① Timelog Input'!H26</f>
        <v>Accounting</v>
      </c>
      <c r="F89" s="36" t="str">
        <f t="shared" si="1"/>
        <v>NO</v>
      </c>
      <c r="G89" s="35">
        <f>IFERROR(VLOOKUP(B89,'② Salary Input'!A:V,14,FALSE())/Settings!B6,0)</f>
        <v>158.59375</v>
      </c>
    </row>
    <row r="90" spans="1:7" ht="15" customHeight="1" x14ac:dyDescent="0.2">
      <c r="A90" s="34" t="str">
        <f>'① Timelog Input'!B26</f>
        <v>Urvashi</v>
      </c>
      <c r="B90" s="34" t="str">
        <f>'① Timelog Input'!C26</f>
        <v>CAS-RT_2063</v>
      </c>
      <c r="C90" s="34" t="str">
        <f>'① Timelog Input'!AU$3</f>
        <v>jmWILLIAMS, CPA, LLP</v>
      </c>
      <c r="D90" s="35">
        <f>'① Timelog Input'!AU26</f>
        <v>0</v>
      </c>
      <c r="E90" s="34" t="str">
        <f>'① Timelog Input'!H26</f>
        <v>Accounting</v>
      </c>
      <c r="F90" s="36" t="str">
        <f t="shared" si="1"/>
        <v>NO</v>
      </c>
      <c r="G90" s="35">
        <f>IFERROR(VLOOKUP(B90,'② Salary Input'!A:V,14,FALSE())/Settings!B6,0)</f>
        <v>158.59375</v>
      </c>
    </row>
    <row r="91" spans="1:7" ht="15" customHeight="1" x14ac:dyDescent="0.2">
      <c r="A91" s="34" t="str">
        <f>'① Timelog Input'!B26</f>
        <v>Urvashi</v>
      </c>
      <c r="B91" s="34" t="str">
        <f>'① Timelog Input'!C26</f>
        <v>CAS-RT_2063</v>
      </c>
      <c r="C91" s="34" t="str">
        <f>'① Timelog Input'!AZ$3</f>
        <v>MARTIN D. EISENSTEIN, CPA</v>
      </c>
      <c r="D91" s="35">
        <f>'① Timelog Input'!AZ26</f>
        <v>0</v>
      </c>
      <c r="E91" s="34" t="str">
        <f>'① Timelog Input'!H26</f>
        <v>Accounting</v>
      </c>
      <c r="F91" s="36" t="str">
        <f t="shared" si="1"/>
        <v>NO</v>
      </c>
      <c r="G91" s="35">
        <f>IFERROR(VLOOKUP(B91,'② Salary Input'!A:V,14,FALSE())/Settings!B6,0)</f>
        <v>158.59375</v>
      </c>
    </row>
    <row r="92" spans="1:7" ht="15" customHeight="1" x14ac:dyDescent="0.2">
      <c r="A92" s="34" t="str">
        <f>'① Timelog Input'!B26</f>
        <v>Urvashi</v>
      </c>
      <c r="B92" s="34" t="str">
        <f>'① Timelog Input'!C26</f>
        <v>CAS-RT_2063</v>
      </c>
      <c r="C92" s="34" t="str">
        <f>'① Timelog Input'!BC$3</f>
        <v>MEJIA &amp; ASSOCIATES, INC.</v>
      </c>
      <c r="D92" s="35">
        <f>'① Timelog Input'!BC26</f>
        <v>0</v>
      </c>
      <c r="E92" s="34" t="str">
        <f>'① Timelog Input'!H26</f>
        <v>Accounting</v>
      </c>
      <c r="F92" s="36" t="str">
        <f t="shared" si="1"/>
        <v>NO</v>
      </c>
      <c r="G92" s="35">
        <f>IFERROR(VLOOKUP(B92,'② Salary Input'!A:V,14,FALSE())/Settings!B6,0)</f>
        <v>158.59375</v>
      </c>
    </row>
    <row r="93" spans="1:7" ht="15" customHeight="1" x14ac:dyDescent="0.2">
      <c r="A93" s="34" t="str">
        <f>'① Timelog Input'!B26</f>
        <v>Urvashi</v>
      </c>
      <c r="B93" s="34" t="str">
        <f>'① Timelog Input'!C26</f>
        <v>CAS-RT_2063</v>
      </c>
      <c r="C93" s="34" t="str">
        <f>'① Timelog Input'!BK$3</f>
        <v>PROVISION ACCOUNTING SOLUTIONS</v>
      </c>
      <c r="D93" s="35">
        <f>'① Timelog Input'!BK26</f>
        <v>0</v>
      </c>
      <c r="E93" s="34" t="str">
        <f>'① Timelog Input'!H26</f>
        <v>Accounting</v>
      </c>
      <c r="F93" s="36" t="str">
        <f t="shared" si="1"/>
        <v>NO</v>
      </c>
      <c r="G93" s="35">
        <f>IFERROR(VLOOKUP(B93,'② Salary Input'!A:V,14,FALSE())/Settings!B6,0)</f>
        <v>158.59375</v>
      </c>
    </row>
    <row r="94" spans="1:7" ht="15" customHeight="1" x14ac:dyDescent="0.2">
      <c r="A94" s="34" t="str">
        <f>'① Timelog Input'!B27</f>
        <v>Melita</v>
      </c>
      <c r="B94" s="34" t="str">
        <f>'① Timelog Input'!C27</f>
        <v>CAS-IH_1046</v>
      </c>
      <c r="C94" s="34" t="str">
        <f>'① Timelog Input'!BR$3</f>
        <v>SMALLHOLD INC</v>
      </c>
      <c r="D94" s="35">
        <f>'① Timelog Input'!BR27</f>
        <v>0</v>
      </c>
      <c r="E94" s="34" t="str">
        <f>'① Timelog Input'!H27</f>
        <v>Individual Tax</v>
      </c>
      <c r="F94" s="36" t="str">
        <f t="shared" si="1"/>
        <v>NO</v>
      </c>
      <c r="G94" s="35">
        <f>IFERROR(VLOOKUP(B94,'② Salary Input'!A:V,14,FALSE())/Settings!B6,0)</f>
        <v>843.75</v>
      </c>
    </row>
    <row r="95" spans="1:7" ht="15" customHeight="1" x14ac:dyDescent="0.2">
      <c r="A95" s="34" t="str">
        <f>'① Timelog Input'!B27</f>
        <v>Melita</v>
      </c>
      <c r="B95" s="34" t="str">
        <f>'① Timelog Input'!C27</f>
        <v>CAS-IH_1046</v>
      </c>
      <c r="C95" s="34" t="str">
        <f>'① Timelog Input'!BY$3</f>
        <v>TRI SCAPES</v>
      </c>
      <c r="D95" s="35">
        <f>'① Timelog Input'!BY27</f>
        <v>0</v>
      </c>
      <c r="E95" s="34" t="str">
        <f>'① Timelog Input'!H27</f>
        <v>Individual Tax</v>
      </c>
      <c r="F95" s="36" t="str">
        <f t="shared" si="1"/>
        <v>NO</v>
      </c>
      <c r="G95" s="35">
        <f>IFERROR(VLOOKUP(B95,'② Salary Input'!A:V,14,FALSE())/Settings!B6,0)</f>
        <v>843.75</v>
      </c>
    </row>
    <row r="96" spans="1:7" ht="15" customHeight="1" x14ac:dyDescent="0.2">
      <c r="A96" s="34" t="str">
        <f>'① Timelog Input'!B28</f>
        <v>Bhawna</v>
      </c>
      <c r="B96" s="34" t="str">
        <f>'① Timelog Input'!C28</f>
        <v>CAS-RR_2077</v>
      </c>
      <c r="C96" s="34" t="str">
        <f>'① Timelog Input'!AX$3</f>
        <v>LIFETIME FUNDING, LLC</v>
      </c>
      <c r="D96" s="35">
        <f>'① Timelog Input'!AX28</f>
        <v>0</v>
      </c>
      <c r="E96" s="34" t="str">
        <f>'① Timelog Input'!H28</f>
        <v>Accounting</v>
      </c>
      <c r="F96" s="36" t="str">
        <f t="shared" si="1"/>
        <v>NO</v>
      </c>
      <c r="G96" s="35">
        <f>IFERROR(VLOOKUP(B96,'② Salary Input'!A:V,14,FALSE())/Settings!B6,0)</f>
        <v>750</v>
      </c>
    </row>
    <row r="97" spans="1:7" ht="15" customHeight="1" x14ac:dyDescent="0.2">
      <c r="A97" s="34" t="str">
        <f>'① Timelog Input'!B28</f>
        <v>Bhawna</v>
      </c>
      <c r="B97" s="34" t="str">
        <f>'① Timelog Input'!C28</f>
        <v>CAS-RR_2077</v>
      </c>
      <c r="C97" s="34" t="str">
        <f>'① Timelog Input'!BX$3</f>
        <v>TREE OF LIFE FUNDING INC</v>
      </c>
      <c r="D97" s="35">
        <f>'① Timelog Input'!BX28</f>
        <v>0</v>
      </c>
      <c r="E97" s="34" t="str">
        <f>'① Timelog Input'!H28</f>
        <v>Accounting</v>
      </c>
      <c r="F97" s="36" t="str">
        <f t="shared" si="1"/>
        <v>NO</v>
      </c>
      <c r="G97" s="35">
        <f>IFERROR(VLOOKUP(B97,'② Salary Input'!A:V,14,FALSE())/Settings!B6,0)</f>
        <v>750</v>
      </c>
    </row>
    <row r="98" spans="1:7" ht="15" customHeight="1" x14ac:dyDescent="0.2">
      <c r="A98" s="34" t="str">
        <f>'① Timelog Input'!B29</f>
        <v>Anand</v>
      </c>
      <c r="B98" s="34" t="str">
        <f>'① Timelog Input'!C29</f>
        <v>CAS-RT_2078</v>
      </c>
      <c r="C98" s="34" t="str">
        <f>'① Timelog Input'!AG$3</f>
        <v>CHRIS WHALEN CPA, LLC</v>
      </c>
      <c r="D98" s="35">
        <f>'① Timelog Input'!AG29</f>
        <v>0</v>
      </c>
      <c r="E98" s="34" t="str">
        <f>'① Timelog Input'!H29</f>
        <v>Accounting</v>
      </c>
      <c r="F98" s="36" t="str">
        <f t="shared" si="1"/>
        <v>NO</v>
      </c>
      <c r="G98" s="35">
        <f>IFERROR(VLOOKUP(B98,'② Salary Input'!A:V,14,FALSE())/Settings!B6,0)</f>
        <v>273.93124999999998</v>
      </c>
    </row>
    <row r="99" spans="1:7" ht="15" customHeight="1" x14ac:dyDescent="0.2">
      <c r="A99" s="34" t="str">
        <f>'① Timelog Input'!B29</f>
        <v>Anand</v>
      </c>
      <c r="B99" s="34" t="str">
        <f>'① Timelog Input'!C29</f>
        <v>CAS-RT_2078</v>
      </c>
      <c r="C99" s="34" t="str">
        <f>'① Timelog Input'!BN$3</f>
        <v>ROSEN KUSLANSKY CPA PC</v>
      </c>
      <c r="D99" s="35">
        <f>'① Timelog Input'!BN29</f>
        <v>0</v>
      </c>
      <c r="E99" s="34" t="str">
        <f>'① Timelog Input'!H29</f>
        <v>Accounting</v>
      </c>
      <c r="F99" s="36" t="str">
        <f t="shared" si="1"/>
        <v>NO</v>
      </c>
      <c r="G99" s="35">
        <f>IFERROR(VLOOKUP(B99,'② Salary Input'!A:V,14,FALSE())/Settings!B6,0)</f>
        <v>273.93124999999998</v>
      </c>
    </row>
    <row r="100" spans="1:7" ht="15" customHeight="1" x14ac:dyDescent="0.2">
      <c r="A100" s="34" t="str">
        <f>'① Timelog Input'!B30</f>
        <v>Shivani</v>
      </c>
      <c r="B100" s="34" t="str">
        <f>'① Timelog Input'!C30</f>
        <v>CAS-RT_2102</v>
      </c>
      <c r="C100" s="34" t="str">
        <f>'① Timelog Input'!S$3</f>
        <v>AB CAPSTONE GROUP</v>
      </c>
      <c r="D100" s="35">
        <f>'① Timelog Input'!S30</f>
        <v>0</v>
      </c>
      <c r="E100" s="34" t="str">
        <f>'① Timelog Input'!H30</f>
        <v>Accounting</v>
      </c>
      <c r="F100" s="36" t="str">
        <f t="shared" si="1"/>
        <v>NO</v>
      </c>
      <c r="G100" s="35">
        <f>IFERROR(VLOOKUP(B100,'② Salary Input'!A:V,14,FALSE())/Settings!B6,0)</f>
        <v>52.375</v>
      </c>
    </row>
    <row r="101" spans="1:7" ht="15" customHeight="1" x14ac:dyDescent="0.2">
      <c r="A101" s="34" t="str">
        <f>'① Timelog Input'!B31</f>
        <v>Sreeja</v>
      </c>
      <c r="B101" s="34" t="str">
        <f>'① Timelog Input'!C31</f>
        <v>CAS-RT_2108</v>
      </c>
      <c r="C101" s="34" t="str">
        <f>'① Timelog Input'!V$3</f>
        <v>ACT NOW FINANCIAL SERVICES, LLC</v>
      </c>
      <c r="D101" s="35">
        <f>'① Timelog Input'!V31</f>
        <v>0</v>
      </c>
      <c r="E101" s="34" t="str">
        <f>'① Timelog Input'!H31</f>
        <v>Accounting</v>
      </c>
      <c r="F101" s="36" t="str">
        <f t="shared" si="1"/>
        <v>NO</v>
      </c>
      <c r="G101" s="35">
        <f>IFERROR(VLOOKUP(B101,'② Salary Input'!A:V,14,FALSE())/Settings!B6,0)</f>
        <v>230.5625</v>
      </c>
    </row>
    <row r="102" spans="1:7" ht="15" customHeight="1" x14ac:dyDescent="0.2">
      <c r="A102" s="34" t="str">
        <f>'① Timelog Input'!B31</f>
        <v>Sreeja</v>
      </c>
      <c r="B102" s="34" t="str">
        <f>'① Timelog Input'!C31</f>
        <v>CAS-RT_2108</v>
      </c>
      <c r="C102" s="34" t="str">
        <f>'① Timelog Input'!AG$3</f>
        <v>CHRIS WHALEN CPA, LLC</v>
      </c>
      <c r="D102" s="35">
        <f>'① Timelog Input'!AG31</f>
        <v>0</v>
      </c>
      <c r="E102" s="34" t="str">
        <f>'① Timelog Input'!H31</f>
        <v>Accounting</v>
      </c>
      <c r="F102" s="36" t="str">
        <f t="shared" si="1"/>
        <v>NO</v>
      </c>
      <c r="G102" s="35">
        <f>IFERROR(VLOOKUP(B102,'② Salary Input'!A:V,14,FALSE())/Settings!B6,0)</f>
        <v>230.5625</v>
      </c>
    </row>
    <row r="103" spans="1:7" ht="15" customHeight="1" x14ac:dyDescent="0.2">
      <c r="A103" s="34" t="str">
        <f>'① Timelog Input'!B31</f>
        <v>Sreeja</v>
      </c>
      <c r="B103" s="34" t="str">
        <f>'① Timelog Input'!C31</f>
        <v>CAS-RT_2108</v>
      </c>
      <c r="C103" s="34" t="str">
        <f>'① Timelog Input'!AZ$3</f>
        <v>MARTIN D. EISENSTEIN, CPA</v>
      </c>
      <c r="D103" s="35">
        <f>'① Timelog Input'!AZ31</f>
        <v>0</v>
      </c>
      <c r="E103" s="34" t="str">
        <f>'① Timelog Input'!H31</f>
        <v>Accounting</v>
      </c>
      <c r="F103" s="36" t="str">
        <f t="shared" si="1"/>
        <v>NO</v>
      </c>
      <c r="G103" s="35">
        <f>IFERROR(VLOOKUP(B103,'② Salary Input'!A:V,14,FALSE())/Settings!B6,0)</f>
        <v>230.5625</v>
      </c>
    </row>
    <row r="104" spans="1:7" ht="15" customHeight="1" x14ac:dyDescent="0.2">
      <c r="A104" s="34" t="str">
        <f>'① Timelog Input'!B31</f>
        <v>Sreeja</v>
      </c>
      <c r="B104" s="34" t="str">
        <f>'① Timelog Input'!C31</f>
        <v>CAS-RT_2108</v>
      </c>
      <c r="C104" s="34" t="str">
        <f>'① Timelog Input'!BN$3</f>
        <v>ROSEN KUSLANSKY CPA PC</v>
      </c>
      <c r="D104" s="35">
        <f>'① Timelog Input'!BN31</f>
        <v>0</v>
      </c>
      <c r="E104" s="34" t="str">
        <f>'① Timelog Input'!H31</f>
        <v>Accounting</v>
      </c>
      <c r="F104" s="36" t="str">
        <f t="shared" si="1"/>
        <v>NO</v>
      </c>
      <c r="G104" s="35">
        <f>IFERROR(VLOOKUP(B104,'② Salary Input'!A:V,14,FALSE())/Settings!B6,0)</f>
        <v>230.5625</v>
      </c>
    </row>
    <row r="105" spans="1:7" ht="15" customHeight="1" x14ac:dyDescent="0.2">
      <c r="A105" s="34" t="str">
        <f>'① Timelog Input'!B32</f>
        <v>Divya.M</v>
      </c>
      <c r="B105" s="34" t="str">
        <f>'① Timelog Input'!C32</f>
        <v>CAS-RT_2113</v>
      </c>
      <c r="C105" s="34" t="str">
        <f>'① Timelog Input'!X$3</f>
        <v>AMI US HOLDING INC.</v>
      </c>
      <c r="D105" s="35">
        <f>'① Timelog Input'!X32</f>
        <v>0</v>
      </c>
      <c r="E105" s="34" t="str">
        <f>'① Timelog Input'!H32</f>
        <v>Accounting</v>
      </c>
      <c r="F105" s="36" t="str">
        <f t="shared" si="1"/>
        <v>NO</v>
      </c>
      <c r="G105" s="35">
        <f>IFERROR(VLOOKUP(B105,'② Salary Input'!A:V,14,FALSE())/Settings!B6,0)</f>
        <v>214.375</v>
      </c>
    </row>
    <row r="106" spans="1:7" ht="15" customHeight="1" x14ac:dyDescent="0.2">
      <c r="A106" s="34" t="str">
        <f>'① Timelog Input'!B33</f>
        <v>Kritika</v>
      </c>
      <c r="B106" s="34" t="str">
        <f>'① Timelog Input'!C33</f>
        <v>CAS-IH_1102</v>
      </c>
      <c r="C106" s="34" t="str">
        <f>'① Timelog Input'!Q$3</f>
        <v>406 CONSULTING LLC</v>
      </c>
      <c r="D106" s="35">
        <f>'① Timelog Input'!Q33</f>
        <v>0</v>
      </c>
      <c r="E106" s="34" t="str">
        <f>'① Timelog Input'!H33</f>
        <v>FP&amp;A</v>
      </c>
      <c r="F106" s="36" t="str">
        <f t="shared" si="1"/>
        <v>NO</v>
      </c>
      <c r="G106" s="35">
        <f>IFERROR(VLOOKUP(B106,'② Salary Input'!A:V,14,FALSE())/Settings!B6,0)</f>
        <v>989.58749999999998</v>
      </c>
    </row>
    <row r="107" spans="1:7" ht="15" customHeight="1" x14ac:dyDescent="0.2">
      <c r="A107" s="34" t="str">
        <f>'① Timelog Input'!B33</f>
        <v>Kritika</v>
      </c>
      <c r="B107" s="34" t="str">
        <f>'① Timelog Input'!C33</f>
        <v>CAS-IH_1102</v>
      </c>
      <c r="C107" s="34" t="str">
        <f>'① Timelog Input'!AG$3</f>
        <v>CHRIS WHALEN CPA, LLC</v>
      </c>
      <c r="D107" s="35">
        <f>'① Timelog Input'!AG33</f>
        <v>0</v>
      </c>
      <c r="E107" s="34" t="str">
        <f>'① Timelog Input'!H33</f>
        <v>FP&amp;A</v>
      </c>
      <c r="F107" s="36" t="str">
        <f t="shared" si="1"/>
        <v>NO</v>
      </c>
      <c r="G107" s="35">
        <f>IFERROR(VLOOKUP(B107,'② Salary Input'!A:V,14,FALSE())/Settings!B6,0)</f>
        <v>989.58749999999998</v>
      </c>
    </row>
    <row r="108" spans="1:7" ht="15" customHeight="1" x14ac:dyDescent="0.2">
      <c r="A108" s="34" t="str">
        <f>'① Timelog Input'!B33</f>
        <v>Kritika</v>
      </c>
      <c r="B108" s="34" t="str">
        <f>'① Timelog Input'!C33</f>
        <v>CAS-IH_1102</v>
      </c>
      <c r="C108" s="34" t="str">
        <f>'① Timelog Input'!AI$3</f>
        <v>CLOUDIT</v>
      </c>
      <c r="D108" s="35">
        <f>'① Timelog Input'!AI33</f>
        <v>0</v>
      </c>
      <c r="E108" s="34" t="str">
        <f>'① Timelog Input'!H33</f>
        <v>FP&amp;A</v>
      </c>
      <c r="F108" s="36" t="str">
        <f t="shared" si="1"/>
        <v>NO</v>
      </c>
      <c r="G108" s="35">
        <f>IFERROR(VLOOKUP(B108,'② Salary Input'!A:V,14,FALSE())/Settings!B6,0)</f>
        <v>989.58749999999998</v>
      </c>
    </row>
    <row r="109" spans="1:7" ht="15" customHeight="1" x14ac:dyDescent="0.2">
      <c r="A109" s="34" t="str">
        <f>'① Timelog Input'!B33</f>
        <v>Kritika</v>
      </c>
      <c r="B109" s="34" t="str">
        <f>'① Timelog Input'!C33</f>
        <v>CAS-IH_1102</v>
      </c>
      <c r="C109" s="34" t="str">
        <f>'① Timelog Input'!AM$3</f>
        <v>Fleming Accounting Solutions</v>
      </c>
      <c r="D109" s="35">
        <f>'① Timelog Input'!AM33</f>
        <v>0</v>
      </c>
      <c r="E109" s="34" t="str">
        <f>'① Timelog Input'!H33</f>
        <v>FP&amp;A</v>
      </c>
      <c r="F109" s="36" t="str">
        <f t="shared" si="1"/>
        <v>NO</v>
      </c>
      <c r="G109" s="35">
        <f>IFERROR(VLOOKUP(B109,'② Salary Input'!A:V,14,FALSE())/Settings!B6,0)</f>
        <v>989.58749999999998</v>
      </c>
    </row>
    <row r="110" spans="1:7" ht="15" customHeight="1" x14ac:dyDescent="0.2">
      <c r="A110" s="34" t="str">
        <f>'① Timelog Input'!B33</f>
        <v>Kritika</v>
      </c>
      <c r="B110" s="34" t="str">
        <f>'① Timelog Input'!C33</f>
        <v>CAS-IH_1102</v>
      </c>
      <c r="C110" s="34" t="str">
        <f>'① Timelog Input'!BL$3</f>
        <v>PW ADVISORS LLC</v>
      </c>
      <c r="D110" s="35">
        <f>'① Timelog Input'!BL33</f>
        <v>0</v>
      </c>
      <c r="E110" s="34" t="str">
        <f>'① Timelog Input'!H33</f>
        <v>FP&amp;A</v>
      </c>
      <c r="F110" s="36" t="str">
        <f t="shared" si="1"/>
        <v>NO</v>
      </c>
      <c r="G110" s="35">
        <f>IFERROR(VLOOKUP(B110,'② Salary Input'!A:V,14,FALSE())/Settings!B6,0)</f>
        <v>989.58749999999998</v>
      </c>
    </row>
    <row r="111" spans="1:7" ht="15" customHeight="1" x14ac:dyDescent="0.2">
      <c r="A111" s="34" t="str">
        <f>'① Timelog Input'!B34</f>
        <v>Abhilash</v>
      </c>
      <c r="B111" s="34" t="str">
        <f>'① Timelog Input'!C34</f>
        <v>CAS-IH_1061</v>
      </c>
      <c r="C111" s="34" t="str">
        <f>'① Timelog Input'!X$3</f>
        <v>AMI US HOLDING INC.</v>
      </c>
      <c r="D111" s="35">
        <f>'① Timelog Input'!X34</f>
        <v>0</v>
      </c>
      <c r="E111" s="34" t="str">
        <f>'① Timelog Input'!H34</f>
        <v>Individual Tax</v>
      </c>
      <c r="F111" s="36" t="str">
        <f t="shared" si="1"/>
        <v>NO</v>
      </c>
      <c r="G111" s="35">
        <f>IFERROR(VLOOKUP(B111,'② Salary Input'!A:V,14,FALSE())/Settings!B6,0)</f>
        <v>625</v>
      </c>
    </row>
    <row r="112" spans="1:7" ht="15" customHeight="1" x14ac:dyDescent="0.2">
      <c r="A112" s="34" t="str">
        <f>'① Timelog Input'!B35</f>
        <v>Kavita</v>
      </c>
      <c r="B112" s="34" t="str">
        <f>'① Timelog Input'!C35</f>
        <v>CAS-IH_1108</v>
      </c>
      <c r="C112" s="34" t="str">
        <f>'① Timelog Input'!AI$3</f>
        <v>CLOUDIT</v>
      </c>
      <c r="D112" s="35">
        <f>'① Timelog Input'!AI35</f>
        <v>0</v>
      </c>
      <c r="E112" s="34" t="str">
        <f>'① Timelog Input'!H35</f>
        <v>FP&amp;A</v>
      </c>
      <c r="F112" s="36" t="str">
        <f t="shared" si="1"/>
        <v>NO</v>
      </c>
      <c r="G112" s="35">
        <f>IFERROR(VLOOKUP(B112,'② Salary Input'!A:V,14,FALSE())/Settings!B6,0)</f>
        <v>1302.08125</v>
      </c>
    </row>
    <row r="113" spans="1:7" ht="15" customHeight="1" x14ac:dyDescent="0.2">
      <c r="A113" s="34" t="str">
        <f>'① Timelog Input'!B35</f>
        <v>Kavita</v>
      </c>
      <c r="B113" s="34" t="str">
        <f>'① Timelog Input'!C35</f>
        <v>CAS-IH_1108</v>
      </c>
      <c r="C113" s="34" t="str">
        <f>'① Timelog Input'!BQ$3</f>
        <v>SFSG BILLING PROJECT</v>
      </c>
      <c r="D113" s="35">
        <f>'① Timelog Input'!BQ35</f>
        <v>0</v>
      </c>
      <c r="E113" s="34" t="str">
        <f>'① Timelog Input'!H35</f>
        <v>FP&amp;A</v>
      </c>
      <c r="F113" s="36" t="str">
        <f t="shared" si="1"/>
        <v>NO</v>
      </c>
      <c r="G113" s="35">
        <f>IFERROR(VLOOKUP(B113,'② Salary Input'!A:V,14,FALSE())/Settings!B6,0)</f>
        <v>1302.08125</v>
      </c>
    </row>
    <row r="114" spans="1:7" ht="15" customHeight="1" x14ac:dyDescent="0.2">
      <c r="A114" s="34" t="str">
        <f>'① Timelog Input'!B36</f>
        <v>Sakshi</v>
      </c>
      <c r="B114" s="34" t="str">
        <f>'① Timelog Input'!C36</f>
        <v>CAS-IH_1078</v>
      </c>
      <c r="C114" s="34" t="str">
        <f>'① Timelog Input'!AA$3</f>
        <v>BORISTAX INC</v>
      </c>
      <c r="D114" s="35">
        <f>'① Timelog Input'!AA36</f>
        <v>0</v>
      </c>
      <c r="E114" s="34" t="str">
        <f>'① Timelog Input'!H36</f>
        <v>Accounting</v>
      </c>
      <c r="F114" s="36" t="str">
        <f t="shared" si="1"/>
        <v>NO</v>
      </c>
      <c r="G114" s="35">
        <f>IFERROR(VLOOKUP(B114,'② Salary Input'!A:V,14,FALSE())/Settings!B6,0)</f>
        <v>343.75</v>
      </c>
    </row>
    <row r="115" spans="1:7" ht="15" customHeight="1" x14ac:dyDescent="0.2">
      <c r="A115" s="34" t="str">
        <f>'① Timelog Input'!B36</f>
        <v>Sakshi</v>
      </c>
      <c r="B115" s="34" t="str">
        <f>'① Timelog Input'!C36</f>
        <v>CAS-IH_1078</v>
      </c>
      <c r="C115" s="34" t="str">
        <f>'① Timelog Input'!AI$3</f>
        <v>CLOUDIT</v>
      </c>
      <c r="D115" s="35">
        <f>'① Timelog Input'!AI36</f>
        <v>2.08</v>
      </c>
      <c r="E115" s="34" t="str">
        <f>'① Timelog Input'!H36</f>
        <v>Accounting</v>
      </c>
      <c r="F115" s="36" t="str">
        <f t="shared" si="1"/>
        <v>NO</v>
      </c>
      <c r="G115" s="35">
        <f>IFERROR(VLOOKUP(B115,'② Salary Input'!A:V,14,FALSE())/Settings!B6,0)</f>
        <v>343.75</v>
      </c>
    </row>
    <row r="116" spans="1:7" ht="15" customHeight="1" x14ac:dyDescent="0.2">
      <c r="A116" s="34" t="str">
        <f>'① Timelog Input'!B36</f>
        <v>Sakshi</v>
      </c>
      <c r="B116" s="34" t="str">
        <f>'① Timelog Input'!C36</f>
        <v>CAS-IH_1078</v>
      </c>
      <c r="C116" s="34" t="str">
        <f>'① Timelog Input'!AK$3</f>
        <v>DOR BUSINESS GROUP LLC</v>
      </c>
      <c r="D116" s="35">
        <f>'① Timelog Input'!AK36</f>
        <v>0</v>
      </c>
      <c r="E116" s="34" t="str">
        <f>'① Timelog Input'!H36</f>
        <v>Accounting</v>
      </c>
      <c r="F116" s="36" t="str">
        <f t="shared" si="1"/>
        <v>NO</v>
      </c>
      <c r="G116" s="35">
        <f>IFERROR(VLOOKUP(B116,'② Salary Input'!A:V,14,FALSE())/Settings!B6,0)</f>
        <v>343.75</v>
      </c>
    </row>
    <row r="117" spans="1:7" ht="15" customHeight="1" x14ac:dyDescent="0.2">
      <c r="A117" s="34" t="str">
        <f>'① Timelog Input'!B36</f>
        <v>Sakshi</v>
      </c>
      <c r="B117" s="34" t="str">
        <f>'① Timelog Input'!C36</f>
        <v>CAS-IH_1078</v>
      </c>
      <c r="C117" s="34" t="str">
        <f>'① Timelog Input'!AP$3</f>
        <v>HELLO ACCOUNTAX</v>
      </c>
      <c r="D117" s="35">
        <f>'① Timelog Input'!AP36</f>
        <v>0</v>
      </c>
      <c r="E117" s="34" t="str">
        <f>'① Timelog Input'!H36</f>
        <v>Accounting</v>
      </c>
      <c r="F117" s="36" t="str">
        <f t="shared" si="1"/>
        <v>NO</v>
      </c>
      <c r="G117" s="35">
        <f>IFERROR(VLOOKUP(B117,'② Salary Input'!A:V,14,FALSE())/Settings!B6,0)</f>
        <v>343.75</v>
      </c>
    </row>
    <row r="118" spans="1:7" ht="15" customHeight="1" x14ac:dyDescent="0.2">
      <c r="A118" s="34" t="str">
        <f>'① Timelog Input'!B36</f>
        <v>Sakshi</v>
      </c>
      <c r="B118" s="34" t="str">
        <f>'① Timelog Input'!C36</f>
        <v>CAS-IH_1078</v>
      </c>
      <c r="C118" s="34" t="str">
        <f>'① Timelog Input'!BD$3</f>
        <v>MERAKI ACCOUNTING &amp; TAX LLC</v>
      </c>
      <c r="D118" s="35">
        <f>'① Timelog Input'!BD36</f>
        <v>0</v>
      </c>
      <c r="E118" s="34" t="str">
        <f>'① Timelog Input'!H36</f>
        <v>Accounting</v>
      </c>
      <c r="F118" s="36" t="str">
        <f t="shared" si="1"/>
        <v>NO</v>
      </c>
      <c r="G118" s="35">
        <f>IFERROR(VLOOKUP(B118,'② Salary Input'!A:V,14,FALSE())/Settings!B6,0)</f>
        <v>343.75</v>
      </c>
    </row>
    <row r="119" spans="1:7" ht="15" customHeight="1" x14ac:dyDescent="0.2">
      <c r="A119" s="34" t="str">
        <f>'① Timelog Input'!B36</f>
        <v>Sakshi</v>
      </c>
      <c r="B119" s="34" t="str">
        <f>'① Timelog Input'!C36</f>
        <v>CAS-IH_1078</v>
      </c>
      <c r="C119" s="34" t="str">
        <f>'① Timelog Input'!BF$3</f>
        <v>NEW AGE IRON WORKS, INC.</v>
      </c>
      <c r="D119" s="35">
        <f>'① Timelog Input'!BF36</f>
        <v>0</v>
      </c>
      <c r="E119" s="34" t="str">
        <f>'① Timelog Input'!H36</f>
        <v>Accounting</v>
      </c>
      <c r="F119" s="36" t="str">
        <f t="shared" si="1"/>
        <v>NO</v>
      </c>
      <c r="G119" s="35">
        <f>IFERROR(VLOOKUP(B119,'② Salary Input'!A:V,14,FALSE())/Settings!B6,0)</f>
        <v>343.75</v>
      </c>
    </row>
    <row r="120" spans="1:7" ht="15" customHeight="1" x14ac:dyDescent="0.2">
      <c r="A120" s="34" t="str">
        <f>'① Timelog Input'!B36</f>
        <v>Sakshi</v>
      </c>
      <c r="B120" s="34" t="str">
        <f>'① Timelog Input'!C36</f>
        <v>CAS-IH_1078</v>
      </c>
      <c r="C120" s="34" t="str">
        <f>'① Timelog Input'!BK$3</f>
        <v>PROVISION ACCOUNTING SOLUTIONS</v>
      </c>
      <c r="D120" s="35">
        <f>'① Timelog Input'!BK36</f>
        <v>0</v>
      </c>
      <c r="E120" s="34" t="str">
        <f>'① Timelog Input'!H36</f>
        <v>Accounting</v>
      </c>
      <c r="F120" s="36" t="str">
        <f t="shared" si="1"/>
        <v>NO</v>
      </c>
      <c r="G120" s="35">
        <f>IFERROR(VLOOKUP(B120,'② Salary Input'!A:V,14,FALSE())/Settings!B6,0)</f>
        <v>343.75</v>
      </c>
    </row>
    <row r="121" spans="1:7" ht="15" customHeight="1" x14ac:dyDescent="0.2">
      <c r="A121" s="34" t="str">
        <f>'① Timelog Input'!B36</f>
        <v>Sakshi</v>
      </c>
      <c r="B121" s="34" t="str">
        <f>'① Timelog Input'!C36</f>
        <v>CAS-IH_1078</v>
      </c>
      <c r="C121" s="34" t="str">
        <f>'① Timelog Input'!BP$3</f>
        <v>RTW XXACT ENTERPRISES, LLC</v>
      </c>
      <c r="D121" s="35">
        <f>'① Timelog Input'!BP36</f>
        <v>0</v>
      </c>
      <c r="E121" s="34" t="str">
        <f>'① Timelog Input'!H36</f>
        <v>Accounting</v>
      </c>
      <c r="F121" s="36" t="str">
        <f t="shared" si="1"/>
        <v>NO</v>
      </c>
      <c r="G121" s="35">
        <f>IFERROR(VLOOKUP(B121,'② Salary Input'!A:V,14,FALSE())/Settings!B6,0)</f>
        <v>343.75</v>
      </c>
    </row>
    <row r="122" spans="1:7" ht="15" customHeight="1" x14ac:dyDescent="0.2">
      <c r="A122" s="34" t="str">
        <f>'① Timelog Input'!B36</f>
        <v>Sakshi</v>
      </c>
      <c r="B122" s="34" t="str">
        <f>'① Timelog Input'!C36</f>
        <v>CAS-IH_1078</v>
      </c>
      <c r="C122" s="34" t="str">
        <f>'① Timelog Input'!BT$3</f>
        <v>TAX GEEK LLC</v>
      </c>
      <c r="D122" s="35">
        <f>'① Timelog Input'!BT36</f>
        <v>0</v>
      </c>
      <c r="E122" s="34" t="str">
        <f>'① Timelog Input'!H36</f>
        <v>Accounting</v>
      </c>
      <c r="F122" s="36" t="str">
        <f t="shared" si="1"/>
        <v>NO</v>
      </c>
      <c r="G122" s="35">
        <f>IFERROR(VLOOKUP(B122,'② Salary Input'!A:V,14,FALSE())/Settings!B6,0)</f>
        <v>343.75</v>
      </c>
    </row>
    <row r="123" spans="1:7" ht="15" customHeight="1" x14ac:dyDescent="0.2">
      <c r="A123" s="34" t="str">
        <f>'① Timelog Input'!B36</f>
        <v>Sakshi</v>
      </c>
      <c r="B123" s="34" t="str">
        <f>'① Timelog Input'!C36</f>
        <v>CAS-IH_1078</v>
      </c>
      <c r="C123" s="34" t="str">
        <f>'① Timelog Input'!CA$3</f>
        <v>WE ARE QUADRANT</v>
      </c>
      <c r="D123" s="35">
        <f>'① Timelog Input'!CA36</f>
        <v>0</v>
      </c>
      <c r="E123" s="34" t="str">
        <f>'① Timelog Input'!H36</f>
        <v>Accounting</v>
      </c>
      <c r="F123" s="36" t="str">
        <f t="shared" si="1"/>
        <v>NO</v>
      </c>
      <c r="G123" s="35">
        <f>IFERROR(VLOOKUP(B123,'② Salary Input'!A:V,14,FALSE())/Settings!B6,0)</f>
        <v>343.75</v>
      </c>
    </row>
    <row r="124" spans="1:7" ht="15" customHeight="1" x14ac:dyDescent="0.2">
      <c r="A124" s="34" t="str">
        <f>'① Timelog Input'!B37</f>
        <v>Suhani</v>
      </c>
      <c r="B124" s="34" t="str">
        <f>'① Timelog Input'!C37</f>
        <v>CAS-RR_2370</v>
      </c>
      <c r="C124" s="34" t="str">
        <f>'① Timelog Input'!AI$3</f>
        <v>CLOUDIT</v>
      </c>
      <c r="D124" s="35">
        <f>'① Timelog Input'!AI37</f>
        <v>32.5</v>
      </c>
      <c r="E124" s="34" t="str">
        <f>'① Timelog Input'!H37</f>
        <v>Accounting</v>
      </c>
      <c r="F124" s="36" t="str">
        <f t="shared" si="1"/>
        <v>NO</v>
      </c>
      <c r="G124" s="35">
        <f>IFERROR(VLOOKUP(B124,'② Salary Input'!A:V,14,FALSE())/Settings!B6,0)</f>
        <v>562.5</v>
      </c>
    </row>
    <row r="125" spans="1:7" ht="15" customHeight="1" x14ac:dyDescent="0.2">
      <c r="A125" s="34" t="str">
        <f>'① Timelog Input'!B37</f>
        <v>Suhani</v>
      </c>
      <c r="B125" s="34" t="str">
        <f>'① Timelog Input'!C37</f>
        <v>CAS-RR_2370</v>
      </c>
      <c r="C125" s="34" t="str">
        <f>'① Timelog Input'!AN$3</f>
        <v>FULL COMPLIANCE, LLC</v>
      </c>
      <c r="D125" s="35">
        <f>'① Timelog Input'!AN37</f>
        <v>0</v>
      </c>
      <c r="E125" s="34" t="str">
        <f>'① Timelog Input'!H37</f>
        <v>Accounting</v>
      </c>
      <c r="F125" s="36" t="str">
        <f t="shared" si="1"/>
        <v>NO</v>
      </c>
      <c r="G125" s="35">
        <f>IFERROR(VLOOKUP(B125,'② Salary Input'!A:V,14,FALSE())/Settings!B6,0)</f>
        <v>562.5</v>
      </c>
    </row>
    <row r="126" spans="1:7" ht="15" customHeight="1" x14ac:dyDescent="0.2">
      <c r="A126" s="34" t="str">
        <f>'① Timelog Input'!B37</f>
        <v>Suhani</v>
      </c>
      <c r="B126" s="34" t="str">
        <f>'① Timelog Input'!C37</f>
        <v>CAS-RR_2370</v>
      </c>
      <c r="C126" s="34" t="str">
        <f>'① Timelog Input'!BS$3</f>
        <v>SOUTH FLORIDA SECURITY GROUP</v>
      </c>
      <c r="D126" s="35">
        <f>'① Timelog Input'!BS37</f>
        <v>0</v>
      </c>
      <c r="E126" s="34" t="str">
        <f>'① Timelog Input'!H37</f>
        <v>Accounting</v>
      </c>
      <c r="F126" s="36" t="str">
        <f t="shared" si="1"/>
        <v>NO</v>
      </c>
      <c r="G126" s="35">
        <f>IFERROR(VLOOKUP(B126,'② Salary Input'!A:V,14,FALSE())/Settings!B6,0)</f>
        <v>562.5</v>
      </c>
    </row>
    <row r="127" spans="1:7" ht="23.25" customHeight="1" x14ac:dyDescent="0.2">
      <c r="A127" s="34" t="str">
        <f>'① Timelog Input'!B38</f>
        <v>Shradha</v>
      </c>
      <c r="B127" s="34" t="str">
        <f>'① Timelog Input'!C38</f>
        <v>CAS-IH_1082</v>
      </c>
      <c r="C127" s="34" t="str">
        <f>'① Timelog Input'!U$3</f>
        <v>ACE CPA</v>
      </c>
      <c r="D127" s="35">
        <f>'① Timelog Input'!U38</f>
        <v>0</v>
      </c>
      <c r="E127" s="34" t="str">
        <f>'① Timelog Input'!H38</f>
        <v>Accounting</v>
      </c>
      <c r="F127" s="36" t="str">
        <f t="shared" si="1"/>
        <v>NO</v>
      </c>
      <c r="G127" s="35">
        <f>IFERROR(VLOOKUP(B127,'② Salary Input'!A:V,14,FALSE())/Settings!B6,0)</f>
        <v>318.75</v>
      </c>
    </row>
    <row r="128" spans="1:7" ht="23.25" customHeight="1" x14ac:dyDescent="0.2">
      <c r="A128" s="34" t="str">
        <f>'① Timelog Input'!B38</f>
        <v>Shradha</v>
      </c>
      <c r="B128" s="34" t="str">
        <f>'① Timelog Input'!C38</f>
        <v>CAS-IH_1082</v>
      </c>
      <c r="C128" s="34" t="str">
        <f>'① Timelog Input'!AI$3</f>
        <v>CLOUDIT</v>
      </c>
      <c r="D128" s="35">
        <f>'① Timelog Input'!AI38</f>
        <v>3</v>
      </c>
      <c r="E128" s="34" t="str">
        <f>'① Timelog Input'!H38</f>
        <v>Accounting</v>
      </c>
      <c r="F128" s="36" t="str">
        <f t="shared" si="1"/>
        <v>NO</v>
      </c>
      <c r="G128" s="35">
        <f>IFERROR(VLOOKUP(B128,'② Salary Input'!A:V,14,FALSE())/Settings!B6,0)</f>
        <v>318.75</v>
      </c>
    </row>
    <row r="129" spans="1:7" ht="23.25" customHeight="1" x14ac:dyDescent="0.2">
      <c r="A129" s="34" t="str">
        <f>'① Timelog Input'!B38</f>
        <v>Shradha</v>
      </c>
      <c r="B129" s="34" t="str">
        <f>'① Timelog Input'!C38</f>
        <v>CAS-IH_1082</v>
      </c>
      <c r="C129" s="34" t="str">
        <f>'① Timelog Input'!BB$3</f>
        <v>MCFADDEN ACCOUNTING</v>
      </c>
      <c r="D129" s="35">
        <f>'① Timelog Input'!BB38</f>
        <v>0</v>
      </c>
      <c r="E129" s="34" t="str">
        <f>'① Timelog Input'!H38</f>
        <v>Accounting</v>
      </c>
      <c r="F129" s="36" t="str">
        <f t="shared" si="1"/>
        <v>NO</v>
      </c>
      <c r="G129" s="35">
        <f>IFERROR(VLOOKUP(B129,'② Salary Input'!A:V,14,FALSE())/Settings!B6,0)</f>
        <v>318.75</v>
      </c>
    </row>
    <row r="130" spans="1:7" ht="23.25" customHeight="1" x14ac:dyDescent="0.2">
      <c r="A130" s="34" t="str">
        <f>'① Timelog Input'!B38</f>
        <v>Shradha</v>
      </c>
      <c r="B130" s="34" t="str">
        <f>'① Timelog Input'!C38</f>
        <v>CAS-IH_1082</v>
      </c>
      <c r="C130" s="34" t="str">
        <f>'① Timelog Input'!BL$3</f>
        <v>PW ADVISORS LLC</v>
      </c>
      <c r="D130" s="35">
        <f>'① Timelog Input'!BL38</f>
        <v>0</v>
      </c>
      <c r="E130" s="34" t="str">
        <f>'① Timelog Input'!H38</f>
        <v>Accounting</v>
      </c>
      <c r="F130" s="36" t="str">
        <f t="shared" si="1"/>
        <v>NO</v>
      </c>
      <c r="G130" s="35">
        <f>IFERROR(VLOOKUP(B130,'② Salary Input'!A:V,14,FALSE())/Settings!B6,0)</f>
        <v>318.75</v>
      </c>
    </row>
    <row r="131" spans="1:7" ht="23.25" customHeight="1" x14ac:dyDescent="0.2">
      <c r="A131" s="34" t="str">
        <f>'① Timelog Input'!B38</f>
        <v>Shradha</v>
      </c>
      <c r="B131" s="34" t="str">
        <f>'① Timelog Input'!C38</f>
        <v>CAS-IH_1082</v>
      </c>
      <c r="C131" s="34" t="str">
        <f>'① Timelog Input'!CA$3</f>
        <v>WE ARE QUADRANT</v>
      </c>
      <c r="D131" s="35">
        <f>'① Timelog Input'!CA38</f>
        <v>0</v>
      </c>
      <c r="E131" s="34" t="str">
        <f>'① Timelog Input'!H38</f>
        <v>Accounting</v>
      </c>
      <c r="F131" s="36" t="str">
        <f t="shared" si="1"/>
        <v>NO</v>
      </c>
      <c r="G131" s="35">
        <f>IFERROR(VLOOKUP(B131,'② Salary Input'!A:V,14,FALSE())/Settings!B6,0)</f>
        <v>318.75</v>
      </c>
    </row>
    <row r="132" spans="1:7" ht="15" customHeight="1" x14ac:dyDescent="0.2">
      <c r="A132" s="34" t="str">
        <f>'① Timelog Input'!B39</f>
        <v>Ridhi.G</v>
      </c>
      <c r="B132" s="34" t="str">
        <f>'① Timelog Input'!C39</f>
        <v>CAS-IH_1146</v>
      </c>
      <c r="C132" s="34" t="str">
        <f>'① Timelog Input'!AA$3</f>
        <v>BORISTAX INC</v>
      </c>
      <c r="D132" s="35">
        <f>'① Timelog Input'!AA39</f>
        <v>0</v>
      </c>
      <c r="E132" s="34" t="str">
        <f>'① Timelog Input'!H39</f>
        <v>Accounting, Business Tax</v>
      </c>
      <c r="F132" s="36" t="str">
        <f t="shared" ref="F132:F195" si="2">IF(OR(E132="HR",E132="IT",E132="Marketing"),"YES","NO")</f>
        <v>NO</v>
      </c>
      <c r="G132" s="35">
        <f>IFERROR(VLOOKUP(B132,'② Salary Input'!A:V,14,FALSE())/Settings!B6,0)</f>
        <v>393.75</v>
      </c>
    </row>
    <row r="133" spans="1:7" ht="15" customHeight="1" x14ac:dyDescent="0.2">
      <c r="A133" s="34" t="str">
        <f>'① Timelog Input'!B39</f>
        <v>Ridhi.G</v>
      </c>
      <c r="B133" s="34" t="str">
        <f>'① Timelog Input'!C39</f>
        <v>CAS-IH_1146</v>
      </c>
      <c r="C133" s="34" t="str">
        <f>'① Timelog Input'!BF$3</f>
        <v>NEW AGE IRON WORKS, INC.</v>
      </c>
      <c r="D133" s="35">
        <f>'① Timelog Input'!BF39</f>
        <v>0</v>
      </c>
      <c r="E133" s="34" t="str">
        <f>'① Timelog Input'!H39</f>
        <v>Accounting, Business Tax</v>
      </c>
      <c r="F133" s="36" t="str">
        <f t="shared" si="2"/>
        <v>NO</v>
      </c>
      <c r="G133" s="35">
        <f>IFERROR(VLOOKUP(B133,'② Salary Input'!A:V,14,FALSE())/Settings!B6,0)</f>
        <v>393.75</v>
      </c>
    </row>
    <row r="134" spans="1:7" ht="23.25" customHeight="1" x14ac:dyDescent="0.2">
      <c r="A134" s="34" t="str">
        <f>'① Timelog Input'!B40</f>
        <v>Bhairavi.M</v>
      </c>
      <c r="B134" s="34" t="str">
        <f>'① Timelog Input'!C40</f>
        <v>CAS-IH_1160</v>
      </c>
      <c r="C134" s="34" t="str">
        <f>'① Timelog Input'!AI$3</f>
        <v>CLOUDIT</v>
      </c>
      <c r="D134" s="35">
        <f>'① Timelog Input'!AI40</f>
        <v>0</v>
      </c>
      <c r="E134" s="34" t="str">
        <f>'① Timelog Input'!H40</f>
        <v>Accounting</v>
      </c>
      <c r="F134" s="36" t="str">
        <f t="shared" si="2"/>
        <v>NO</v>
      </c>
      <c r="G134" s="35">
        <f>IFERROR(VLOOKUP(B134,'② Salary Input'!A:V,14,FALSE())/Settings!B6,0)</f>
        <v>250</v>
      </c>
    </row>
    <row r="135" spans="1:7" ht="23.25" customHeight="1" x14ac:dyDescent="0.2">
      <c r="A135" s="34" t="str">
        <f>'① Timelog Input'!B40</f>
        <v>Bhairavi.M</v>
      </c>
      <c r="B135" s="34" t="str">
        <f>'① Timelog Input'!C40</f>
        <v>CAS-IH_1160</v>
      </c>
      <c r="C135" s="34" t="str">
        <f>'① Timelog Input'!AV$3</f>
        <v>JOHNSON &amp; ROBINSON LLC</v>
      </c>
      <c r="D135" s="35">
        <f>'① Timelog Input'!AV40</f>
        <v>0</v>
      </c>
      <c r="E135" s="34" t="str">
        <f>'① Timelog Input'!H40</f>
        <v>Accounting</v>
      </c>
      <c r="F135" s="36" t="str">
        <f t="shared" si="2"/>
        <v>NO</v>
      </c>
      <c r="G135" s="35">
        <f>IFERROR(VLOOKUP(B135,'② Salary Input'!A:V,14,FALSE())/Settings!B6,0)</f>
        <v>250</v>
      </c>
    </row>
    <row r="136" spans="1:7" ht="23.25" customHeight="1" x14ac:dyDescent="0.2">
      <c r="A136" s="34" t="str">
        <f>'① Timelog Input'!B40</f>
        <v>Bhairavi.M</v>
      </c>
      <c r="B136" s="34" t="str">
        <f>'① Timelog Input'!C40</f>
        <v>CAS-IH_1160</v>
      </c>
      <c r="C136" s="34" t="str">
        <f>'① Timelog Input'!AW$3</f>
        <v>LEANCORP ACCOUNTING</v>
      </c>
      <c r="D136" s="35">
        <f>'① Timelog Input'!AW40</f>
        <v>0</v>
      </c>
      <c r="E136" s="34" t="str">
        <f>'① Timelog Input'!H40</f>
        <v>Accounting</v>
      </c>
      <c r="F136" s="36" t="str">
        <f t="shared" si="2"/>
        <v>NO</v>
      </c>
      <c r="G136" s="35">
        <f>IFERROR(VLOOKUP(B136,'② Salary Input'!A:V,14,FALSE())/Settings!B6,0)</f>
        <v>250</v>
      </c>
    </row>
    <row r="137" spans="1:7" ht="23.25" customHeight="1" x14ac:dyDescent="0.2">
      <c r="A137" s="34" t="str">
        <f>'① Timelog Input'!B40</f>
        <v>Bhairavi.M</v>
      </c>
      <c r="B137" s="34" t="str">
        <f>'① Timelog Input'!C40</f>
        <v>CAS-IH_1160</v>
      </c>
      <c r="C137" s="34" t="str">
        <f>'① Timelog Input'!BL$3</f>
        <v>PW ADVISORS LLC</v>
      </c>
      <c r="D137" s="35">
        <f>'① Timelog Input'!BL40</f>
        <v>0</v>
      </c>
      <c r="E137" s="34" t="str">
        <f>'① Timelog Input'!H40</f>
        <v>Accounting</v>
      </c>
      <c r="F137" s="36" t="str">
        <f t="shared" si="2"/>
        <v>NO</v>
      </c>
      <c r="G137" s="35">
        <f>IFERROR(VLOOKUP(B137,'② Salary Input'!A:V,14,FALSE())/Settings!B6,0)</f>
        <v>250</v>
      </c>
    </row>
    <row r="138" spans="1:7" ht="23.25" customHeight="1" x14ac:dyDescent="0.2">
      <c r="A138" s="34" t="str">
        <f>'① Timelog Input'!B40</f>
        <v>Bhairavi.M</v>
      </c>
      <c r="B138" s="34" t="str">
        <f>'① Timelog Input'!C40</f>
        <v>CAS-IH_1160</v>
      </c>
      <c r="C138" s="34" t="str">
        <f>'① Timelog Input'!CB$3</f>
        <v>WIGGS CPA TAX &amp; ACCOUNTING</v>
      </c>
      <c r="D138" s="35">
        <f>'① Timelog Input'!CB40</f>
        <v>0</v>
      </c>
      <c r="E138" s="34" t="str">
        <f>'① Timelog Input'!H40</f>
        <v>Accounting</v>
      </c>
      <c r="F138" s="36" t="str">
        <f t="shared" si="2"/>
        <v>NO</v>
      </c>
      <c r="G138" s="35">
        <f>IFERROR(VLOOKUP(B138,'② Salary Input'!A:V,14,FALSE())/Settings!B6,0)</f>
        <v>250</v>
      </c>
    </row>
    <row r="139" spans="1:7" ht="15" customHeight="1" x14ac:dyDescent="0.2">
      <c r="A139" s="34" t="str">
        <f>'① Timelog Input'!B41</f>
        <v>Ujjwal.J</v>
      </c>
      <c r="B139" s="34" t="str">
        <f>'① Timelog Input'!C41</f>
        <v>CAS-IH_1150</v>
      </c>
      <c r="C139" s="34" t="str">
        <f>'① Timelog Input'!AA$3</f>
        <v>BORISTAX INC</v>
      </c>
      <c r="D139" s="35">
        <f>'① Timelog Input'!AA41</f>
        <v>0</v>
      </c>
      <c r="E139" s="34" t="str">
        <f>'① Timelog Input'!H41</f>
        <v>Accounting, Business Tax</v>
      </c>
      <c r="F139" s="36" t="str">
        <f t="shared" si="2"/>
        <v>NO</v>
      </c>
      <c r="G139" s="35">
        <f>IFERROR(VLOOKUP(B139,'② Salary Input'!A:V,14,FALSE())/Settings!B6,0)</f>
        <v>312.5</v>
      </c>
    </row>
    <row r="140" spans="1:7" ht="15" customHeight="1" x14ac:dyDescent="0.2">
      <c r="A140" s="34" t="str">
        <f>'① Timelog Input'!B41</f>
        <v>Ujjwal.J</v>
      </c>
      <c r="B140" s="34" t="str">
        <f>'① Timelog Input'!C41</f>
        <v>CAS-IH_1150</v>
      </c>
      <c r="C140" s="34" t="str">
        <f>'① Timelog Input'!AH$3</f>
        <v>CLARK FINANCIALS</v>
      </c>
      <c r="D140" s="35">
        <f>'① Timelog Input'!AH41</f>
        <v>0</v>
      </c>
      <c r="E140" s="34" t="str">
        <f>'① Timelog Input'!H41</f>
        <v>Accounting, Business Tax</v>
      </c>
      <c r="F140" s="36" t="str">
        <f t="shared" si="2"/>
        <v>NO</v>
      </c>
      <c r="G140" s="35">
        <f>IFERROR(VLOOKUP(B140,'② Salary Input'!A:V,14,FALSE())/Settings!B6,0)</f>
        <v>312.5</v>
      </c>
    </row>
    <row r="141" spans="1:7" ht="15" customHeight="1" x14ac:dyDescent="0.2">
      <c r="A141" s="34" t="str">
        <f>'① Timelog Input'!B41</f>
        <v>Ujjwal.J</v>
      </c>
      <c r="B141" s="34" t="str">
        <f>'① Timelog Input'!C41</f>
        <v>CAS-IH_1150</v>
      </c>
      <c r="C141" s="34" t="str">
        <f>'① Timelog Input'!AI$3</f>
        <v>CLOUDIT</v>
      </c>
      <c r="D141" s="35">
        <f>'① Timelog Input'!AI41</f>
        <v>25.67</v>
      </c>
      <c r="E141" s="34" t="str">
        <f>'① Timelog Input'!H41</f>
        <v>Accounting, Business Tax</v>
      </c>
      <c r="F141" s="36" t="str">
        <f t="shared" si="2"/>
        <v>NO</v>
      </c>
      <c r="G141" s="35">
        <f>IFERROR(VLOOKUP(B141,'② Salary Input'!A:V,14,FALSE())/Settings!B6,0)</f>
        <v>312.5</v>
      </c>
    </row>
    <row r="142" spans="1:7" ht="15" customHeight="1" x14ac:dyDescent="0.2">
      <c r="A142" s="34" t="str">
        <f>'① Timelog Input'!B41</f>
        <v>Ujjwal.J</v>
      </c>
      <c r="B142" s="34" t="str">
        <f>'① Timelog Input'!C41</f>
        <v>CAS-IH_1150</v>
      </c>
      <c r="C142" s="34" t="str">
        <f>'① Timelog Input'!AJ$3</f>
        <v>COHEN AND ASSOCIATES</v>
      </c>
      <c r="D142" s="35">
        <f>'① Timelog Input'!AJ41</f>
        <v>0</v>
      </c>
      <c r="E142" s="34" t="str">
        <f>'① Timelog Input'!H41</f>
        <v>Accounting, Business Tax</v>
      </c>
      <c r="F142" s="36" t="str">
        <f t="shared" si="2"/>
        <v>NO</v>
      </c>
      <c r="G142" s="35">
        <f>IFERROR(VLOOKUP(B142,'② Salary Input'!A:V,14,FALSE())/Settings!B6,0)</f>
        <v>312.5</v>
      </c>
    </row>
    <row r="143" spans="1:7" ht="23.25" customHeight="1" x14ac:dyDescent="0.2">
      <c r="A143" s="34" t="str">
        <f>'① Timelog Input'!B41</f>
        <v>Ujjwal.J</v>
      </c>
      <c r="B143" s="34" t="str">
        <f>'① Timelog Input'!C41</f>
        <v>CAS-IH_1150</v>
      </c>
      <c r="C143" s="34" t="str">
        <f>'① Timelog Input'!AS$3</f>
        <v>INNOVATIVE CONSULTING &amp; SOLUTIONS, LLC</v>
      </c>
      <c r="D143" s="35">
        <f>'① Timelog Input'!AS41</f>
        <v>0</v>
      </c>
      <c r="E143" s="34" t="str">
        <f>'① Timelog Input'!H41</f>
        <v>Accounting, Business Tax</v>
      </c>
      <c r="F143" s="36" t="str">
        <f t="shared" si="2"/>
        <v>NO</v>
      </c>
      <c r="G143" s="35">
        <f>IFERROR(VLOOKUP(B143,'② Salary Input'!A:V,14,FALSE())/Settings!B6,0)</f>
        <v>312.5</v>
      </c>
    </row>
    <row r="144" spans="1:7" ht="15" customHeight="1" x14ac:dyDescent="0.2">
      <c r="A144" s="34" t="str">
        <f>'① Timelog Input'!B41</f>
        <v>Ujjwal.J</v>
      </c>
      <c r="B144" s="34" t="str">
        <f>'① Timelog Input'!C41</f>
        <v>CAS-IH_1150</v>
      </c>
      <c r="C144" s="34" t="str">
        <f>'① Timelog Input'!BE$3</f>
        <v>NATIONAL TAX CENTERS, LLC</v>
      </c>
      <c r="D144" s="35">
        <f>'① Timelog Input'!BE41</f>
        <v>0</v>
      </c>
      <c r="E144" s="34" t="str">
        <f>'① Timelog Input'!H41</f>
        <v>Accounting, Business Tax</v>
      </c>
      <c r="F144" s="36" t="str">
        <f t="shared" si="2"/>
        <v>NO</v>
      </c>
      <c r="G144" s="35">
        <f>IFERROR(VLOOKUP(B144,'② Salary Input'!A:V,14,FALSE())/Settings!B6,0)</f>
        <v>312.5</v>
      </c>
    </row>
    <row r="145" spans="1:7" ht="15" customHeight="1" x14ac:dyDescent="0.2">
      <c r="A145" s="34" t="str">
        <f>'① Timelog Input'!B41</f>
        <v>Ujjwal.J</v>
      </c>
      <c r="B145" s="34" t="str">
        <f>'① Timelog Input'!C41</f>
        <v>CAS-IH_1150</v>
      </c>
      <c r="C145" s="34" t="str">
        <f>'① Timelog Input'!BH$3</f>
        <v>NUMBER NUTTZ CONSULTING</v>
      </c>
      <c r="D145" s="35">
        <f>'① Timelog Input'!BH41</f>
        <v>0</v>
      </c>
      <c r="E145" s="34" t="str">
        <f>'① Timelog Input'!H41</f>
        <v>Accounting, Business Tax</v>
      </c>
      <c r="F145" s="36" t="str">
        <f t="shared" si="2"/>
        <v>NO</v>
      </c>
      <c r="G145" s="35">
        <f>IFERROR(VLOOKUP(B145,'② Salary Input'!A:V,14,FALSE())/Settings!B6,0)</f>
        <v>312.5</v>
      </c>
    </row>
    <row r="146" spans="1:7" ht="15" customHeight="1" x14ac:dyDescent="0.2">
      <c r="A146" s="34" t="str">
        <f>'① Timelog Input'!B41</f>
        <v>Ujjwal.J</v>
      </c>
      <c r="B146" s="34" t="str">
        <f>'① Timelog Input'!C41</f>
        <v>CAS-IH_1150</v>
      </c>
      <c r="C146" s="34" t="str">
        <f>'① Timelog Input'!BU$3</f>
        <v>THE PROFIT SCALE THRIVE</v>
      </c>
      <c r="D146" s="35">
        <f>'① Timelog Input'!BU41</f>
        <v>0</v>
      </c>
      <c r="E146" s="34" t="str">
        <f>'① Timelog Input'!H41</f>
        <v>Accounting, Business Tax</v>
      </c>
      <c r="F146" s="36" t="str">
        <f t="shared" si="2"/>
        <v>NO</v>
      </c>
      <c r="G146" s="35">
        <f>IFERROR(VLOOKUP(B146,'② Salary Input'!A:V,14,FALSE())/Settings!B6,0)</f>
        <v>312.5</v>
      </c>
    </row>
    <row r="147" spans="1:7" ht="15" customHeight="1" x14ac:dyDescent="0.2">
      <c r="A147" s="34" t="str">
        <f>'① Timelog Input'!B41</f>
        <v>Ujjwal.J</v>
      </c>
      <c r="B147" s="34" t="str">
        <f>'① Timelog Input'!C41</f>
        <v>CAS-IH_1150</v>
      </c>
      <c r="C147" s="34" t="str">
        <f>'① Timelog Input'!BY$3</f>
        <v>TRI SCAPES</v>
      </c>
      <c r="D147" s="35">
        <f>'① Timelog Input'!BY41</f>
        <v>0</v>
      </c>
      <c r="E147" s="34" t="str">
        <f>'① Timelog Input'!H41</f>
        <v>Accounting, Business Tax</v>
      </c>
      <c r="F147" s="36" t="str">
        <f t="shared" si="2"/>
        <v>NO</v>
      </c>
      <c r="G147" s="35">
        <f>IFERROR(VLOOKUP(B147,'② Salary Input'!A:V,14,FALSE())/Settings!B6,0)</f>
        <v>312.5</v>
      </c>
    </row>
    <row r="148" spans="1:7" ht="15" customHeight="1" x14ac:dyDescent="0.2">
      <c r="A148" s="34" t="str">
        <f>'① Timelog Input'!B42</f>
        <v>Sukhmeen.K</v>
      </c>
      <c r="B148" s="34" t="str">
        <f>'① Timelog Input'!C42</f>
        <v>CAS-RR_2253</v>
      </c>
      <c r="C148" s="34" t="str">
        <f>'① Timelog Input'!AI$3</f>
        <v>CLOUDIT</v>
      </c>
      <c r="D148" s="35">
        <f>'① Timelog Input'!AI42</f>
        <v>43.42</v>
      </c>
      <c r="E148" s="34" t="str">
        <f>'① Timelog Input'!H42</f>
        <v>Accounting</v>
      </c>
      <c r="F148" s="36" t="str">
        <f t="shared" si="2"/>
        <v>NO</v>
      </c>
      <c r="G148" s="35">
        <f>IFERROR(VLOOKUP(B148,'② Salary Input'!A:V,14,FALSE())/Settings!B6,0)</f>
        <v>637.5</v>
      </c>
    </row>
    <row r="149" spans="1:7" ht="15" customHeight="1" x14ac:dyDescent="0.2">
      <c r="A149" s="34" t="str">
        <f>'① Timelog Input'!B43</f>
        <v>Tanisha.J</v>
      </c>
      <c r="B149" s="34" t="str">
        <f>'① Timelog Input'!C43</f>
        <v>CAS-IH_1111</v>
      </c>
      <c r="C149" s="34" t="str">
        <f>'① Timelog Input'!AI$3</f>
        <v>CLOUDIT</v>
      </c>
      <c r="D149" s="35">
        <f>'① Timelog Input'!AI43</f>
        <v>109</v>
      </c>
      <c r="E149" s="34" t="str">
        <f>'① Timelog Input'!H43</f>
        <v>HR</v>
      </c>
      <c r="F149" s="36" t="str">
        <f t="shared" si="2"/>
        <v>YES</v>
      </c>
      <c r="G149" s="35">
        <f>IFERROR(VLOOKUP(B149,'② Salary Input'!A:V,14,FALSE())/Settings!B6,0)</f>
        <v>268.75</v>
      </c>
    </row>
    <row r="150" spans="1:7" ht="15" customHeight="1" x14ac:dyDescent="0.2">
      <c r="A150" s="34" t="str">
        <f>'① Timelog Input'!B44</f>
        <v>Disha.M</v>
      </c>
      <c r="B150" s="34" t="str">
        <f>'① Timelog Input'!C44</f>
        <v>CAS-IH_1113</v>
      </c>
      <c r="C150" s="34" t="str">
        <f>'① Timelog Input'!Q$3</f>
        <v>406 CONSULTING LLC</v>
      </c>
      <c r="D150" s="35">
        <f>'① Timelog Input'!Q44</f>
        <v>0</v>
      </c>
      <c r="E150" s="34" t="str">
        <f>'① Timelog Input'!H44</f>
        <v>HR</v>
      </c>
      <c r="F150" s="36" t="str">
        <f t="shared" si="2"/>
        <v>YES</v>
      </c>
      <c r="G150" s="35">
        <f>IFERROR(VLOOKUP(B150,'② Salary Input'!A:V,14,FALSE())/Settings!B6,0)</f>
        <v>312.5</v>
      </c>
    </row>
    <row r="151" spans="1:7" ht="15" customHeight="1" x14ac:dyDescent="0.2">
      <c r="A151" s="34" t="str">
        <f>'① Timelog Input'!B44</f>
        <v>Disha.M</v>
      </c>
      <c r="B151" s="34" t="str">
        <f>'① Timelog Input'!C44</f>
        <v>CAS-IH_1113</v>
      </c>
      <c r="C151" s="34" t="str">
        <f>'① Timelog Input'!AB$3</f>
        <v>BRADLEY FINANCIAL SERVICES LLC</v>
      </c>
      <c r="D151" s="35">
        <f>'① Timelog Input'!AB44</f>
        <v>0</v>
      </c>
      <c r="E151" s="34" t="str">
        <f>'① Timelog Input'!H44</f>
        <v>HR</v>
      </c>
      <c r="F151" s="36" t="str">
        <f t="shared" si="2"/>
        <v>YES</v>
      </c>
      <c r="G151" s="35">
        <f>IFERROR(VLOOKUP(B151,'② Salary Input'!A:V,14,FALSE())/Settings!B6,0)</f>
        <v>312.5</v>
      </c>
    </row>
    <row r="152" spans="1:7" ht="15" customHeight="1" x14ac:dyDescent="0.2">
      <c r="A152" s="34" t="str">
        <f>'① Timelog Input'!B44</f>
        <v>Disha.M</v>
      </c>
      <c r="B152" s="34" t="str">
        <f>'① Timelog Input'!C44</f>
        <v>CAS-IH_1113</v>
      </c>
      <c r="C152" s="34" t="str">
        <f>'① Timelog Input'!AM$3</f>
        <v>Fleming Accounting Solutions</v>
      </c>
      <c r="D152" s="35">
        <f>'① Timelog Input'!AM44</f>
        <v>0</v>
      </c>
      <c r="E152" s="34" t="str">
        <f>'① Timelog Input'!H44</f>
        <v>HR</v>
      </c>
      <c r="F152" s="36" t="str">
        <f t="shared" si="2"/>
        <v>YES</v>
      </c>
      <c r="G152" s="35">
        <f>IFERROR(VLOOKUP(B152,'② Salary Input'!A:V,14,FALSE())/Settings!B6,0)</f>
        <v>312.5</v>
      </c>
    </row>
    <row r="153" spans="1:7" ht="15" customHeight="1" x14ac:dyDescent="0.2">
      <c r="A153" s="34" t="str">
        <f>'① Timelog Input'!B44</f>
        <v>Disha.M</v>
      </c>
      <c r="B153" s="34" t="str">
        <f>'① Timelog Input'!C44</f>
        <v>CAS-IH_1113</v>
      </c>
      <c r="C153" s="34" t="str">
        <f>'① Timelog Input'!AN$3</f>
        <v>FULL COMPLIANCE, LLC</v>
      </c>
      <c r="D153" s="35">
        <f>'① Timelog Input'!AN44</f>
        <v>0</v>
      </c>
      <c r="E153" s="34" t="str">
        <f>'① Timelog Input'!H44</f>
        <v>HR</v>
      </c>
      <c r="F153" s="36" t="str">
        <f t="shared" si="2"/>
        <v>YES</v>
      </c>
      <c r="G153" s="35">
        <f>IFERROR(VLOOKUP(B153,'② Salary Input'!A:V,14,FALSE())/Settings!B6,0)</f>
        <v>312.5</v>
      </c>
    </row>
    <row r="154" spans="1:7" ht="15" customHeight="1" x14ac:dyDescent="0.2">
      <c r="A154" s="34" t="str">
        <f>'① Timelog Input'!B44</f>
        <v>Disha.M</v>
      </c>
      <c r="B154" s="34" t="str">
        <f>'① Timelog Input'!C44</f>
        <v>CAS-IH_1113</v>
      </c>
      <c r="C154" s="34" t="str">
        <f>'① Timelog Input'!AT$3</f>
        <v>INVENT WEALTH, CPA</v>
      </c>
      <c r="D154" s="35">
        <f>'① Timelog Input'!AT44</f>
        <v>0</v>
      </c>
      <c r="E154" s="34" t="str">
        <f>'① Timelog Input'!H44</f>
        <v>HR</v>
      </c>
      <c r="F154" s="36" t="str">
        <f t="shared" si="2"/>
        <v>YES</v>
      </c>
      <c r="G154" s="35">
        <f>IFERROR(VLOOKUP(B154,'② Salary Input'!A:V,14,FALSE())/Settings!B6,0)</f>
        <v>312.5</v>
      </c>
    </row>
    <row r="155" spans="1:7" ht="15" customHeight="1" x14ac:dyDescent="0.2">
      <c r="A155" s="34" t="str">
        <f>'① Timelog Input'!B44</f>
        <v>Disha.M</v>
      </c>
      <c r="B155" s="34" t="str">
        <f>'① Timelog Input'!C44</f>
        <v>CAS-IH_1113</v>
      </c>
      <c r="C155" s="34" t="str">
        <f>'① Timelog Input'!BL$3</f>
        <v>PW ADVISORS LLC</v>
      </c>
      <c r="D155" s="35">
        <f>'① Timelog Input'!BL44</f>
        <v>0</v>
      </c>
      <c r="E155" s="34" t="str">
        <f>'① Timelog Input'!H44</f>
        <v>HR</v>
      </c>
      <c r="F155" s="36" t="str">
        <f t="shared" si="2"/>
        <v>YES</v>
      </c>
      <c r="G155" s="35">
        <f>IFERROR(VLOOKUP(B155,'② Salary Input'!A:V,14,FALSE())/Settings!B6,0)</f>
        <v>312.5</v>
      </c>
    </row>
    <row r="156" spans="1:7" ht="15" customHeight="1" x14ac:dyDescent="0.2">
      <c r="A156" s="34" t="str">
        <f>'① Timelog Input'!B44</f>
        <v>Disha.M</v>
      </c>
      <c r="B156" s="34" t="str">
        <f>'① Timelog Input'!C44</f>
        <v>CAS-IH_1113</v>
      </c>
      <c r="C156" s="34" t="str">
        <f>'① Timelog Input'!BT$3</f>
        <v>TAX GEEK LLC</v>
      </c>
      <c r="D156" s="35">
        <f>'① Timelog Input'!BT44</f>
        <v>0</v>
      </c>
      <c r="E156" s="34" t="str">
        <f>'① Timelog Input'!H44</f>
        <v>HR</v>
      </c>
      <c r="F156" s="36" t="str">
        <f t="shared" si="2"/>
        <v>YES</v>
      </c>
      <c r="G156" s="35">
        <f>IFERROR(VLOOKUP(B156,'② Salary Input'!A:V,14,FALSE())/Settings!B6,0)</f>
        <v>312.5</v>
      </c>
    </row>
    <row r="157" spans="1:7" ht="15" customHeight="1" x14ac:dyDescent="0.2">
      <c r="A157" s="34" t="str">
        <f>'① Timelog Input'!B45</f>
        <v>Smriti.S</v>
      </c>
      <c r="B157" s="34" t="str">
        <f>'① Timelog Input'!C45</f>
        <v>CAS-IH_1114</v>
      </c>
      <c r="C157" s="34" t="str">
        <f>'① Timelog Input'!AA$3</f>
        <v>BORISTAX INC</v>
      </c>
      <c r="D157" s="35">
        <f>'① Timelog Input'!AA45</f>
        <v>0</v>
      </c>
      <c r="E157" s="34" t="str">
        <f>'① Timelog Input'!H45</f>
        <v>Individual Tax</v>
      </c>
      <c r="F157" s="36" t="str">
        <f t="shared" si="2"/>
        <v>NO</v>
      </c>
      <c r="G157" s="35">
        <f>IFERROR(VLOOKUP(B157,'② Salary Input'!A:V,14,FALSE())/Settings!B6,0)</f>
        <v>1447.91875</v>
      </c>
    </row>
    <row r="158" spans="1:7" ht="15" customHeight="1" x14ac:dyDescent="0.2">
      <c r="A158" s="34" t="str">
        <f>'① Timelog Input'!B45</f>
        <v>Smriti.S</v>
      </c>
      <c r="B158" s="34" t="str">
        <f>'① Timelog Input'!C45</f>
        <v>CAS-IH_1114</v>
      </c>
      <c r="C158" s="34" t="str">
        <f>'① Timelog Input'!BS$3</f>
        <v>SOUTH FLORIDA SECURITY GROUP</v>
      </c>
      <c r="D158" s="35">
        <f>'① Timelog Input'!BS45</f>
        <v>0</v>
      </c>
      <c r="E158" s="34" t="str">
        <f>'① Timelog Input'!H45</f>
        <v>Individual Tax</v>
      </c>
      <c r="F158" s="36" t="str">
        <f t="shared" si="2"/>
        <v>NO</v>
      </c>
      <c r="G158" s="35">
        <f>IFERROR(VLOOKUP(B158,'② Salary Input'!A:V,14,FALSE())/Settings!B6,0)</f>
        <v>1447.91875</v>
      </c>
    </row>
    <row r="159" spans="1:7" ht="15" customHeight="1" x14ac:dyDescent="0.2">
      <c r="A159" s="34" t="str">
        <f>'① Timelog Input'!B45</f>
        <v>Smriti.S</v>
      </c>
      <c r="B159" s="34" t="str">
        <f>'① Timelog Input'!C45</f>
        <v>CAS-IH_1114</v>
      </c>
      <c r="C159" s="34" t="str">
        <f>'① Timelog Input'!BT$3</f>
        <v>TAX GEEK LLC</v>
      </c>
      <c r="D159" s="35">
        <f>'① Timelog Input'!BT45</f>
        <v>0.66</v>
      </c>
      <c r="E159" s="34" t="str">
        <f>'① Timelog Input'!H45</f>
        <v>Individual Tax</v>
      </c>
      <c r="F159" s="36" t="str">
        <f t="shared" si="2"/>
        <v>NO</v>
      </c>
      <c r="G159" s="35">
        <f>IFERROR(VLOOKUP(B159,'② Salary Input'!A:V,14,FALSE())/Settings!B6,0)</f>
        <v>1447.91875</v>
      </c>
    </row>
    <row r="160" spans="1:7" ht="15" customHeight="1" x14ac:dyDescent="0.2">
      <c r="A160" s="34" t="str">
        <f>'① Timelog Input'!B45</f>
        <v>Smriti.S</v>
      </c>
      <c r="B160" s="34" t="str">
        <f>'① Timelog Input'!C45</f>
        <v>CAS-IH_1114</v>
      </c>
      <c r="C160" s="34" t="str">
        <f>'① Timelog Input'!CA$3</f>
        <v>WE ARE QUADRANT</v>
      </c>
      <c r="D160" s="35">
        <f>'① Timelog Input'!CA45</f>
        <v>0</v>
      </c>
      <c r="E160" s="34" t="str">
        <f>'① Timelog Input'!H45</f>
        <v>Individual Tax</v>
      </c>
      <c r="F160" s="36" t="str">
        <f t="shared" si="2"/>
        <v>NO</v>
      </c>
      <c r="G160" s="35">
        <f>IFERROR(VLOOKUP(B160,'② Salary Input'!A:V,14,FALSE())/Settings!B6,0)</f>
        <v>1447.91875</v>
      </c>
    </row>
    <row r="161" spans="1:7" ht="15" customHeight="1" x14ac:dyDescent="0.2">
      <c r="A161" s="34" t="str">
        <f>'① Timelog Input'!B46</f>
        <v>Muhammad.S</v>
      </c>
      <c r="B161" s="34" t="str">
        <f>'① Timelog Input'!C46</f>
        <v>CAS-RT_2283</v>
      </c>
      <c r="C161" s="34" t="str">
        <f>'① Timelog Input'!AA$3</f>
        <v>BORISTAX INC</v>
      </c>
      <c r="D161" s="35">
        <f>'① Timelog Input'!AA46</f>
        <v>25.5</v>
      </c>
      <c r="E161" s="34" t="str">
        <f>'① Timelog Input'!H46</f>
        <v>Accounting</v>
      </c>
      <c r="F161" s="36" t="str">
        <f t="shared" si="2"/>
        <v>NO</v>
      </c>
      <c r="G161" s="35">
        <f>IFERROR(VLOOKUP(B161,'② Salary Input'!A:V,14,FALSE())/Settings!B6,0)</f>
        <v>216.25</v>
      </c>
    </row>
    <row r="162" spans="1:7" ht="15" customHeight="1" x14ac:dyDescent="0.2">
      <c r="A162" s="34" t="str">
        <f>'① Timelog Input'!B46</f>
        <v>Muhammad.S</v>
      </c>
      <c r="B162" s="34" t="str">
        <f>'① Timelog Input'!C46</f>
        <v>CAS-RT_2283</v>
      </c>
      <c r="C162" s="34" t="str">
        <f>'① Timelog Input'!AH$3</f>
        <v>CLARK FINANCIALS</v>
      </c>
      <c r="D162" s="35">
        <f>'① Timelog Input'!AH46</f>
        <v>0</v>
      </c>
      <c r="E162" s="34" t="str">
        <f>'① Timelog Input'!H46</f>
        <v>Accounting</v>
      </c>
      <c r="F162" s="36" t="str">
        <f t="shared" si="2"/>
        <v>NO</v>
      </c>
      <c r="G162" s="35">
        <f>IFERROR(VLOOKUP(B162,'② Salary Input'!A:V,14,FALSE())/Settings!B6,0)</f>
        <v>216.25</v>
      </c>
    </row>
    <row r="163" spans="1:7" ht="15" customHeight="1" x14ac:dyDescent="0.2">
      <c r="A163" s="34" t="str">
        <f>'① Timelog Input'!B46</f>
        <v>Muhammad.S</v>
      </c>
      <c r="B163" s="34" t="str">
        <f>'① Timelog Input'!C46</f>
        <v>CAS-RT_2283</v>
      </c>
      <c r="C163" s="34" t="str">
        <f>'① Timelog Input'!AI$3</f>
        <v>CLOUDIT</v>
      </c>
      <c r="D163" s="35">
        <f>'① Timelog Input'!AI46</f>
        <v>0</v>
      </c>
      <c r="E163" s="34" t="str">
        <f>'① Timelog Input'!H46</f>
        <v>Accounting</v>
      </c>
      <c r="F163" s="36" t="str">
        <f t="shared" si="2"/>
        <v>NO</v>
      </c>
      <c r="G163" s="35">
        <f>IFERROR(VLOOKUP(B163,'② Salary Input'!A:V,14,FALSE())/Settings!B6,0)</f>
        <v>216.25</v>
      </c>
    </row>
    <row r="164" spans="1:7" ht="15" customHeight="1" x14ac:dyDescent="0.2">
      <c r="A164" s="34" t="str">
        <f>'① Timelog Input'!B46</f>
        <v>Muhammad.S</v>
      </c>
      <c r="B164" s="34" t="str">
        <f>'① Timelog Input'!C46</f>
        <v>CAS-RT_2283</v>
      </c>
      <c r="C164" s="34" t="str">
        <f>'① Timelog Input'!BE$3</f>
        <v>NATIONAL TAX CENTERS, LLC</v>
      </c>
      <c r="D164" s="35">
        <f>'① Timelog Input'!BE46</f>
        <v>0</v>
      </c>
      <c r="E164" s="34" t="str">
        <f>'① Timelog Input'!H46</f>
        <v>Accounting</v>
      </c>
      <c r="F164" s="36" t="str">
        <f t="shared" si="2"/>
        <v>NO</v>
      </c>
      <c r="G164" s="35">
        <f>IFERROR(VLOOKUP(B164,'② Salary Input'!A:V,14,FALSE())/Settings!B6,0)</f>
        <v>216.25</v>
      </c>
    </row>
    <row r="165" spans="1:7" ht="15" customHeight="1" x14ac:dyDescent="0.2">
      <c r="A165" s="34" t="str">
        <f>'① Timelog Input'!B46</f>
        <v>Muhammad.S</v>
      </c>
      <c r="B165" s="34" t="str">
        <f>'① Timelog Input'!C46</f>
        <v>CAS-RT_2283</v>
      </c>
      <c r="C165" s="34" t="str">
        <f>'① Timelog Input'!BH$3</f>
        <v>NUMBER NUTTZ CONSULTING</v>
      </c>
      <c r="D165" s="35">
        <f>'① Timelog Input'!BH46</f>
        <v>0</v>
      </c>
      <c r="E165" s="34" t="str">
        <f>'① Timelog Input'!H46</f>
        <v>Accounting</v>
      </c>
      <c r="F165" s="36" t="str">
        <f t="shared" si="2"/>
        <v>NO</v>
      </c>
      <c r="G165" s="35">
        <f>IFERROR(VLOOKUP(B165,'② Salary Input'!A:V,14,FALSE())/Settings!B6,0)</f>
        <v>216.25</v>
      </c>
    </row>
    <row r="166" spans="1:7" ht="15" customHeight="1" x14ac:dyDescent="0.2">
      <c r="A166" s="34" t="str">
        <f>'① Timelog Input'!B46</f>
        <v>Muhammad.S</v>
      </c>
      <c r="B166" s="34" t="str">
        <f>'① Timelog Input'!C46</f>
        <v>CAS-RT_2283</v>
      </c>
      <c r="C166" s="34" t="str">
        <f>'① Timelog Input'!BU$3</f>
        <v>THE PROFIT SCALE THRIVE</v>
      </c>
      <c r="D166" s="35">
        <f>'① Timelog Input'!BU46</f>
        <v>0</v>
      </c>
      <c r="E166" s="34" t="str">
        <f>'① Timelog Input'!H46</f>
        <v>Accounting</v>
      </c>
      <c r="F166" s="36" t="str">
        <f t="shared" si="2"/>
        <v>NO</v>
      </c>
      <c r="G166" s="35">
        <f>IFERROR(VLOOKUP(B166,'② Salary Input'!A:V,14,FALSE())/Settings!B6,0)</f>
        <v>216.25</v>
      </c>
    </row>
    <row r="167" spans="1:7" ht="15" customHeight="1" x14ac:dyDescent="0.2">
      <c r="A167" s="34" t="str">
        <f>'① Timelog Input'!B47</f>
        <v>Farheen.K</v>
      </c>
      <c r="B167" s="34" t="str">
        <f>'① Timelog Input'!C47</f>
        <v>CAS-RT_2296</v>
      </c>
      <c r="C167" s="34" t="str">
        <f>'① Timelog Input'!X$3</f>
        <v>AMI US HOLDING INC.</v>
      </c>
      <c r="D167" s="35">
        <f>'① Timelog Input'!X47</f>
        <v>0</v>
      </c>
      <c r="E167" s="34" t="str">
        <f>'① Timelog Input'!H47</f>
        <v>Accounting</v>
      </c>
      <c r="F167" s="36" t="str">
        <f t="shared" si="2"/>
        <v>NO</v>
      </c>
      <c r="G167" s="35">
        <f>IFERROR(VLOOKUP(B167,'② Salary Input'!A:V,14,FALSE())/Settings!B6,0)</f>
        <v>298.78125</v>
      </c>
    </row>
    <row r="168" spans="1:7" ht="15" customHeight="1" x14ac:dyDescent="0.2">
      <c r="A168" s="34" t="str">
        <f>'① Timelog Input'!B48</f>
        <v>Vaibhav.A</v>
      </c>
      <c r="B168" s="34" t="str">
        <f>'① Timelog Input'!C48</f>
        <v>CAS-IH_1120</v>
      </c>
      <c r="C168" s="34" t="str">
        <f>'① Timelog Input'!Q$3</f>
        <v>406 CONSULTING LLC</v>
      </c>
      <c r="D168" s="35">
        <f>'① Timelog Input'!Q48</f>
        <v>0</v>
      </c>
      <c r="E168" s="34" t="str">
        <f>'① Timelog Input'!H48</f>
        <v>FP&amp;A</v>
      </c>
      <c r="F168" s="36" t="str">
        <f t="shared" si="2"/>
        <v>NO</v>
      </c>
      <c r="G168" s="35">
        <f>IFERROR(VLOOKUP(B168,'② Salary Input'!A:V,14,FALSE())/Settings!B6,0)</f>
        <v>1093.75</v>
      </c>
    </row>
    <row r="169" spans="1:7" ht="15" customHeight="1" x14ac:dyDescent="0.2">
      <c r="A169" s="34" t="str">
        <f>'① Timelog Input'!B48</f>
        <v>Vaibhav.A</v>
      </c>
      <c r="B169" s="34" t="str">
        <f>'① Timelog Input'!C48</f>
        <v>CAS-IH_1120</v>
      </c>
      <c r="C169" s="34" t="str">
        <f>'① Timelog Input'!AB$3</f>
        <v>BRADLEY FINANCIAL SERVICES LLC</v>
      </c>
      <c r="D169" s="35">
        <f>'① Timelog Input'!AB48</f>
        <v>0</v>
      </c>
      <c r="E169" s="34" t="str">
        <f>'① Timelog Input'!H48</f>
        <v>FP&amp;A</v>
      </c>
      <c r="F169" s="36" t="str">
        <f t="shared" si="2"/>
        <v>NO</v>
      </c>
      <c r="G169" s="35">
        <f>IFERROR(VLOOKUP(B169,'② Salary Input'!A:V,14,FALSE())/Settings!B6,0)</f>
        <v>1093.75</v>
      </c>
    </row>
    <row r="170" spans="1:7" ht="15" customHeight="1" x14ac:dyDescent="0.2">
      <c r="A170" s="34" t="str">
        <f>'① Timelog Input'!B48</f>
        <v>Vaibhav.A</v>
      </c>
      <c r="B170" s="34" t="str">
        <f>'① Timelog Input'!C48</f>
        <v>CAS-IH_1120</v>
      </c>
      <c r="C170" s="34" t="str">
        <f>'① Timelog Input'!AI$3</f>
        <v>CLOUDIT</v>
      </c>
      <c r="D170" s="35">
        <f>'① Timelog Input'!AI48</f>
        <v>0</v>
      </c>
      <c r="E170" s="34" t="str">
        <f>'① Timelog Input'!H48</f>
        <v>FP&amp;A</v>
      </c>
      <c r="F170" s="36" t="str">
        <f t="shared" si="2"/>
        <v>NO</v>
      </c>
      <c r="G170" s="35">
        <f>IFERROR(VLOOKUP(B170,'② Salary Input'!A:V,14,FALSE())/Settings!B6,0)</f>
        <v>1093.75</v>
      </c>
    </row>
    <row r="171" spans="1:7" ht="15" customHeight="1" x14ac:dyDescent="0.2">
      <c r="A171" s="34" t="str">
        <f>'① Timelog Input'!B48</f>
        <v>Vaibhav.A</v>
      </c>
      <c r="B171" s="34" t="str">
        <f>'① Timelog Input'!C48</f>
        <v>CAS-IH_1120</v>
      </c>
      <c r="C171" s="34" t="str">
        <f>'① Timelog Input'!AM$3</f>
        <v>Fleming Accounting Solutions</v>
      </c>
      <c r="D171" s="35">
        <f>'① Timelog Input'!AM48</f>
        <v>0</v>
      </c>
      <c r="E171" s="34" t="str">
        <f>'① Timelog Input'!H48</f>
        <v>FP&amp;A</v>
      </c>
      <c r="F171" s="36" t="str">
        <f t="shared" si="2"/>
        <v>NO</v>
      </c>
      <c r="G171" s="35">
        <f>IFERROR(VLOOKUP(B171,'② Salary Input'!A:V,14,FALSE())/Settings!B6,0)</f>
        <v>1093.75</v>
      </c>
    </row>
    <row r="172" spans="1:7" ht="15" customHeight="1" x14ac:dyDescent="0.2">
      <c r="A172" s="34" t="str">
        <f>'① Timelog Input'!B48</f>
        <v>Vaibhav.A</v>
      </c>
      <c r="B172" s="34" t="str">
        <f>'① Timelog Input'!C48</f>
        <v>CAS-IH_1120</v>
      </c>
      <c r="C172" s="34" t="str">
        <f>'① Timelog Input'!AN$3</f>
        <v>FULL COMPLIANCE, LLC</v>
      </c>
      <c r="D172" s="35">
        <f>'① Timelog Input'!AN48</f>
        <v>0</v>
      </c>
      <c r="E172" s="34" t="str">
        <f>'① Timelog Input'!H48</f>
        <v>FP&amp;A</v>
      </c>
      <c r="F172" s="36" t="str">
        <f t="shared" si="2"/>
        <v>NO</v>
      </c>
      <c r="G172" s="35">
        <f>IFERROR(VLOOKUP(B172,'② Salary Input'!A:V,14,FALSE())/Settings!B6,0)</f>
        <v>1093.75</v>
      </c>
    </row>
    <row r="173" spans="1:7" ht="15" customHeight="1" x14ac:dyDescent="0.2">
      <c r="A173" s="34" t="str">
        <f>'① Timelog Input'!B48</f>
        <v>Vaibhav.A</v>
      </c>
      <c r="B173" s="34" t="str">
        <f>'① Timelog Input'!C48</f>
        <v>CAS-IH_1120</v>
      </c>
      <c r="C173" s="34" t="str">
        <f>'① Timelog Input'!AT$3</f>
        <v>INVENT WEALTH, CPA</v>
      </c>
      <c r="D173" s="35">
        <f>'① Timelog Input'!AT48</f>
        <v>0</v>
      </c>
      <c r="E173" s="34" t="str">
        <f>'① Timelog Input'!H48</f>
        <v>FP&amp;A</v>
      </c>
      <c r="F173" s="36" t="str">
        <f t="shared" si="2"/>
        <v>NO</v>
      </c>
      <c r="G173" s="35">
        <f>IFERROR(VLOOKUP(B173,'② Salary Input'!A:V,14,FALSE())/Settings!B6,0)</f>
        <v>1093.75</v>
      </c>
    </row>
    <row r="174" spans="1:7" ht="15" customHeight="1" x14ac:dyDescent="0.2">
      <c r="A174" s="34" t="str">
        <f>'① Timelog Input'!B48</f>
        <v>Vaibhav.A</v>
      </c>
      <c r="B174" s="34" t="str">
        <f>'① Timelog Input'!C48</f>
        <v>CAS-IH_1120</v>
      </c>
      <c r="C174" s="34" t="str">
        <f>'① Timelog Input'!AZ$3</f>
        <v>MARTIN D. EISENSTEIN, CPA</v>
      </c>
      <c r="D174" s="35">
        <f>'① Timelog Input'!AZ48</f>
        <v>0</v>
      </c>
      <c r="E174" s="34" t="str">
        <f>'① Timelog Input'!H48</f>
        <v>FP&amp;A</v>
      </c>
      <c r="F174" s="36" t="str">
        <f t="shared" si="2"/>
        <v>NO</v>
      </c>
      <c r="G174" s="35">
        <f>IFERROR(VLOOKUP(B174,'② Salary Input'!A:V,14,FALSE())/Settings!B6,0)</f>
        <v>1093.75</v>
      </c>
    </row>
    <row r="175" spans="1:7" ht="15" customHeight="1" x14ac:dyDescent="0.2">
      <c r="A175" s="34" t="str">
        <f>'① Timelog Input'!B48</f>
        <v>Vaibhav.A</v>
      </c>
      <c r="B175" s="34" t="str">
        <f>'① Timelog Input'!C48</f>
        <v>CAS-IH_1120</v>
      </c>
      <c r="C175" s="34" t="str">
        <f>'① Timelog Input'!BK$3</f>
        <v>PROVISION ACCOUNTING SOLUTIONS</v>
      </c>
      <c r="D175" s="35">
        <f>'① Timelog Input'!BK48</f>
        <v>0</v>
      </c>
      <c r="E175" s="34" t="str">
        <f>'① Timelog Input'!H48</f>
        <v>FP&amp;A</v>
      </c>
      <c r="F175" s="36" t="str">
        <f t="shared" si="2"/>
        <v>NO</v>
      </c>
      <c r="G175" s="35">
        <f>IFERROR(VLOOKUP(B175,'② Salary Input'!A:V,14,FALSE())/Settings!B6,0)</f>
        <v>1093.75</v>
      </c>
    </row>
    <row r="176" spans="1:7" ht="15" customHeight="1" x14ac:dyDescent="0.2">
      <c r="A176" s="34" t="str">
        <f>'① Timelog Input'!B48</f>
        <v>Vaibhav.A</v>
      </c>
      <c r="B176" s="34" t="str">
        <f>'① Timelog Input'!C48</f>
        <v>CAS-IH_1120</v>
      </c>
      <c r="C176" s="34" t="str">
        <f>'① Timelog Input'!BL$3</f>
        <v>PW ADVISORS LLC</v>
      </c>
      <c r="D176" s="35">
        <f>'① Timelog Input'!BL48</f>
        <v>0</v>
      </c>
      <c r="E176" s="34" t="str">
        <f>'① Timelog Input'!H48</f>
        <v>FP&amp;A</v>
      </c>
      <c r="F176" s="36" t="str">
        <f t="shared" si="2"/>
        <v>NO</v>
      </c>
      <c r="G176" s="35">
        <f>IFERROR(VLOOKUP(B176,'② Salary Input'!A:V,14,FALSE())/Settings!B6,0)</f>
        <v>1093.75</v>
      </c>
    </row>
    <row r="177" spans="1:7" ht="15" customHeight="1" x14ac:dyDescent="0.2">
      <c r="A177" s="34" t="str">
        <f>'① Timelog Input'!B50</f>
        <v>Rupesh.A</v>
      </c>
      <c r="B177" s="34" t="str">
        <f>'① Timelog Input'!C50</f>
        <v>CAS-IH_1124</v>
      </c>
      <c r="C177" s="34" t="str">
        <f>'① Timelog Input'!Q$3</f>
        <v>406 CONSULTING LLC</v>
      </c>
      <c r="D177" s="35">
        <f>'① Timelog Input'!Q50</f>
        <v>0</v>
      </c>
      <c r="E177" s="34" t="str">
        <f>'① Timelog Input'!H50</f>
        <v>FP&amp;A</v>
      </c>
      <c r="F177" s="36" t="str">
        <f t="shared" si="2"/>
        <v>NO</v>
      </c>
      <c r="G177" s="35">
        <f>IFERROR(VLOOKUP(B177,'② Salary Input'!A:V,14,FALSE())/Settings!B6,0)</f>
        <v>1458.3375000000001</v>
      </c>
    </row>
    <row r="178" spans="1:7" ht="15" customHeight="1" x14ac:dyDescent="0.2">
      <c r="A178" s="34" t="str">
        <f>'① Timelog Input'!B50</f>
        <v>Rupesh.A</v>
      </c>
      <c r="B178" s="34" t="str">
        <f>'① Timelog Input'!C50</f>
        <v>CAS-IH_1124</v>
      </c>
      <c r="C178" s="34" t="str">
        <f>'① Timelog Input'!AB$3</f>
        <v>BRADLEY FINANCIAL SERVICES LLC</v>
      </c>
      <c r="D178" s="35">
        <f>'① Timelog Input'!AB50</f>
        <v>0</v>
      </c>
      <c r="E178" s="34" t="str">
        <f>'① Timelog Input'!H50</f>
        <v>FP&amp;A</v>
      </c>
      <c r="F178" s="36" t="str">
        <f t="shared" si="2"/>
        <v>NO</v>
      </c>
      <c r="G178" s="35">
        <f>IFERROR(VLOOKUP(B178,'② Salary Input'!A:V,14,FALSE())/Settings!B6,0)</f>
        <v>1458.3375000000001</v>
      </c>
    </row>
    <row r="179" spans="1:7" ht="15" customHeight="1" x14ac:dyDescent="0.2">
      <c r="A179" s="34" t="str">
        <f>'① Timelog Input'!B50</f>
        <v>Rupesh.A</v>
      </c>
      <c r="B179" s="34" t="str">
        <f>'① Timelog Input'!C50</f>
        <v>CAS-IH_1124</v>
      </c>
      <c r="C179" s="34" t="str">
        <f>'① Timelog Input'!AI$3</f>
        <v>CLOUDIT</v>
      </c>
      <c r="D179" s="35">
        <f>'① Timelog Input'!AI50</f>
        <v>0</v>
      </c>
      <c r="E179" s="34" t="str">
        <f>'① Timelog Input'!H50</f>
        <v>FP&amp;A</v>
      </c>
      <c r="F179" s="36" t="str">
        <f t="shared" si="2"/>
        <v>NO</v>
      </c>
      <c r="G179" s="35">
        <f>IFERROR(VLOOKUP(B179,'② Salary Input'!A:V,14,FALSE())/Settings!B6,0)</f>
        <v>1458.3375000000001</v>
      </c>
    </row>
    <row r="180" spans="1:7" ht="15" customHeight="1" x14ac:dyDescent="0.2">
      <c r="A180" s="34" t="str">
        <f>'① Timelog Input'!B50</f>
        <v>Rupesh.A</v>
      </c>
      <c r="B180" s="34" t="str">
        <f>'① Timelog Input'!C50</f>
        <v>CAS-IH_1124</v>
      </c>
      <c r="C180" s="34" t="str">
        <f>'① Timelog Input'!AM$3</f>
        <v>Fleming Accounting Solutions</v>
      </c>
      <c r="D180" s="35">
        <f>'① Timelog Input'!AM50</f>
        <v>0</v>
      </c>
      <c r="E180" s="34" t="str">
        <f>'① Timelog Input'!H50</f>
        <v>FP&amp;A</v>
      </c>
      <c r="F180" s="36" t="str">
        <f t="shared" si="2"/>
        <v>NO</v>
      </c>
      <c r="G180" s="35">
        <f>IFERROR(VLOOKUP(B180,'② Salary Input'!A:V,14,FALSE())/Settings!B6,0)</f>
        <v>1458.3375000000001</v>
      </c>
    </row>
    <row r="181" spans="1:7" ht="15" customHeight="1" x14ac:dyDescent="0.2">
      <c r="A181" s="34" t="str">
        <f>'① Timelog Input'!B50</f>
        <v>Rupesh.A</v>
      </c>
      <c r="B181" s="34" t="str">
        <f>'① Timelog Input'!C50</f>
        <v>CAS-IH_1124</v>
      </c>
      <c r="C181" s="34" t="str">
        <f>'① Timelog Input'!AT$3</f>
        <v>INVENT WEALTH, CPA</v>
      </c>
      <c r="D181" s="35">
        <f>'① Timelog Input'!AT50</f>
        <v>0</v>
      </c>
      <c r="E181" s="34" t="str">
        <f>'① Timelog Input'!H50</f>
        <v>FP&amp;A</v>
      </c>
      <c r="F181" s="36" t="str">
        <f t="shared" si="2"/>
        <v>NO</v>
      </c>
      <c r="G181" s="35">
        <f>IFERROR(VLOOKUP(B181,'② Salary Input'!A:V,14,FALSE())/Settings!B6,0)</f>
        <v>1458.3375000000001</v>
      </c>
    </row>
    <row r="182" spans="1:7" ht="15" customHeight="1" x14ac:dyDescent="0.2">
      <c r="A182" s="34" t="str">
        <f>'① Timelog Input'!B50</f>
        <v>Rupesh.A</v>
      </c>
      <c r="B182" s="34" t="str">
        <f>'① Timelog Input'!C50</f>
        <v>CAS-IH_1124</v>
      </c>
      <c r="C182" s="34" t="str">
        <f>'① Timelog Input'!AZ$3</f>
        <v>MARTIN D. EISENSTEIN, CPA</v>
      </c>
      <c r="D182" s="35">
        <f>'① Timelog Input'!AZ50</f>
        <v>0</v>
      </c>
      <c r="E182" s="34" t="str">
        <f>'① Timelog Input'!H50</f>
        <v>FP&amp;A</v>
      </c>
      <c r="F182" s="36" t="str">
        <f t="shared" si="2"/>
        <v>NO</v>
      </c>
      <c r="G182" s="35">
        <f>IFERROR(VLOOKUP(B182,'② Salary Input'!A:V,14,FALSE())/Settings!B6,0)</f>
        <v>1458.3375000000001</v>
      </c>
    </row>
    <row r="183" spans="1:7" ht="15" customHeight="1" x14ac:dyDescent="0.2">
      <c r="A183" s="34" t="str">
        <f>'① Timelog Input'!B50</f>
        <v>Rupesh.A</v>
      </c>
      <c r="B183" s="34" t="str">
        <f>'① Timelog Input'!C50</f>
        <v>CAS-IH_1124</v>
      </c>
      <c r="C183" s="34" t="str">
        <f>'① Timelog Input'!BE$3</f>
        <v>NATIONAL TAX CENTERS, LLC</v>
      </c>
      <c r="D183" s="35">
        <f>'① Timelog Input'!BE50</f>
        <v>0</v>
      </c>
      <c r="E183" s="34" t="str">
        <f>'① Timelog Input'!H50</f>
        <v>FP&amp;A</v>
      </c>
      <c r="F183" s="36" t="str">
        <f t="shared" si="2"/>
        <v>NO</v>
      </c>
      <c r="G183" s="35">
        <f>IFERROR(VLOOKUP(B183,'② Salary Input'!A:V,14,FALSE())/Settings!B6,0)</f>
        <v>1458.3375000000001</v>
      </c>
    </row>
    <row r="184" spans="1:7" ht="15" customHeight="1" x14ac:dyDescent="0.2">
      <c r="A184" s="34" t="str">
        <f>'① Timelog Input'!B50</f>
        <v>Rupesh.A</v>
      </c>
      <c r="B184" s="34" t="str">
        <f>'① Timelog Input'!C50</f>
        <v>CAS-IH_1124</v>
      </c>
      <c r="C184" s="34" t="str">
        <f>'① Timelog Input'!BK$3</f>
        <v>PROVISION ACCOUNTING SOLUTIONS</v>
      </c>
      <c r="D184" s="35">
        <f>'① Timelog Input'!BK50</f>
        <v>0</v>
      </c>
      <c r="E184" s="34" t="str">
        <f>'① Timelog Input'!H50</f>
        <v>FP&amp;A</v>
      </c>
      <c r="F184" s="36" t="str">
        <f t="shared" si="2"/>
        <v>NO</v>
      </c>
      <c r="G184" s="35">
        <f>IFERROR(VLOOKUP(B184,'② Salary Input'!A:V,14,FALSE())/Settings!B6,0)</f>
        <v>1458.3375000000001</v>
      </c>
    </row>
    <row r="185" spans="1:7" ht="15" customHeight="1" x14ac:dyDescent="0.2">
      <c r="A185" s="34" t="str">
        <f>'① Timelog Input'!B50</f>
        <v>Rupesh.A</v>
      </c>
      <c r="B185" s="34" t="str">
        <f>'① Timelog Input'!C50</f>
        <v>CAS-IH_1124</v>
      </c>
      <c r="C185" s="34" t="str">
        <f>'① Timelog Input'!BL$3</f>
        <v>PW ADVISORS LLC</v>
      </c>
      <c r="D185" s="35">
        <f>'① Timelog Input'!BL50</f>
        <v>0</v>
      </c>
      <c r="E185" s="34" t="str">
        <f>'① Timelog Input'!H50</f>
        <v>FP&amp;A</v>
      </c>
      <c r="F185" s="36" t="str">
        <f t="shared" si="2"/>
        <v>NO</v>
      </c>
      <c r="G185" s="35">
        <f>IFERROR(VLOOKUP(B185,'② Salary Input'!A:V,14,FALSE())/Settings!B6,0)</f>
        <v>1458.3375000000001</v>
      </c>
    </row>
    <row r="186" spans="1:7" ht="15" customHeight="1" x14ac:dyDescent="0.2">
      <c r="A186" s="34" t="str">
        <f>'① Timelog Input'!B51</f>
        <v>Deepika.B</v>
      </c>
      <c r="B186" s="34" t="str">
        <f>'① Timelog Input'!C51</f>
        <v>CAS-IH_1126</v>
      </c>
      <c r="C186" s="34" t="str">
        <f>'① Timelog Input'!AG$3</f>
        <v>CHRIS WHALEN CPA, LLC</v>
      </c>
      <c r="D186" s="35">
        <f>'① Timelog Input'!AG51</f>
        <v>0</v>
      </c>
      <c r="E186" s="34" t="str">
        <f>'① Timelog Input'!H51</f>
        <v>Individual Tax</v>
      </c>
      <c r="F186" s="36" t="str">
        <f t="shared" si="2"/>
        <v>NO</v>
      </c>
      <c r="G186" s="35">
        <f>IFERROR(VLOOKUP(B186,'② Salary Input'!A:V,14,FALSE())/Settings!B6,0)</f>
        <v>225</v>
      </c>
    </row>
    <row r="187" spans="1:7" ht="15" customHeight="1" x14ac:dyDescent="0.2">
      <c r="A187" s="34" t="str">
        <f>'① Timelog Input'!B51</f>
        <v>Deepika.B</v>
      </c>
      <c r="B187" s="34" t="str">
        <f>'① Timelog Input'!C51</f>
        <v>CAS-IH_1126</v>
      </c>
      <c r="C187" s="34" t="str">
        <f>'① Timelog Input'!AI$3</f>
        <v>CLOUDIT</v>
      </c>
      <c r="D187" s="35">
        <f>'① Timelog Input'!AI51</f>
        <v>77.09</v>
      </c>
      <c r="E187" s="34" t="str">
        <f>'① Timelog Input'!H51</f>
        <v>Individual Tax</v>
      </c>
      <c r="F187" s="36" t="str">
        <f t="shared" si="2"/>
        <v>NO</v>
      </c>
      <c r="G187" s="35">
        <f>IFERROR(VLOOKUP(B187,'② Salary Input'!A:V,14,FALSE())/Settings!B6,0)</f>
        <v>225</v>
      </c>
    </row>
    <row r="188" spans="1:7" ht="15" customHeight="1" x14ac:dyDescent="0.2">
      <c r="A188" s="34" t="str">
        <f>'① Timelog Input'!B51</f>
        <v>Deepika.B</v>
      </c>
      <c r="B188" s="34" t="str">
        <f>'① Timelog Input'!C51</f>
        <v>CAS-IH_1126</v>
      </c>
      <c r="C188" s="34" t="str">
        <f>'① Timelog Input'!AN$3</f>
        <v>FULL COMPLIANCE, LLC</v>
      </c>
      <c r="D188" s="35">
        <f>'① Timelog Input'!AN51</f>
        <v>0</v>
      </c>
      <c r="E188" s="34" t="str">
        <f>'① Timelog Input'!H51</f>
        <v>Individual Tax</v>
      </c>
      <c r="F188" s="36" t="str">
        <f t="shared" si="2"/>
        <v>NO</v>
      </c>
      <c r="G188" s="35">
        <f>IFERROR(VLOOKUP(B188,'② Salary Input'!A:V,14,FALSE())/Settings!B6,0)</f>
        <v>225</v>
      </c>
    </row>
    <row r="189" spans="1:7" ht="15" customHeight="1" x14ac:dyDescent="0.2">
      <c r="A189" s="34" t="str">
        <f>'① Timelog Input'!B51</f>
        <v>Deepika.B</v>
      </c>
      <c r="B189" s="34" t="str">
        <f>'① Timelog Input'!C51</f>
        <v>CAS-IH_1126</v>
      </c>
      <c r="C189" s="34" t="str">
        <f>'① Timelog Input'!BL$3</f>
        <v>PW ADVISORS LLC</v>
      </c>
      <c r="D189" s="35">
        <f>'① Timelog Input'!BL51</f>
        <v>15.92</v>
      </c>
      <c r="E189" s="34" t="str">
        <f>'① Timelog Input'!H51</f>
        <v>Individual Tax</v>
      </c>
      <c r="F189" s="36" t="str">
        <f t="shared" si="2"/>
        <v>NO</v>
      </c>
      <c r="G189" s="35">
        <f>IFERROR(VLOOKUP(B189,'② Salary Input'!A:V,14,FALSE())/Settings!B6,0)</f>
        <v>225</v>
      </c>
    </row>
    <row r="190" spans="1:7" ht="15" customHeight="1" x14ac:dyDescent="0.2">
      <c r="A190" s="34" t="str">
        <f>'① Timelog Input'!B52</f>
        <v>Vandana.M</v>
      </c>
      <c r="B190" s="34" t="str">
        <f>'① Timelog Input'!C52</f>
        <v>CAS-IH_1127</v>
      </c>
      <c r="C190" s="34" t="str">
        <f>'① Timelog Input'!AA$3</f>
        <v>BORISTAX INC</v>
      </c>
      <c r="D190" s="35">
        <f>'① Timelog Input'!AA52</f>
        <v>0</v>
      </c>
      <c r="E190" s="34" t="str">
        <f>'① Timelog Input'!H52</f>
        <v>Individual Tax</v>
      </c>
      <c r="F190" s="36" t="str">
        <f t="shared" si="2"/>
        <v>NO</v>
      </c>
      <c r="G190" s="35">
        <f>IFERROR(VLOOKUP(B190,'② Salary Input'!A:V,14,FALSE())/Settings!B6,0)</f>
        <v>206.25</v>
      </c>
    </row>
    <row r="191" spans="1:7" ht="15" customHeight="1" x14ac:dyDescent="0.2">
      <c r="A191" s="34" t="str">
        <f>'① Timelog Input'!B52</f>
        <v>Vandana.M</v>
      </c>
      <c r="B191" s="34" t="str">
        <f>'① Timelog Input'!C52</f>
        <v>CAS-IH_1127</v>
      </c>
      <c r="C191" s="34" t="str">
        <f>'① Timelog Input'!AI$3</f>
        <v>CLOUDIT</v>
      </c>
      <c r="D191" s="35">
        <f>'① Timelog Input'!AI52</f>
        <v>53.91</v>
      </c>
      <c r="E191" s="34" t="str">
        <f>'① Timelog Input'!H52</f>
        <v>Individual Tax</v>
      </c>
      <c r="F191" s="36" t="str">
        <f t="shared" si="2"/>
        <v>NO</v>
      </c>
      <c r="G191" s="35">
        <f>IFERROR(VLOOKUP(B191,'② Salary Input'!A:V,14,FALSE())/Settings!B6,0)</f>
        <v>206.25</v>
      </c>
    </row>
    <row r="192" spans="1:7" ht="15" customHeight="1" x14ac:dyDescent="0.2">
      <c r="A192" s="34" t="str">
        <f>'① Timelog Input'!B52</f>
        <v>Vandana.M</v>
      </c>
      <c r="B192" s="34" t="str">
        <f>'① Timelog Input'!C52</f>
        <v>CAS-IH_1127</v>
      </c>
      <c r="C192" s="34" t="str">
        <f>'① Timelog Input'!BT$3</f>
        <v>TAX GEEK LLC</v>
      </c>
      <c r="D192" s="35">
        <f>'① Timelog Input'!BT52</f>
        <v>0</v>
      </c>
      <c r="E192" s="34" t="str">
        <f>'① Timelog Input'!H52</f>
        <v>Individual Tax</v>
      </c>
      <c r="F192" s="36" t="str">
        <f t="shared" si="2"/>
        <v>NO</v>
      </c>
      <c r="G192" s="35">
        <f>IFERROR(VLOOKUP(B192,'② Salary Input'!A:V,14,FALSE())/Settings!B6,0)</f>
        <v>206.25</v>
      </c>
    </row>
    <row r="193" spans="1:7" ht="15" customHeight="1" x14ac:dyDescent="0.2">
      <c r="A193" s="34" t="str">
        <f>'① Timelog Input'!B53</f>
        <v>Shikha.AG</v>
      </c>
      <c r="B193" s="34" t="str">
        <f>'① Timelog Input'!C53</f>
        <v>CAS-RT_2319</v>
      </c>
      <c r="C193" s="34" t="str">
        <f>'① Timelog Input'!Q$3</f>
        <v>406 CONSULTING LLC</v>
      </c>
      <c r="D193" s="35">
        <f>'① Timelog Input'!Q53</f>
        <v>0</v>
      </c>
      <c r="E193" s="34" t="str">
        <f>'① Timelog Input'!H53</f>
        <v>Accounting</v>
      </c>
      <c r="F193" s="36" t="str">
        <f t="shared" si="2"/>
        <v>NO</v>
      </c>
      <c r="G193" s="35">
        <f>IFERROR(VLOOKUP(B193,'② Salary Input'!A:V,14,FALSE())/Settings!B6,0)</f>
        <v>245</v>
      </c>
    </row>
    <row r="194" spans="1:7" ht="15" customHeight="1" x14ac:dyDescent="0.2">
      <c r="A194" s="34" t="str">
        <f>'① Timelog Input'!B53</f>
        <v>Shikha.AG</v>
      </c>
      <c r="B194" s="34" t="str">
        <f>'① Timelog Input'!C53</f>
        <v>CAS-RT_2319</v>
      </c>
      <c r="C194" s="34" t="str">
        <f>'① Timelog Input'!AI$3</f>
        <v>CLOUDIT</v>
      </c>
      <c r="D194" s="35">
        <f>'① Timelog Input'!AI53</f>
        <v>2.08</v>
      </c>
      <c r="E194" s="34" t="str">
        <f>'① Timelog Input'!H53</f>
        <v>Accounting</v>
      </c>
      <c r="F194" s="36" t="str">
        <f t="shared" si="2"/>
        <v>NO</v>
      </c>
      <c r="G194" s="35">
        <f>IFERROR(VLOOKUP(B194,'② Salary Input'!A:V,14,FALSE())/Settings!B6,0)</f>
        <v>245</v>
      </c>
    </row>
    <row r="195" spans="1:7" ht="15" customHeight="1" x14ac:dyDescent="0.2">
      <c r="A195" s="34" t="str">
        <f>'① Timelog Input'!B53</f>
        <v>Shikha.AG</v>
      </c>
      <c r="B195" s="34" t="str">
        <f>'① Timelog Input'!C53</f>
        <v>CAS-RT_2319</v>
      </c>
      <c r="C195" s="34" t="str">
        <f>'① Timelog Input'!AM$3</f>
        <v>Fleming Accounting Solutions</v>
      </c>
      <c r="D195" s="35">
        <f>'① Timelog Input'!AM53</f>
        <v>0</v>
      </c>
      <c r="E195" s="34" t="str">
        <f>'① Timelog Input'!H53</f>
        <v>Accounting</v>
      </c>
      <c r="F195" s="36" t="str">
        <f t="shared" si="2"/>
        <v>NO</v>
      </c>
      <c r="G195" s="35">
        <f>IFERROR(VLOOKUP(B195,'② Salary Input'!A:V,14,FALSE())/Settings!B6,0)</f>
        <v>245</v>
      </c>
    </row>
    <row r="196" spans="1:7" ht="15" customHeight="1" x14ac:dyDescent="0.2">
      <c r="A196" s="34" t="str">
        <f>'① Timelog Input'!B53</f>
        <v>Shikha.AG</v>
      </c>
      <c r="B196" s="34" t="str">
        <f>'① Timelog Input'!C53</f>
        <v>CAS-RT_2319</v>
      </c>
      <c r="C196" s="34" t="str">
        <f>'① Timelog Input'!AT$3</f>
        <v>INVENT WEALTH, CPA</v>
      </c>
      <c r="D196" s="35">
        <f>'① Timelog Input'!AT53</f>
        <v>0</v>
      </c>
      <c r="E196" s="34" t="str">
        <f>'① Timelog Input'!H53</f>
        <v>Accounting</v>
      </c>
      <c r="F196" s="36" t="str">
        <f t="shared" ref="F196:F259" si="3">IF(OR(E196="HR",E196="IT",E196="Marketing"),"YES","NO")</f>
        <v>NO</v>
      </c>
      <c r="G196" s="35">
        <f>IFERROR(VLOOKUP(B196,'② Salary Input'!A:V,14,FALSE())/Settings!B6,0)</f>
        <v>245</v>
      </c>
    </row>
    <row r="197" spans="1:7" ht="15" customHeight="1" x14ac:dyDescent="0.2">
      <c r="A197" s="34" t="str">
        <f>'① Timelog Input'!B53</f>
        <v>Shikha.AG</v>
      </c>
      <c r="B197" s="34" t="str">
        <f>'① Timelog Input'!C53</f>
        <v>CAS-RT_2319</v>
      </c>
      <c r="C197" s="34" t="str">
        <f>'① Timelog Input'!AZ$3</f>
        <v>MARTIN D. EISENSTEIN, CPA</v>
      </c>
      <c r="D197" s="35">
        <f>'① Timelog Input'!AZ53</f>
        <v>0</v>
      </c>
      <c r="E197" s="34" t="str">
        <f>'① Timelog Input'!H53</f>
        <v>Accounting</v>
      </c>
      <c r="F197" s="36" t="str">
        <f t="shared" si="3"/>
        <v>NO</v>
      </c>
      <c r="G197" s="35">
        <f>IFERROR(VLOOKUP(B197,'② Salary Input'!A:V,14,FALSE())/Settings!B6,0)</f>
        <v>245</v>
      </c>
    </row>
    <row r="198" spans="1:7" ht="15" customHeight="1" x14ac:dyDescent="0.2">
      <c r="A198" s="34" t="str">
        <f>'① Timelog Input'!B53</f>
        <v>Shikha.AG</v>
      </c>
      <c r="B198" s="34" t="str">
        <f>'① Timelog Input'!C53</f>
        <v>CAS-RT_2319</v>
      </c>
      <c r="C198" s="34" t="str">
        <f>'① Timelog Input'!BE$3</f>
        <v>NATIONAL TAX CENTERS, LLC</v>
      </c>
      <c r="D198" s="35">
        <f>'① Timelog Input'!BE53</f>
        <v>0</v>
      </c>
      <c r="E198" s="34" t="str">
        <f>'① Timelog Input'!H53</f>
        <v>Accounting</v>
      </c>
      <c r="F198" s="36" t="str">
        <f t="shared" si="3"/>
        <v>NO</v>
      </c>
      <c r="G198" s="35">
        <f>IFERROR(VLOOKUP(B198,'② Salary Input'!A:V,14,FALSE())/Settings!B6,0)</f>
        <v>245</v>
      </c>
    </row>
    <row r="199" spans="1:7" ht="15" customHeight="1" x14ac:dyDescent="0.2">
      <c r="A199" s="34" t="str">
        <f>'① Timelog Input'!B53</f>
        <v>Shikha.AG</v>
      </c>
      <c r="B199" s="34" t="str">
        <f>'① Timelog Input'!C53</f>
        <v>CAS-RT_2319</v>
      </c>
      <c r="C199" s="34" t="str">
        <f>'① Timelog Input'!BL$3</f>
        <v>PW ADVISORS LLC</v>
      </c>
      <c r="D199" s="35">
        <f>'① Timelog Input'!BL53</f>
        <v>0</v>
      </c>
      <c r="E199" s="34" t="str">
        <f>'① Timelog Input'!H53</f>
        <v>Accounting</v>
      </c>
      <c r="F199" s="36" t="str">
        <f t="shared" si="3"/>
        <v>NO</v>
      </c>
      <c r="G199" s="35">
        <f>IFERROR(VLOOKUP(B199,'② Salary Input'!A:V,14,FALSE())/Settings!B6,0)</f>
        <v>245</v>
      </c>
    </row>
    <row r="200" spans="1:7" ht="15" customHeight="1" x14ac:dyDescent="0.2">
      <c r="A200" s="34" t="str">
        <f>'① Timelog Input'!B53</f>
        <v>Shikha.AG</v>
      </c>
      <c r="B200" s="34" t="str">
        <f>'① Timelog Input'!C53</f>
        <v>CAS-RT_2319</v>
      </c>
      <c r="C200" s="34" t="str">
        <f>'① Timelog Input'!BT$3</f>
        <v>TAX GEEK LLC</v>
      </c>
      <c r="D200" s="35">
        <f>'① Timelog Input'!BT53</f>
        <v>45.08</v>
      </c>
      <c r="E200" s="34" t="str">
        <f>'① Timelog Input'!H53</f>
        <v>Accounting</v>
      </c>
      <c r="F200" s="36" t="str">
        <f t="shared" si="3"/>
        <v>NO</v>
      </c>
      <c r="G200" s="35">
        <f>IFERROR(VLOOKUP(B200,'② Salary Input'!A:V,14,FALSE())/Settings!B6,0)</f>
        <v>245</v>
      </c>
    </row>
    <row r="201" spans="1:7" ht="15" customHeight="1" x14ac:dyDescent="0.2">
      <c r="A201" s="34" t="str">
        <f>'① Timelog Input'!B54</f>
        <v>Falguni.M</v>
      </c>
      <c r="B201" s="34" t="str">
        <f>'① Timelog Input'!C54</f>
        <v>CAS-RT_2324</v>
      </c>
      <c r="C201" s="34" t="str">
        <f>'① Timelog Input'!AX$3</f>
        <v>LIFETIME FUNDING, LLC</v>
      </c>
      <c r="D201" s="35">
        <f>'① Timelog Input'!AX54</f>
        <v>0</v>
      </c>
      <c r="E201" s="34" t="str">
        <f>'① Timelog Input'!H54</f>
        <v>Business Tax</v>
      </c>
      <c r="F201" s="36" t="str">
        <f t="shared" si="3"/>
        <v>NO</v>
      </c>
      <c r="G201" s="35">
        <f>IFERROR(VLOOKUP(B201,'② Salary Input'!A:V,14,FALSE())/Settings!B6,0)</f>
        <v>246.25</v>
      </c>
    </row>
    <row r="202" spans="1:7" ht="15" customHeight="1" x14ac:dyDescent="0.2">
      <c r="A202" s="34" t="str">
        <f>'① Timelog Input'!B54</f>
        <v>Falguni.M</v>
      </c>
      <c r="B202" s="34" t="str">
        <f>'① Timelog Input'!C54</f>
        <v>CAS-RT_2324</v>
      </c>
      <c r="C202" s="34" t="str">
        <f>'① Timelog Input'!CA$3</f>
        <v>WE ARE QUADRANT</v>
      </c>
      <c r="D202" s="35">
        <f>'① Timelog Input'!CA54</f>
        <v>0</v>
      </c>
      <c r="E202" s="34" t="str">
        <f>'① Timelog Input'!H54</f>
        <v>Business Tax</v>
      </c>
      <c r="F202" s="36" t="str">
        <f t="shared" si="3"/>
        <v>NO</v>
      </c>
      <c r="G202" s="35">
        <f>IFERROR(VLOOKUP(B202,'② Salary Input'!A:V,14,FALSE())/Settings!B6,0)</f>
        <v>246.25</v>
      </c>
    </row>
    <row r="203" spans="1:7" ht="15" customHeight="1" x14ac:dyDescent="0.2">
      <c r="A203" s="34" t="str">
        <f>'① Timelog Input'!B55</f>
        <v>Saumil.M</v>
      </c>
      <c r="B203" s="34" t="str">
        <f>'① Timelog Input'!C55</f>
        <v>CAS-RT_2332</v>
      </c>
      <c r="C203" s="34" t="str">
        <f>'① Timelog Input'!V$3</f>
        <v>ACT NOW FINANCIAL SERVICES, LLC</v>
      </c>
      <c r="D203" s="35">
        <f>'① Timelog Input'!V55</f>
        <v>0</v>
      </c>
      <c r="E203" s="34" t="str">
        <f>'① Timelog Input'!H55</f>
        <v>Accounting</v>
      </c>
      <c r="F203" s="36" t="str">
        <f t="shared" si="3"/>
        <v>NO</v>
      </c>
      <c r="G203" s="35">
        <f>IFERROR(VLOOKUP(B203,'② Salary Input'!A:V,14,FALSE())/Settings!B6,0)</f>
        <v>93.174999999999997</v>
      </c>
    </row>
    <row r="204" spans="1:7" ht="15" customHeight="1" x14ac:dyDescent="0.2">
      <c r="A204" s="34" t="str">
        <f>'① Timelog Input'!B55</f>
        <v>Saumil.M</v>
      </c>
      <c r="B204" s="34" t="str">
        <f>'① Timelog Input'!C55</f>
        <v>CAS-RT_2332</v>
      </c>
      <c r="C204" s="34" t="str">
        <f>'① Timelog Input'!AG$3</f>
        <v>CHRIS WHALEN CPA, LLC</v>
      </c>
      <c r="D204" s="35">
        <f>'① Timelog Input'!AG55</f>
        <v>0</v>
      </c>
      <c r="E204" s="34" t="str">
        <f>'① Timelog Input'!H55</f>
        <v>Accounting</v>
      </c>
      <c r="F204" s="36" t="str">
        <f t="shared" si="3"/>
        <v>NO</v>
      </c>
      <c r="G204" s="35">
        <f>IFERROR(VLOOKUP(B204,'② Salary Input'!A:V,14,FALSE())/Settings!B6,0)</f>
        <v>93.174999999999997</v>
      </c>
    </row>
    <row r="205" spans="1:7" ht="15" customHeight="1" x14ac:dyDescent="0.2">
      <c r="A205" s="34" t="str">
        <f>'① Timelog Input'!B55</f>
        <v>Saumil.M</v>
      </c>
      <c r="B205" s="34" t="str">
        <f>'① Timelog Input'!C55</f>
        <v>CAS-RT_2332</v>
      </c>
      <c r="C205" s="34" t="str">
        <f>'① Timelog Input'!AI$3</f>
        <v>CLOUDIT</v>
      </c>
      <c r="D205" s="35">
        <f>'① Timelog Input'!AI55</f>
        <v>0</v>
      </c>
      <c r="E205" s="34" t="str">
        <f>'① Timelog Input'!H55</f>
        <v>Accounting</v>
      </c>
      <c r="F205" s="36" t="str">
        <f t="shared" si="3"/>
        <v>NO</v>
      </c>
      <c r="G205" s="35">
        <f>IFERROR(VLOOKUP(B205,'② Salary Input'!A:V,14,FALSE())/Settings!B6,0)</f>
        <v>93.174999999999997</v>
      </c>
    </row>
    <row r="206" spans="1:7" ht="15" customHeight="1" x14ac:dyDescent="0.2">
      <c r="A206" s="34" t="str">
        <f>'① Timelog Input'!B55</f>
        <v>Saumil.M</v>
      </c>
      <c r="B206" s="34" t="str">
        <f>'① Timelog Input'!C55</f>
        <v>CAS-RT_2332</v>
      </c>
      <c r="C206" s="34" t="str">
        <f>'① Timelog Input'!AZ$3</f>
        <v>MARTIN D. EISENSTEIN, CPA</v>
      </c>
      <c r="D206" s="35">
        <f>'① Timelog Input'!AZ55</f>
        <v>0</v>
      </c>
      <c r="E206" s="34" t="str">
        <f>'① Timelog Input'!H55</f>
        <v>Accounting</v>
      </c>
      <c r="F206" s="36" t="str">
        <f t="shared" si="3"/>
        <v>NO</v>
      </c>
      <c r="G206" s="35">
        <f>IFERROR(VLOOKUP(B206,'② Salary Input'!A:V,14,FALSE())/Settings!B6,0)</f>
        <v>93.174999999999997</v>
      </c>
    </row>
    <row r="207" spans="1:7" ht="15" customHeight="1" x14ac:dyDescent="0.2">
      <c r="A207" s="34" t="str">
        <f>'① Timelog Input'!B55</f>
        <v>Saumil.M</v>
      </c>
      <c r="B207" s="34" t="str">
        <f>'① Timelog Input'!C55</f>
        <v>CAS-RT_2332</v>
      </c>
      <c r="C207" s="34" t="str">
        <f>'① Timelog Input'!BN$3</f>
        <v>ROSEN KUSLANSKY CPA PC</v>
      </c>
      <c r="D207" s="35">
        <f>'① Timelog Input'!BN55</f>
        <v>0</v>
      </c>
      <c r="E207" s="34" t="str">
        <f>'① Timelog Input'!H55</f>
        <v>Accounting</v>
      </c>
      <c r="F207" s="36" t="str">
        <f t="shared" si="3"/>
        <v>NO</v>
      </c>
      <c r="G207" s="35">
        <f>IFERROR(VLOOKUP(B207,'② Salary Input'!A:V,14,FALSE())/Settings!B6,0)</f>
        <v>93.174999999999997</v>
      </c>
    </row>
    <row r="208" spans="1:7" ht="15" customHeight="1" x14ac:dyDescent="0.2">
      <c r="A208" s="34" t="str">
        <f>'① Timelog Input'!B55</f>
        <v>Saumil.M</v>
      </c>
      <c r="B208" s="34" t="str">
        <f>'① Timelog Input'!C55</f>
        <v>CAS-RT_2332</v>
      </c>
      <c r="C208" s="34" t="str">
        <f>'① Timelog Input'!BW$3</f>
        <v>THINKING MAPS, INC.</v>
      </c>
      <c r="D208" s="35">
        <f>'① Timelog Input'!BW55</f>
        <v>0</v>
      </c>
      <c r="E208" s="34" t="str">
        <f>'① Timelog Input'!H55</f>
        <v>Accounting</v>
      </c>
      <c r="F208" s="36" t="str">
        <f t="shared" si="3"/>
        <v>NO</v>
      </c>
      <c r="G208" s="35">
        <f>IFERROR(VLOOKUP(B208,'② Salary Input'!A:V,14,FALSE())/Settings!B6,0)</f>
        <v>93.174999999999997</v>
      </c>
    </row>
    <row r="209" spans="1:7" ht="15" customHeight="1" x14ac:dyDescent="0.2">
      <c r="A209" s="34" t="str">
        <f>'① Timelog Input'!B56</f>
        <v>Seemu.A</v>
      </c>
      <c r="B209" s="34" t="str">
        <f>'① Timelog Input'!C56</f>
        <v>CAS-RT_2335</v>
      </c>
      <c r="C209" s="34" t="str">
        <f>'① Timelog Input'!AI$3</f>
        <v>CLOUDIT</v>
      </c>
      <c r="D209" s="35">
        <f>'① Timelog Input'!AI56</f>
        <v>1.67</v>
      </c>
      <c r="E209" s="34" t="str">
        <f>'① Timelog Input'!H56</f>
        <v>Accounting</v>
      </c>
      <c r="F209" s="36" t="str">
        <f t="shared" si="3"/>
        <v>NO</v>
      </c>
      <c r="G209" s="35">
        <f>IFERROR(VLOOKUP(B209,'② Salary Input'!A:V,14,FALSE())/Settings!B6,0)</f>
        <v>114.4</v>
      </c>
    </row>
    <row r="210" spans="1:7" ht="15" customHeight="1" x14ac:dyDescent="0.2">
      <c r="A210" s="34" t="str">
        <f>'① Timelog Input'!B56</f>
        <v>Seemu.A</v>
      </c>
      <c r="B210" s="34" t="str">
        <f>'① Timelog Input'!C56</f>
        <v>CAS-RT_2335</v>
      </c>
      <c r="C210" s="34" t="str">
        <f>'① Timelog Input'!BL$3</f>
        <v>PW ADVISORS LLC</v>
      </c>
      <c r="D210" s="35">
        <f>'① Timelog Input'!BL56</f>
        <v>0</v>
      </c>
      <c r="E210" s="34" t="str">
        <f>'① Timelog Input'!H56</f>
        <v>Accounting</v>
      </c>
      <c r="F210" s="36" t="str">
        <f t="shared" si="3"/>
        <v>NO</v>
      </c>
      <c r="G210" s="35">
        <f>IFERROR(VLOOKUP(B210,'② Salary Input'!A:V,14,FALSE())/Settings!B6,0)</f>
        <v>114.4</v>
      </c>
    </row>
    <row r="211" spans="1:7" ht="15" customHeight="1" x14ac:dyDescent="0.2">
      <c r="A211" s="34" t="str">
        <f>'① Timelog Input'!B56</f>
        <v>Seemu.A</v>
      </c>
      <c r="B211" s="34" t="str">
        <f>'① Timelog Input'!C56</f>
        <v>CAS-RT_2335</v>
      </c>
      <c r="C211" s="34" t="str">
        <f>'① Timelog Input'!CA$3</f>
        <v>WE ARE QUADRANT</v>
      </c>
      <c r="D211" s="35">
        <f>'① Timelog Input'!CA56</f>
        <v>0</v>
      </c>
      <c r="E211" s="34" t="str">
        <f>'① Timelog Input'!H56</f>
        <v>Accounting</v>
      </c>
      <c r="F211" s="36" t="str">
        <f t="shared" si="3"/>
        <v>NO</v>
      </c>
      <c r="G211" s="35">
        <f>IFERROR(VLOOKUP(B211,'② Salary Input'!A:V,14,FALSE())/Settings!B6,0)</f>
        <v>114.4</v>
      </c>
    </row>
    <row r="212" spans="1:7" ht="23.25" customHeight="1" x14ac:dyDescent="0.2">
      <c r="A212" s="34" t="str">
        <f>'① Timelog Input'!B57</f>
        <v>Kanica.P</v>
      </c>
      <c r="B212" s="34" t="str">
        <f>'① Timelog Input'!C57</f>
        <v>CAS-RT_2340</v>
      </c>
      <c r="C212" s="34" t="str">
        <f>'① Timelog Input'!AI$3</f>
        <v>CLOUDIT</v>
      </c>
      <c r="D212" s="35">
        <f>'① Timelog Input'!AI57</f>
        <v>3.67</v>
      </c>
      <c r="E212" s="34" t="str">
        <f>'① Timelog Input'!H57</f>
        <v>Accounting</v>
      </c>
      <c r="F212" s="36" t="str">
        <f t="shared" si="3"/>
        <v>NO</v>
      </c>
      <c r="G212" s="35">
        <f>IFERROR(VLOOKUP(B212,'② Salary Input'!A:V,14,FALSE())/Settings!B6,0)</f>
        <v>228.75</v>
      </c>
    </row>
    <row r="213" spans="1:7" ht="23.25" customHeight="1" x14ac:dyDescent="0.2">
      <c r="A213" s="34" t="str">
        <f>'① Timelog Input'!B57</f>
        <v>Kanica.P</v>
      </c>
      <c r="B213" s="34" t="str">
        <f>'① Timelog Input'!C57</f>
        <v>CAS-RT_2340</v>
      </c>
      <c r="C213" s="34" t="str">
        <f>'① Timelog Input'!AM$3</f>
        <v>Fleming Accounting Solutions</v>
      </c>
      <c r="D213" s="35">
        <f>'① Timelog Input'!AM57</f>
        <v>0</v>
      </c>
      <c r="E213" s="34" t="str">
        <f>'① Timelog Input'!H57</f>
        <v>Accounting</v>
      </c>
      <c r="F213" s="36" t="str">
        <f t="shared" si="3"/>
        <v>NO</v>
      </c>
      <c r="G213" s="35">
        <f>IFERROR(VLOOKUP(B213,'② Salary Input'!A:V,14,FALSE())/Settings!B6,0)</f>
        <v>228.75</v>
      </c>
    </row>
    <row r="214" spans="1:7" ht="23.25" customHeight="1" x14ac:dyDescent="0.2">
      <c r="A214" s="34" t="str">
        <f>'① Timelog Input'!B57</f>
        <v>Kanica.P</v>
      </c>
      <c r="B214" s="34" t="str">
        <f>'① Timelog Input'!C57</f>
        <v>CAS-RT_2340</v>
      </c>
      <c r="C214" s="34" t="str">
        <f>'① Timelog Input'!AT$3</f>
        <v>INVENT WEALTH, CPA</v>
      </c>
      <c r="D214" s="35">
        <f>'① Timelog Input'!AT57</f>
        <v>0</v>
      </c>
      <c r="E214" s="34" t="str">
        <f>'① Timelog Input'!H57</f>
        <v>Accounting</v>
      </c>
      <c r="F214" s="36" t="str">
        <f t="shared" si="3"/>
        <v>NO</v>
      </c>
      <c r="G214" s="35">
        <f>IFERROR(VLOOKUP(B214,'② Salary Input'!A:V,14,FALSE())/Settings!B6,0)</f>
        <v>228.75</v>
      </c>
    </row>
    <row r="215" spans="1:7" ht="23.25" customHeight="1" x14ac:dyDescent="0.2">
      <c r="A215" s="34" t="str">
        <f>'① Timelog Input'!B57</f>
        <v>Kanica.P</v>
      </c>
      <c r="B215" s="34" t="str">
        <f>'① Timelog Input'!C57</f>
        <v>CAS-RT_2340</v>
      </c>
      <c r="C215" s="34" t="str">
        <f>'① Timelog Input'!AU$3</f>
        <v>jmWILLIAMS, CPA, LLP</v>
      </c>
      <c r="D215" s="35">
        <f>'① Timelog Input'!AU57</f>
        <v>0</v>
      </c>
      <c r="E215" s="34" t="str">
        <f>'① Timelog Input'!H57</f>
        <v>Accounting</v>
      </c>
      <c r="F215" s="36" t="str">
        <f t="shared" si="3"/>
        <v>NO</v>
      </c>
      <c r="G215" s="35">
        <f>IFERROR(VLOOKUP(B215,'② Salary Input'!A:V,14,FALSE())/Settings!B6,0)</f>
        <v>228.75</v>
      </c>
    </row>
    <row r="216" spans="1:7" ht="23.25" customHeight="1" x14ac:dyDescent="0.2">
      <c r="A216" s="34" t="str">
        <f>'① Timelog Input'!B57</f>
        <v>Kanica.P</v>
      </c>
      <c r="B216" s="34" t="str">
        <f>'① Timelog Input'!C57</f>
        <v>CAS-RT_2340</v>
      </c>
      <c r="C216" s="34" t="str">
        <f>'① Timelog Input'!BE$3</f>
        <v>NATIONAL TAX CENTERS, LLC</v>
      </c>
      <c r="D216" s="35">
        <f>'① Timelog Input'!BE57</f>
        <v>0</v>
      </c>
      <c r="E216" s="34" t="str">
        <f>'① Timelog Input'!H57</f>
        <v>Accounting</v>
      </c>
      <c r="F216" s="36" t="str">
        <f t="shared" si="3"/>
        <v>NO</v>
      </c>
      <c r="G216" s="35">
        <f>IFERROR(VLOOKUP(B216,'② Salary Input'!A:V,14,FALSE())/Settings!B6,0)</f>
        <v>228.75</v>
      </c>
    </row>
    <row r="217" spans="1:7" ht="23.25" customHeight="1" x14ac:dyDescent="0.2">
      <c r="A217" s="34" t="str">
        <f>'① Timelog Input'!B57</f>
        <v>Kanica.P</v>
      </c>
      <c r="B217" s="34" t="str">
        <f>'① Timelog Input'!C57</f>
        <v>CAS-RT_2340</v>
      </c>
      <c r="C217" s="34" t="str">
        <f>'① Timelog Input'!BL$3</f>
        <v>PW ADVISORS LLC</v>
      </c>
      <c r="D217" s="35">
        <f>'① Timelog Input'!BL57</f>
        <v>29.75</v>
      </c>
      <c r="E217" s="34" t="str">
        <f>'① Timelog Input'!H57</f>
        <v>Accounting</v>
      </c>
      <c r="F217" s="36" t="str">
        <f t="shared" si="3"/>
        <v>NO</v>
      </c>
      <c r="G217" s="35">
        <f>IFERROR(VLOOKUP(B217,'② Salary Input'!A:V,14,FALSE())/Settings!B6,0)</f>
        <v>228.75</v>
      </c>
    </row>
    <row r="218" spans="1:7" ht="23.25" customHeight="1" x14ac:dyDescent="0.2">
      <c r="A218" s="34" t="str">
        <f>'① Timelog Input'!B57</f>
        <v>Kanica.P</v>
      </c>
      <c r="B218" s="34" t="str">
        <f>'① Timelog Input'!C57</f>
        <v>CAS-RT_2340</v>
      </c>
      <c r="C218" s="34" t="str">
        <f>'① Timelog Input'!BT$3</f>
        <v>TAX GEEK LLC</v>
      </c>
      <c r="D218" s="35">
        <f>'① Timelog Input'!BT57</f>
        <v>0</v>
      </c>
      <c r="E218" s="34" t="str">
        <f>'① Timelog Input'!H57</f>
        <v>Accounting</v>
      </c>
      <c r="F218" s="36" t="str">
        <f t="shared" si="3"/>
        <v>NO</v>
      </c>
      <c r="G218" s="35">
        <f>IFERROR(VLOOKUP(B218,'② Salary Input'!A:V,14,FALSE())/Settings!B6,0)</f>
        <v>228.75</v>
      </c>
    </row>
    <row r="219" spans="1:7" ht="15" customHeight="1" x14ac:dyDescent="0.2">
      <c r="A219" s="34" t="str">
        <f>'① Timelog Input'!B58</f>
        <v>Ammie</v>
      </c>
      <c r="B219" s="34" t="str">
        <f>'① Timelog Input'!C58</f>
        <v>CAS-IH_1137</v>
      </c>
      <c r="C219" s="34" t="str">
        <f>'① Timelog Input'!AI$3</f>
        <v>CLOUDIT</v>
      </c>
      <c r="D219" s="35">
        <f>'① Timelog Input'!AI58</f>
        <v>115</v>
      </c>
      <c r="E219" s="34" t="str">
        <f>'① Timelog Input'!H58</f>
        <v>Individual Tax, Business Tax</v>
      </c>
      <c r="F219" s="36" t="str">
        <f t="shared" si="3"/>
        <v>NO</v>
      </c>
      <c r="G219" s="35">
        <f>IFERROR(VLOOKUP(B219,'② Salary Input'!A:V,14,FALSE())/Settings!B6,0)</f>
        <v>3010.4187499999998</v>
      </c>
    </row>
    <row r="220" spans="1:7" ht="15" customHeight="1" x14ac:dyDescent="0.2">
      <c r="A220" s="34" t="str">
        <f>'① Timelog Input'!B58</f>
        <v>Ammie</v>
      </c>
      <c r="B220" s="34" t="str">
        <f>'① Timelog Input'!C58</f>
        <v>CAS-IH_1137</v>
      </c>
      <c r="C220" s="34" t="str">
        <f>'① Timelog Input'!BE$3</f>
        <v>NATIONAL TAX CENTERS, LLC</v>
      </c>
      <c r="D220" s="35">
        <f>'① Timelog Input'!BE58</f>
        <v>40.159999999999997</v>
      </c>
      <c r="E220" s="34" t="str">
        <f>'① Timelog Input'!H58</f>
        <v>Individual Tax, Business Tax</v>
      </c>
      <c r="F220" s="36" t="str">
        <f t="shared" si="3"/>
        <v>NO</v>
      </c>
      <c r="G220" s="35">
        <f>IFERROR(VLOOKUP(B220,'② Salary Input'!A:V,14,FALSE())/Settings!B6,0)</f>
        <v>3010.4187499999998</v>
      </c>
    </row>
    <row r="221" spans="1:7" ht="15" customHeight="1" x14ac:dyDescent="0.2">
      <c r="A221" s="34" t="str">
        <f>'① Timelog Input'!B58</f>
        <v>Ammie</v>
      </c>
      <c r="B221" s="34" t="str">
        <f>'① Timelog Input'!C58</f>
        <v>CAS-IH_1137</v>
      </c>
      <c r="C221" s="34" t="str">
        <f>'① Timelog Input'!BH$3</f>
        <v>NUMBER NUTTZ CONSULTING</v>
      </c>
      <c r="D221" s="35">
        <f>'① Timelog Input'!BH58</f>
        <v>0</v>
      </c>
      <c r="E221" s="34" t="str">
        <f>'① Timelog Input'!H58</f>
        <v>Individual Tax, Business Tax</v>
      </c>
      <c r="F221" s="36" t="str">
        <f t="shared" si="3"/>
        <v>NO</v>
      </c>
      <c r="G221" s="35">
        <f>IFERROR(VLOOKUP(B221,'② Salary Input'!A:V,14,FALSE())/Settings!B6,0)</f>
        <v>3010.4187499999998</v>
      </c>
    </row>
    <row r="222" spans="1:7" ht="15" customHeight="1" x14ac:dyDescent="0.2">
      <c r="A222" s="34" t="str">
        <f>'① Timelog Input'!B59</f>
        <v>Pranjali.M</v>
      </c>
      <c r="B222" s="34" t="str">
        <f>'① Timelog Input'!C59</f>
        <v>CAS-RT_2349</v>
      </c>
      <c r="C222" s="34" t="str">
        <f>'① Timelog Input'!U$3</f>
        <v>ACE CPA</v>
      </c>
      <c r="D222" s="35">
        <f>'① Timelog Input'!U59</f>
        <v>0</v>
      </c>
      <c r="E222" s="34" t="str">
        <f>'① Timelog Input'!H59</f>
        <v>Accounting</v>
      </c>
      <c r="F222" s="36" t="str">
        <f t="shared" si="3"/>
        <v>NO</v>
      </c>
      <c r="G222" s="35">
        <f>IFERROR(VLOOKUP(B222,'② Salary Input'!A:V,14,FALSE())/Settings!B6,0)</f>
        <v>109.70625</v>
      </c>
    </row>
    <row r="223" spans="1:7" ht="15" customHeight="1" x14ac:dyDescent="0.2">
      <c r="A223" s="34" t="str">
        <f>'① Timelog Input'!B59</f>
        <v>Pranjali.M</v>
      </c>
      <c r="B223" s="34" t="str">
        <f>'① Timelog Input'!C59</f>
        <v>CAS-RT_2349</v>
      </c>
      <c r="C223" s="34" t="str">
        <f>'① Timelog Input'!AI$3</f>
        <v>CLOUDIT</v>
      </c>
      <c r="D223" s="35">
        <f>'① Timelog Input'!AI59</f>
        <v>2.42</v>
      </c>
      <c r="E223" s="34" t="str">
        <f>'① Timelog Input'!H59</f>
        <v>Accounting</v>
      </c>
      <c r="F223" s="36" t="str">
        <f t="shared" si="3"/>
        <v>NO</v>
      </c>
      <c r="G223" s="35">
        <f>IFERROR(VLOOKUP(B223,'② Salary Input'!A:V,14,FALSE())/Settings!B6,0)</f>
        <v>109.70625</v>
      </c>
    </row>
    <row r="224" spans="1:7" ht="15" customHeight="1" x14ac:dyDescent="0.2">
      <c r="A224" s="34" t="str">
        <f>'① Timelog Input'!B59</f>
        <v>Pranjali.M</v>
      </c>
      <c r="B224" s="34" t="str">
        <f>'① Timelog Input'!C59</f>
        <v>CAS-RT_2349</v>
      </c>
      <c r="C224" s="34" t="str">
        <f>'① Timelog Input'!BB$3</f>
        <v>MCFADDEN ACCOUNTING</v>
      </c>
      <c r="D224" s="35">
        <f>'① Timelog Input'!BB59</f>
        <v>0</v>
      </c>
      <c r="E224" s="34" t="str">
        <f>'① Timelog Input'!H59</f>
        <v>Accounting</v>
      </c>
      <c r="F224" s="36" t="str">
        <f t="shared" si="3"/>
        <v>NO</v>
      </c>
      <c r="G224" s="35">
        <f>IFERROR(VLOOKUP(B224,'② Salary Input'!A:V,14,FALSE())/Settings!B6,0)</f>
        <v>109.70625</v>
      </c>
    </row>
    <row r="225" spans="1:7" ht="15" customHeight="1" x14ac:dyDescent="0.2">
      <c r="A225" s="34" t="str">
        <f>'① Timelog Input'!B59</f>
        <v>Pranjali.M</v>
      </c>
      <c r="B225" s="34" t="str">
        <f>'① Timelog Input'!C59</f>
        <v>CAS-RT_2349</v>
      </c>
      <c r="C225" s="34" t="str">
        <f>'① Timelog Input'!BL$3</f>
        <v>PW ADVISORS LLC</v>
      </c>
      <c r="D225" s="35">
        <f>'① Timelog Input'!BL59</f>
        <v>0</v>
      </c>
      <c r="E225" s="34" t="str">
        <f>'① Timelog Input'!H59</f>
        <v>Accounting</v>
      </c>
      <c r="F225" s="36" t="str">
        <f t="shared" si="3"/>
        <v>NO</v>
      </c>
      <c r="G225" s="35">
        <f>IFERROR(VLOOKUP(B225,'② Salary Input'!A:V,14,FALSE())/Settings!B6,0)</f>
        <v>109.70625</v>
      </c>
    </row>
    <row r="226" spans="1:7" ht="15" customHeight="1" x14ac:dyDescent="0.2">
      <c r="A226" s="34" t="str">
        <f>'① Timelog Input'!B59</f>
        <v>Pranjali.M</v>
      </c>
      <c r="B226" s="34" t="str">
        <f>'① Timelog Input'!C59</f>
        <v>CAS-RT_2349</v>
      </c>
      <c r="C226" s="34" t="str">
        <f>'① Timelog Input'!BM$3</f>
        <v>RATHEL’S ACCOUNTING SERVICE, INC</v>
      </c>
      <c r="D226" s="35">
        <f>'① Timelog Input'!BM59</f>
        <v>0</v>
      </c>
      <c r="E226" s="34" t="str">
        <f>'① Timelog Input'!H59</f>
        <v>Accounting</v>
      </c>
      <c r="F226" s="36" t="str">
        <f t="shared" si="3"/>
        <v>NO</v>
      </c>
      <c r="G226" s="35">
        <f>IFERROR(VLOOKUP(B226,'② Salary Input'!A:V,14,FALSE())/Settings!B6,0)</f>
        <v>109.70625</v>
      </c>
    </row>
    <row r="227" spans="1:7" ht="15" customHeight="1" x14ac:dyDescent="0.2">
      <c r="A227" s="34" t="str">
        <f>'① Timelog Input'!B60</f>
        <v>Shikha.S</v>
      </c>
      <c r="B227" s="34" t="str">
        <f>'① Timelog Input'!C60</f>
        <v>CAS-RT_2351</v>
      </c>
      <c r="C227" s="34" t="str">
        <f>'① Timelog Input'!AI$3</f>
        <v>CLOUDIT</v>
      </c>
      <c r="D227" s="35">
        <f>'① Timelog Input'!AI60</f>
        <v>3.41</v>
      </c>
      <c r="E227" s="34" t="str">
        <f>'① Timelog Input'!H60</f>
        <v>Accounting</v>
      </c>
      <c r="F227" s="36" t="str">
        <f t="shared" si="3"/>
        <v>NO</v>
      </c>
      <c r="G227" s="35">
        <f>IFERROR(VLOOKUP(B227,'② Salary Input'!A:V,14,FALSE())/Settings!B6,0)</f>
        <v>252.42500000000001</v>
      </c>
    </row>
    <row r="228" spans="1:7" ht="15" customHeight="1" x14ac:dyDescent="0.2">
      <c r="A228" s="34" t="str">
        <f>'① Timelog Input'!B60</f>
        <v>Shikha.S</v>
      </c>
      <c r="B228" s="34" t="str">
        <f>'① Timelog Input'!C60</f>
        <v>CAS-RT_2351</v>
      </c>
      <c r="C228" s="34" t="str">
        <f>'① Timelog Input'!AV$3</f>
        <v>JOHNSON &amp; ROBINSON LLC</v>
      </c>
      <c r="D228" s="35">
        <f>'① Timelog Input'!AV60</f>
        <v>0</v>
      </c>
      <c r="E228" s="34" t="str">
        <f>'① Timelog Input'!H60</f>
        <v>Accounting</v>
      </c>
      <c r="F228" s="36" t="str">
        <f t="shared" si="3"/>
        <v>NO</v>
      </c>
      <c r="G228" s="35">
        <f>IFERROR(VLOOKUP(B228,'② Salary Input'!A:V,14,FALSE())/Settings!B6,0)</f>
        <v>252.42500000000001</v>
      </c>
    </row>
    <row r="229" spans="1:7" ht="15" customHeight="1" x14ac:dyDescent="0.2">
      <c r="A229" s="34" t="str">
        <f>'① Timelog Input'!B60</f>
        <v>Shikha.S</v>
      </c>
      <c r="B229" s="34" t="str">
        <f>'① Timelog Input'!C60</f>
        <v>CAS-RT_2351</v>
      </c>
      <c r="C229" s="34" t="str">
        <f>'① Timelog Input'!AW$3</f>
        <v>LEANCORP ACCOUNTING</v>
      </c>
      <c r="D229" s="35">
        <f>'① Timelog Input'!AW60</f>
        <v>0</v>
      </c>
      <c r="E229" s="34" t="str">
        <f>'① Timelog Input'!H60</f>
        <v>Accounting</v>
      </c>
      <c r="F229" s="36" t="str">
        <f t="shared" si="3"/>
        <v>NO</v>
      </c>
      <c r="G229" s="35">
        <f>IFERROR(VLOOKUP(B229,'② Salary Input'!A:V,14,FALSE())/Settings!B6,0)</f>
        <v>252.42500000000001</v>
      </c>
    </row>
    <row r="230" spans="1:7" ht="15" customHeight="1" x14ac:dyDescent="0.2">
      <c r="A230" s="34" t="str">
        <f>'① Timelog Input'!B60</f>
        <v>Shikha.S</v>
      </c>
      <c r="B230" s="34" t="str">
        <f>'① Timelog Input'!C60</f>
        <v>CAS-RT_2351</v>
      </c>
      <c r="C230" s="34" t="str">
        <f>'① Timelog Input'!BL$3</f>
        <v>PW ADVISORS LLC</v>
      </c>
      <c r="D230" s="35">
        <f>'① Timelog Input'!BL60</f>
        <v>65.400000000000006</v>
      </c>
      <c r="E230" s="34" t="str">
        <f>'① Timelog Input'!H60</f>
        <v>Accounting</v>
      </c>
      <c r="F230" s="36" t="str">
        <f t="shared" si="3"/>
        <v>NO</v>
      </c>
      <c r="G230" s="35">
        <f>IFERROR(VLOOKUP(B230,'② Salary Input'!A:V,14,FALSE())/Settings!B6,0)</f>
        <v>252.42500000000001</v>
      </c>
    </row>
    <row r="231" spans="1:7" ht="15" customHeight="1" x14ac:dyDescent="0.2">
      <c r="A231" s="34" t="str">
        <f>'① Timelog Input'!B60</f>
        <v>Shikha.S</v>
      </c>
      <c r="B231" s="34" t="str">
        <f>'① Timelog Input'!C60</f>
        <v>CAS-RT_2351</v>
      </c>
      <c r="C231" s="34" t="str">
        <f>'① Timelog Input'!CB$3</f>
        <v>WIGGS CPA TAX &amp; ACCOUNTING</v>
      </c>
      <c r="D231" s="35">
        <f>'① Timelog Input'!CB60</f>
        <v>0</v>
      </c>
      <c r="E231" s="34" t="str">
        <f>'① Timelog Input'!H60</f>
        <v>Accounting</v>
      </c>
      <c r="F231" s="36" t="str">
        <f t="shared" si="3"/>
        <v>NO</v>
      </c>
      <c r="G231" s="35">
        <f>IFERROR(VLOOKUP(B231,'② Salary Input'!A:V,14,FALSE())/Settings!B6,0)</f>
        <v>252.42500000000001</v>
      </c>
    </row>
    <row r="232" spans="1:7" ht="15" customHeight="1" x14ac:dyDescent="0.2">
      <c r="A232" s="34" t="str">
        <f>'① Timelog Input'!B62</f>
        <v>Sachi</v>
      </c>
      <c r="B232" s="34" t="str">
        <f>'① Timelog Input'!C62</f>
        <v>CAS-IH_1003</v>
      </c>
      <c r="C232" s="34" t="str">
        <f>'① Timelog Input'!T$3</f>
        <v>ABACUS BUSINESS SOLUTIONS, LLC</v>
      </c>
      <c r="D232" s="35">
        <f>'① Timelog Input'!T62</f>
        <v>0</v>
      </c>
      <c r="E232" s="34" t="str">
        <f>'① Timelog Input'!H62</f>
        <v>FP&amp;A</v>
      </c>
      <c r="F232" s="36" t="str">
        <f t="shared" si="3"/>
        <v>NO</v>
      </c>
      <c r="G232" s="35">
        <f>IFERROR(VLOOKUP(B232,'② Salary Input'!A:V,14,FALSE())/Settings!B6,0)</f>
        <v>0</v>
      </c>
    </row>
    <row r="233" spans="1:7" ht="15" customHeight="1" x14ac:dyDescent="0.2">
      <c r="A233" s="34" t="str">
        <f>'① Timelog Input'!B62</f>
        <v>Sachi</v>
      </c>
      <c r="B233" s="34" t="str">
        <f>'① Timelog Input'!C62</f>
        <v>CAS-IH_1003</v>
      </c>
      <c r="C233" s="34" t="str">
        <f>'① Timelog Input'!AI$3</f>
        <v>CLOUDIT</v>
      </c>
      <c r="D233" s="35">
        <f>'① Timelog Input'!AI62</f>
        <v>0</v>
      </c>
      <c r="E233" s="34" t="str">
        <f>'① Timelog Input'!H62</f>
        <v>FP&amp;A</v>
      </c>
      <c r="F233" s="36" t="str">
        <f t="shared" si="3"/>
        <v>NO</v>
      </c>
      <c r="G233" s="35">
        <f>IFERROR(VLOOKUP(B233,'② Salary Input'!A:V,14,FALSE())/Settings!B6,0)</f>
        <v>0</v>
      </c>
    </row>
    <row r="234" spans="1:7" ht="15" customHeight="1" x14ac:dyDescent="0.2">
      <c r="A234" s="34" t="str">
        <f>'① Timelog Input'!B63</f>
        <v>Aishwarya.V</v>
      </c>
      <c r="B234" s="34" t="str">
        <f>'① Timelog Input'!C63</f>
        <v>CAS-RR_2374</v>
      </c>
      <c r="C234" s="34" t="str">
        <f>'① Timelog Input'!AC$3</f>
        <v>BRIGHTSKIES BUSINESS SERVICES, LLC</v>
      </c>
      <c r="D234" s="35">
        <f>'① Timelog Input'!AC63</f>
        <v>0</v>
      </c>
      <c r="E234" s="34" t="str">
        <f>'① Timelog Input'!H63</f>
        <v>Accounting</v>
      </c>
      <c r="F234" s="36" t="str">
        <f t="shared" si="3"/>
        <v>NO</v>
      </c>
      <c r="G234" s="35">
        <f>IFERROR(VLOOKUP(B234,'② Salary Input'!A:V,14,FALSE())/Settings!B6,0)</f>
        <v>389.11250000000001</v>
      </c>
    </row>
    <row r="235" spans="1:7" ht="15" customHeight="1" x14ac:dyDescent="0.2">
      <c r="A235" s="34" t="str">
        <f>'① Timelog Input'!B63</f>
        <v>Aishwarya.V</v>
      </c>
      <c r="B235" s="34" t="str">
        <f>'① Timelog Input'!C63</f>
        <v>CAS-RR_2374</v>
      </c>
      <c r="C235" s="34" t="str">
        <f>'① Timelog Input'!AI$3</f>
        <v>CLOUDIT</v>
      </c>
      <c r="D235" s="35">
        <f>'① Timelog Input'!AI63</f>
        <v>3.12</v>
      </c>
      <c r="E235" s="34" t="str">
        <f>'① Timelog Input'!H63</f>
        <v>Accounting</v>
      </c>
      <c r="F235" s="36" t="str">
        <f t="shared" si="3"/>
        <v>NO</v>
      </c>
      <c r="G235" s="35">
        <f>IFERROR(VLOOKUP(B235,'② Salary Input'!A:V,14,FALSE())/Settings!B6,0)</f>
        <v>389.11250000000001</v>
      </c>
    </row>
    <row r="236" spans="1:7" ht="15" customHeight="1" x14ac:dyDescent="0.2">
      <c r="A236" s="34" t="str">
        <f>'① Timelog Input'!B63</f>
        <v>Aishwarya.V</v>
      </c>
      <c r="B236" s="34" t="str">
        <f>'① Timelog Input'!C63</f>
        <v>CAS-RR_2374</v>
      </c>
      <c r="C236" s="34" t="str">
        <f>'① Timelog Input'!AY$3</f>
        <v>MAINSPRING SOLUTIONS</v>
      </c>
      <c r="D236" s="35">
        <f>'① Timelog Input'!AY63</f>
        <v>0</v>
      </c>
      <c r="E236" s="34" t="str">
        <f>'① Timelog Input'!H63</f>
        <v>Accounting</v>
      </c>
      <c r="F236" s="36" t="str">
        <f t="shared" si="3"/>
        <v>NO</v>
      </c>
      <c r="G236" s="35">
        <f>IFERROR(VLOOKUP(B236,'② Salary Input'!A:V,14,FALSE())/Settings!B6,0)</f>
        <v>389.11250000000001</v>
      </c>
    </row>
    <row r="237" spans="1:7" ht="15" customHeight="1" x14ac:dyDescent="0.2">
      <c r="A237" s="34" t="str">
        <f>'① Timelog Input'!B65</f>
        <v>Priyam.B</v>
      </c>
      <c r="B237" s="34" t="str">
        <f>'① Timelog Input'!C65</f>
        <v>CAS-RT_2361</v>
      </c>
      <c r="C237" s="34" t="str">
        <f>'① Timelog Input'!AI$3</f>
        <v>CLOUDIT</v>
      </c>
      <c r="D237" s="35">
        <f>'① Timelog Input'!AI65</f>
        <v>0</v>
      </c>
      <c r="E237" s="34" t="str">
        <f>'① Timelog Input'!H65</f>
        <v>Accounting</v>
      </c>
      <c r="F237" s="36" t="str">
        <f t="shared" si="3"/>
        <v>NO</v>
      </c>
      <c r="G237" s="35">
        <f>IFERROR(VLOOKUP(B237,'② Salary Input'!A:V,14,FALSE())/Settings!B6,0)</f>
        <v>150</v>
      </c>
    </row>
    <row r="238" spans="1:7" ht="15" customHeight="1" x14ac:dyDescent="0.2">
      <c r="A238" s="34" t="str">
        <f>'① Timelog Input'!B66</f>
        <v>Jaya.L</v>
      </c>
      <c r="B238" s="34" t="str">
        <f>'① Timelog Input'!C66</f>
        <v>CAS-IH_1151</v>
      </c>
      <c r="C238" s="34" t="str">
        <f>'① Timelog Input'!AN$3</f>
        <v>FULL COMPLIANCE, LLC</v>
      </c>
      <c r="D238" s="35">
        <f>'① Timelog Input'!AN66</f>
        <v>0</v>
      </c>
      <c r="E238" s="34" t="str">
        <f>'① Timelog Input'!H66</f>
        <v>Accounting, L&amp;D</v>
      </c>
      <c r="F238" s="36" t="str">
        <f t="shared" si="3"/>
        <v>NO</v>
      </c>
      <c r="G238" s="35">
        <f>IFERROR(VLOOKUP(B238,'② Salary Input'!A:V,14,FALSE())/Settings!B6,0)</f>
        <v>468.75</v>
      </c>
    </row>
    <row r="239" spans="1:7" ht="15" customHeight="1" x14ac:dyDescent="0.2">
      <c r="A239" s="34" t="str">
        <f>'① Timelog Input'!B66</f>
        <v>Jaya.L</v>
      </c>
      <c r="B239" s="34" t="str">
        <f>'① Timelog Input'!C66</f>
        <v>CAS-IH_1151</v>
      </c>
      <c r="C239" s="34" t="str">
        <f>'① Timelog Input'!BS$3</f>
        <v>SOUTH FLORIDA SECURITY GROUP</v>
      </c>
      <c r="D239" s="35">
        <f>'① Timelog Input'!BS66</f>
        <v>0</v>
      </c>
      <c r="E239" s="34" t="str">
        <f>'① Timelog Input'!H66</f>
        <v>Accounting, L&amp;D</v>
      </c>
      <c r="F239" s="36" t="str">
        <f t="shared" si="3"/>
        <v>NO</v>
      </c>
      <c r="G239" s="35">
        <f>IFERROR(VLOOKUP(B239,'② Salary Input'!A:V,14,FALSE())/Settings!B6,0)</f>
        <v>468.75</v>
      </c>
    </row>
    <row r="240" spans="1:7" ht="15" customHeight="1" x14ac:dyDescent="0.2">
      <c r="A240" s="34" t="str">
        <f>'① Timelog Input'!B67</f>
        <v>Ayushi.B</v>
      </c>
      <c r="B240" s="34" t="str">
        <f>'① Timelog Input'!C67</f>
        <v>CAS-RT_2369</v>
      </c>
      <c r="C240" s="34" t="str">
        <f>'① Timelog Input'!AI$3</f>
        <v>CLOUDIT</v>
      </c>
      <c r="D240" s="35">
        <f>'① Timelog Input'!AI67</f>
        <v>0</v>
      </c>
      <c r="E240" s="34" t="str">
        <f>'① Timelog Input'!H67</f>
        <v>Accounting</v>
      </c>
      <c r="F240" s="36" t="str">
        <f t="shared" si="3"/>
        <v>NO</v>
      </c>
      <c r="G240" s="35">
        <f>IFERROR(VLOOKUP(B240,'② Salary Input'!A:V,14,FALSE())/Settings!B6,0)</f>
        <v>203.83125000000001</v>
      </c>
    </row>
    <row r="241" spans="1:7" ht="15" customHeight="1" x14ac:dyDescent="0.2">
      <c r="A241" s="34" t="str">
        <f>'① Timelog Input'!B68</f>
        <v>Akanksha.V</v>
      </c>
      <c r="B241" s="34" t="str">
        <f>'① Timelog Input'!C68</f>
        <v>CAS-IH_1144</v>
      </c>
      <c r="C241" s="34" t="str">
        <f>'① Timelog Input'!AI$3</f>
        <v>CLOUDIT</v>
      </c>
      <c r="D241" s="35">
        <f>'① Timelog Input'!AI68</f>
        <v>96</v>
      </c>
      <c r="E241" s="34" t="str">
        <f>'① Timelog Input'!H68</f>
        <v>HR</v>
      </c>
      <c r="F241" s="36" t="str">
        <f t="shared" si="3"/>
        <v>YES</v>
      </c>
      <c r="G241" s="35">
        <f>IFERROR(VLOOKUP(B241,'② Salary Input'!A:V,14,FALSE())/Settings!B6,0)</f>
        <v>218.75</v>
      </c>
    </row>
    <row r="242" spans="1:7" ht="15" customHeight="1" x14ac:dyDescent="0.2">
      <c r="A242" s="34" t="str">
        <f>'① Timelog Input'!B68</f>
        <v>Akanksha.V</v>
      </c>
      <c r="B242" s="34" t="str">
        <f>'① Timelog Input'!C68</f>
        <v>CAS-IH_1144</v>
      </c>
      <c r="C242" s="34" t="str">
        <f>'① Timelog Input'!CC$3</f>
        <v>XPERT BOOKKEEPING LLC</v>
      </c>
      <c r="D242" s="35">
        <f>'① Timelog Input'!CC68</f>
        <v>0</v>
      </c>
      <c r="E242" s="34" t="str">
        <f>'① Timelog Input'!H68</f>
        <v>HR</v>
      </c>
      <c r="F242" s="36" t="str">
        <f t="shared" si="3"/>
        <v>YES</v>
      </c>
      <c r="G242" s="35">
        <f>IFERROR(VLOOKUP(B242,'② Salary Input'!A:V,14,FALSE())/Settings!B6,0)</f>
        <v>218.75</v>
      </c>
    </row>
    <row r="243" spans="1:7" ht="15" customHeight="1" x14ac:dyDescent="0.2">
      <c r="A243" s="34" t="str">
        <f>'① Timelog Input'!B69</f>
        <v>Teja.R</v>
      </c>
      <c r="B243" s="34" t="str">
        <f>'① Timelog Input'!C69</f>
        <v>CAS-RT_2372</v>
      </c>
      <c r="C243" s="34" t="str">
        <f>'① Timelog Input'!AI$3</f>
        <v>CLOUDIT</v>
      </c>
      <c r="D243" s="35">
        <f>'① Timelog Input'!AI69</f>
        <v>12.01</v>
      </c>
      <c r="E243" s="34" t="str">
        <f>'① Timelog Input'!H69</f>
        <v>Accounting</v>
      </c>
      <c r="F243" s="36" t="str">
        <f t="shared" si="3"/>
        <v>NO</v>
      </c>
      <c r="G243" s="35">
        <f>IFERROR(VLOOKUP(B243,'② Salary Input'!A:V,14,FALSE())/Settings!B6,0)</f>
        <v>246.76875000000001</v>
      </c>
    </row>
    <row r="244" spans="1:7" ht="15" customHeight="1" x14ac:dyDescent="0.2">
      <c r="A244" s="34" t="str">
        <f>'① Timelog Input'!B69</f>
        <v>Teja.R</v>
      </c>
      <c r="B244" s="34" t="str">
        <f>'① Timelog Input'!C69</f>
        <v>CAS-RT_2372</v>
      </c>
      <c r="C244" s="34" t="str">
        <f>'① Timelog Input'!AT$3</f>
        <v>INVENT WEALTH, CPA</v>
      </c>
      <c r="D244" s="35">
        <f>'① Timelog Input'!AT69</f>
        <v>0</v>
      </c>
      <c r="E244" s="34" t="str">
        <f>'① Timelog Input'!H69</f>
        <v>Accounting</v>
      </c>
      <c r="F244" s="36" t="str">
        <f t="shared" si="3"/>
        <v>NO</v>
      </c>
      <c r="G244" s="35">
        <f>IFERROR(VLOOKUP(B244,'② Salary Input'!A:V,14,FALSE())/Settings!B6,0)</f>
        <v>246.76875000000001</v>
      </c>
    </row>
    <row r="245" spans="1:7" ht="15" customHeight="1" x14ac:dyDescent="0.2">
      <c r="A245" s="34" t="str">
        <f>'① Timelog Input'!B69</f>
        <v>Teja.R</v>
      </c>
      <c r="B245" s="34" t="str">
        <f>'① Timelog Input'!C69</f>
        <v>CAS-RT_2372</v>
      </c>
      <c r="C245" s="34" t="str">
        <f>'① Timelog Input'!AU$3</f>
        <v>jmWILLIAMS, CPA, LLP</v>
      </c>
      <c r="D245" s="35">
        <f>'① Timelog Input'!AU69</f>
        <v>0</v>
      </c>
      <c r="E245" s="34" t="str">
        <f>'① Timelog Input'!H69</f>
        <v>Accounting</v>
      </c>
      <c r="F245" s="36" t="str">
        <f t="shared" si="3"/>
        <v>NO</v>
      </c>
      <c r="G245" s="35">
        <f>IFERROR(VLOOKUP(B245,'② Salary Input'!A:V,14,FALSE())/Settings!B6,0)</f>
        <v>246.76875000000001</v>
      </c>
    </row>
    <row r="246" spans="1:7" ht="15" customHeight="1" x14ac:dyDescent="0.2">
      <c r="A246" s="34" t="str">
        <f>'① Timelog Input'!B70</f>
        <v>Upasana</v>
      </c>
      <c r="B246" s="34" t="str">
        <f>'① Timelog Input'!C70</f>
        <v>CAS-RT_2373</v>
      </c>
      <c r="C246" s="34" t="str">
        <f>'① Timelog Input'!AI$3</f>
        <v>CLOUDIT</v>
      </c>
      <c r="D246" s="35">
        <f>'① Timelog Input'!AI70</f>
        <v>33.82</v>
      </c>
      <c r="E246" s="34" t="str">
        <f>'① Timelog Input'!H70</f>
        <v>Accounting</v>
      </c>
      <c r="F246" s="36" t="str">
        <f t="shared" si="3"/>
        <v>NO</v>
      </c>
      <c r="G246" s="35">
        <f>IFERROR(VLOOKUP(B246,'② Salary Input'!A:V,14,FALSE())/Settings!B6,0)</f>
        <v>151.71875</v>
      </c>
    </row>
    <row r="247" spans="1:7" ht="15" customHeight="1" x14ac:dyDescent="0.2">
      <c r="A247" s="34" t="str">
        <f>'① Timelog Input'!B70</f>
        <v>Upasana</v>
      </c>
      <c r="B247" s="34" t="str">
        <f>'① Timelog Input'!C70</f>
        <v>CAS-RT_2373</v>
      </c>
      <c r="C247" s="34" t="str">
        <f>'① Timelog Input'!AL$3</f>
        <v>EVERMORE FINANCIAL SERVICES LLC</v>
      </c>
      <c r="D247" s="35">
        <f>'① Timelog Input'!AL70</f>
        <v>0</v>
      </c>
      <c r="E247" s="34" t="str">
        <f>'① Timelog Input'!H70</f>
        <v>Accounting</v>
      </c>
      <c r="F247" s="36" t="str">
        <f t="shared" si="3"/>
        <v>NO</v>
      </c>
      <c r="G247" s="35">
        <f>IFERROR(VLOOKUP(B247,'② Salary Input'!A:V,14,FALSE())/Settings!B6,0)</f>
        <v>151.71875</v>
      </c>
    </row>
    <row r="248" spans="1:7" ht="15" customHeight="1" x14ac:dyDescent="0.2">
      <c r="A248" s="34" t="str">
        <f>'① Timelog Input'!B72</f>
        <v>Alan</v>
      </c>
      <c r="B248" s="34" t="str">
        <f>'① Timelog Input'!C72</f>
        <v>CAS-IH_1148</v>
      </c>
      <c r="C248" s="34" t="str">
        <f>'① Timelog Input'!AD$3</f>
        <v>BUSINESS NAVIGATORS LLC</v>
      </c>
      <c r="D248" s="35">
        <f>'① Timelog Input'!AD72</f>
        <v>0</v>
      </c>
      <c r="E248" s="34" t="str">
        <f>'① Timelog Input'!H72</f>
        <v>IT</v>
      </c>
      <c r="F248" s="36" t="str">
        <f t="shared" si="3"/>
        <v>YES</v>
      </c>
      <c r="G248" s="35">
        <f>IFERROR(VLOOKUP(B248,'② Salary Input'!A:V,14,FALSE())/Settings!B6,0)</f>
        <v>781.25</v>
      </c>
    </row>
    <row r="249" spans="1:7" ht="15" customHeight="1" x14ac:dyDescent="0.2">
      <c r="A249" s="34" t="str">
        <f>'① Timelog Input'!B72</f>
        <v>Alan</v>
      </c>
      <c r="B249" s="34" t="str">
        <f>'① Timelog Input'!C72</f>
        <v>CAS-IH_1148</v>
      </c>
      <c r="C249" s="34" t="str">
        <f>'① Timelog Input'!AI$3</f>
        <v>CLOUDIT</v>
      </c>
      <c r="D249" s="35">
        <f>'① Timelog Input'!AI72</f>
        <v>0</v>
      </c>
      <c r="E249" s="34" t="str">
        <f>'① Timelog Input'!H72</f>
        <v>IT</v>
      </c>
      <c r="F249" s="36" t="str">
        <f t="shared" si="3"/>
        <v>YES</v>
      </c>
      <c r="G249" s="35">
        <f>IFERROR(VLOOKUP(B249,'② Salary Input'!A:V,14,FALSE())/Settings!B6,0)</f>
        <v>781.25</v>
      </c>
    </row>
    <row r="250" spans="1:7" ht="15" customHeight="1" x14ac:dyDescent="0.2">
      <c r="A250" s="34" t="str">
        <f>'① Timelog Input'!B73</f>
        <v>Farheen.F</v>
      </c>
      <c r="B250" s="34" t="str">
        <f>'① Timelog Input'!C73</f>
        <v>CAS-RT_2375</v>
      </c>
      <c r="C250" s="34" t="str">
        <f>'① Timelog Input'!T$3</f>
        <v>ABACUS BUSINESS SOLUTIONS, LLC</v>
      </c>
      <c r="D250" s="35">
        <f>'① Timelog Input'!T73</f>
        <v>0</v>
      </c>
      <c r="E250" s="34" t="str">
        <f>'① Timelog Input'!H73</f>
        <v>Accounting</v>
      </c>
      <c r="F250" s="36" t="str">
        <f t="shared" si="3"/>
        <v>NO</v>
      </c>
      <c r="G250" s="35">
        <f>IFERROR(VLOOKUP(B250,'② Salary Input'!A:V,14,FALSE())/Settings!B6,0)</f>
        <v>246.875</v>
      </c>
    </row>
    <row r="251" spans="1:7" ht="15" customHeight="1" x14ac:dyDescent="0.2">
      <c r="A251" s="34" t="str">
        <f>'① Timelog Input'!B73</f>
        <v>Farheen.F</v>
      </c>
      <c r="B251" s="34" t="str">
        <f>'① Timelog Input'!C73</f>
        <v>CAS-RT_2375</v>
      </c>
      <c r="C251" s="34" t="str">
        <f>'① Timelog Input'!AI$3</f>
        <v>CLOUDIT</v>
      </c>
      <c r="D251" s="35">
        <f>'① Timelog Input'!AI73</f>
        <v>12.25</v>
      </c>
      <c r="E251" s="34" t="str">
        <f>'① Timelog Input'!H73</f>
        <v>Accounting</v>
      </c>
      <c r="F251" s="36" t="str">
        <f t="shared" si="3"/>
        <v>NO</v>
      </c>
      <c r="G251" s="35">
        <f>IFERROR(VLOOKUP(B251,'② Salary Input'!A:V,14,FALSE())/Settings!B6,0)</f>
        <v>246.875</v>
      </c>
    </row>
    <row r="252" spans="1:7" ht="15" customHeight="1" x14ac:dyDescent="0.2">
      <c r="A252" s="34" t="str">
        <f>'① Timelog Input'!B74</f>
        <v>Megha.J</v>
      </c>
      <c r="B252" s="34" t="str">
        <f>'① Timelog Input'!C74</f>
        <v>CAS-RT_2376</v>
      </c>
      <c r="C252" s="34" t="str">
        <f>'① Timelog Input'!BY$3</f>
        <v>TRI SCAPES</v>
      </c>
      <c r="D252" s="35">
        <f>'① Timelog Input'!BY74</f>
        <v>0</v>
      </c>
      <c r="E252" s="34" t="str">
        <f>'① Timelog Input'!H74</f>
        <v>Accounting</v>
      </c>
      <c r="F252" s="36" t="str">
        <f t="shared" si="3"/>
        <v>NO</v>
      </c>
      <c r="G252" s="35">
        <f>IFERROR(VLOOKUP(B252,'② Salary Input'!A:V,14,FALSE())/Settings!B6,0)</f>
        <v>283.05</v>
      </c>
    </row>
    <row r="253" spans="1:7" ht="15" customHeight="1" x14ac:dyDescent="0.2">
      <c r="A253" s="34" t="str">
        <f>'① Timelog Input'!B75</f>
        <v>Prachi.G</v>
      </c>
      <c r="B253" s="34" t="str">
        <f>'① Timelog Input'!C75</f>
        <v>CAS-IH_1161</v>
      </c>
      <c r="C253" s="34" t="str">
        <f>'① Timelog Input'!AA$3</f>
        <v>BORISTAX INC</v>
      </c>
      <c r="D253" s="35">
        <f>'① Timelog Input'!AA75</f>
        <v>0</v>
      </c>
      <c r="E253" s="34" t="str">
        <f>'① Timelog Input'!H75</f>
        <v>FP&amp;A</v>
      </c>
      <c r="F253" s="36" t="str">
        <f t="shared" si="3"/>
        <v>NO</v>
      </c>
      <c r="G253" s="35">
        <f>IFERROR(VLOOKUP(B253,'② Salary Input'!A:V,14,FALSE())/Settings!B6,0)</f>
        <v>1979.16875</v>
      </c>
    </row>
    <row r="254" spans="1:7" ht="15" customHeight="1" x14ac:dyDescent="0.2">
      <c r="A254" s="34" t="str">
        <f>'① Timelog Input'!B75</f>
        <v>Prachi.G</v>
      </c>
      <c r="B254" s="34" t="str">
        <f>'① Timelog Input'!C75</f>
        <v>CAS-IH_1161</v>
      </c>
      <c r="C254" s="34" t="str">
        <f>'① Timelog Input'!AI$3</f>
        <v>CLOUDIT</v>
      </c>
      <c r="D254" s="35">
        <f>'① Timelog Input'!AI75</f>
        <v>0</v>
      </c>
      <c r="E254" s="34" t="str">
        <f>'① Timelog Input'!H75</f>
        <v>FP&amp;A</v>
      </c>
      <c r="F254" s="36" t="str">
        <f t="shared" si="3"/>
        <v>NO</v>
      </c>
      <c r="G254" s="35">
        <f>IFERROR(VLOOKUP(B254,'② Salary Input'!A:V,14,FALSE())/Settings!B6,0)</f>
        <v>1979.16875</v>
      </c>
    </row>
    <row r="255" spans="1:7" ht="23.25" customHeight="1" x14ac:dyDescent="0.2">
      <c r="A255" s="34" t="str">
        <f>'① Timelog Input'!B75</f>
        <v>Prachi.G</v>
      </c>
      <c r="B255" s="34" t="str">
        <f>'① Timelog Input'!C75</f>
        <v>CAS-IH_1161</v>
      </c>
      <c r="C255" s="34" t="str">
        <f>'① Timelog Input'!AS$3</f>
        <v>INNOVATIVE CONSULTING &amp; SOLUTIONS, LLC</v>
      </c>
      <c r="D255" s="35">
        <f>'① Timelog Input'!AS75</f>
        <v>0</v>
      </c>
      <c r="E255" s="34" t="str">
        <f>'① Timelog Input'!H75</f>
        <v>FP&amp;A</v>
      </c>
      <c r="F255" s="36" t="str">
        <f t="shared" si="3"/>
        <v>NO</v>
      </c>
      <c r="G255" s="35">
        <f>IFERROR(VLOOKUP(B255,'② Salary Input'!A:V,14,FALSE())/Settings!B6,0)</f>
        <v>1979.16875</v>
      </c>
    </row>
    <row r="256" spans="1:7" ht="15" customHeight="1" x14ac:dyDescent="0.2">
      <c r="A256" s="34" t="str">
        <f>'① Timelog Input'!B75</f>
        <v>Prachi.G</v>
      </c>
      <c r="B256" s="34" t="str">
        <f>'① Timelog Input'!C75</f>
        <v>CAS-IH_1161</v>
      </c>
      <c r="C256" s="34" t="str">
        <f>'① Timelog Input'!BE$3</f>
        <v>NATIONAL TAX CENTERS, LLC</v>
      </c>
      <c r="D256" s="35">
        <f>'① Timelog Input'!BE75</f>
        <v>0</v>
      </c>
      <c r="E256" s="34" t="str">
        <f>'① Timelog Input'!H75</f>
        <v>FP&amp;A</v>
      </c>
      <c r="F256" s="36" t="str">
        <f t="shared" si="3"/>
        <v>NO</v>
      </c>
      <c r="G256" s="35">
        <f>IFERROR(VLOOKUP(B256,'② Salary Input'!A:V,14,FALSE())/Settings!B6,0)</f>
        <v>1979.16875</v>
      </c>
    </row>
    <row r="257" spans="1:7" ht="15" customHeight="1" x14ac:dyDescent="0.2">
      <c r="A257" s="34" t="str">
        <f>'① Timelog Input'!B75</f>
        <v>Prachi.G</v>
      </c>
      <c r="B257" s="34" t="str">
        <f>'① Timelog Input'!C75</f>
        <v>CAS-IH_1161</v>
      </c>
      <c r="C257" s="34" t="str">
        <f>'① Timelog Input'!BH$3</f>
        <v>NUMBER NUTTZ CONSULTING</v>
      </c>
      <c r="D257" s="35">
        <f>'① Timelog Input'!BH75</f>
        <v>0</v>
      </c>
      <c r="E257" s="34" t="str">
        <f>'① Timelog Input'!H75</f>
        <v>FP&amp;A</v>
      </c>
      <c r="F257" s="36" t="str">
        <f t="shared" si="3"/>
        <v>NO</v>
      </c>
      <c r="G257" s="35">
        <f>IFERROR(VLOOKUP(B257,'② Salary Input'!A:V,14,FALSE())/Settings!B6,0)</f>
        <v>1979.16875</v>
      </c>
    </row>
    <row r="258" spans="1:7" ht="15" customHeight="1" x14ac:dyDescent="0.2">
      <c r="A258" s="34" t="str">
        <f>'① Timelog Input'!B76</f>
        <v>Itee.S</v>
      </c>
      <c r="B258" s="34" t="str">
        <f>'① Timelog Input'!C76</f>
        <v>CAS-RT_2382</v>
      </c>
      <c r="C258" s="34" t="str">
        <f>'① Timelog Input'!AI$3</f>
        <v>CLOUDIT</v>
      </c>
      <c r="D258" s="35">
        <f>'① Timelog Input'!AI76</f>
        <v>1.32</v>
      </c>
      <c r="E258" s="34" t="str">
        <f>'① Timelog Input'!H76</f>
        <v>Accounting</v>
      </c>
      <c r="F258" s="36" t="str">
        <f t="shared" si="3"/>
        <v>NO</v>
      </c>
      <c r="G258" s="35">
        <f>IFERROR(VLOOKUP(B258,'② Salary Input'!A:V,14,FALSE())/Settings!B6,0)</f>
        <v>208.51875000000001</v>
      </c>
    </row>
    <row r="259" spans="1:7" ht="15" customHeight="1" x14ac:dyDescent="0.2">
      <c r="A259" s="34" t="str">
        <f>'① Timelog Input'!B77</f>
        <v>Anushka.G</v>
      </c>
      <c r="B259" s="34" t="str">
        <f>'① Timelog Input'!C77</f>
        <v>CAS-RT_2383</v>
      </c>
      <c r="C259" s="34" t="str">
        <f>'① Timelog Input'!AA$3</f>
        <v>BORISTAX INC</v>
      </c>
      <c r="D259" s="35">
        <f>'① Timelog Input'!AA77</f>
        <v>0</v>
      </c>
      <c r="E259" s="34" t="str">
        <f>'① Timelog Input'!H77</f>
        <v>L&amp;D</v>
      </c>
      <c r="F259" s="36" t="str">
        <f t="shared" si="3"/>
        <v>NO</v>
      </c>
      <c r="G259" s="35">
        <f>IFERROR(VLOOKUP(B259,'② Salary Input'!A:V,14,FALSE())/Settings!B6,0)</f>
        <v>207.5</v>
      </c>
    </row>
    <row r="260" spans="1:7" ht="15" customHeight="1" x14ac:dyDescent="0.2">
      <c r="A260" s="34" t="str">
        <f>'① Timelog Input'!B77</f>
        <v>Anushka.G</v>
      </c>
      <c r="B260" s="34" t="str">
        <f>'① Timelog Input'!C77</f>
        <v>CAS-RT_2383</v>
      </c>
      <c r="C260" s="34" t="str">
        <f>'① Timelog Input'!AI$3</f>
        <v>CLOUDIT</v>
      </c>
      <c r="D260" s="35">
        <f>'① Timelog Input'!AI77</f>
        <v>162</v>
      </c>
      <c r="E260" s="34" t="str">
        <f>'① Timelog Input'!H77</f>
        <v>L&amp;D</v>
      </c>
      <c r="F260" s="36" t="str">
        <f t="shared" ref="F260:F323" si="4">IF(OR(E260="HR",E260="IT",E260="Marketing"),"YES","NO")</f>
        <v>NO</v>
      </c>
      <c r="G260" s="35">
        <f>IFERROR(VLOOKUP(B260,'② Salary Input'!A:V,14,FALSE())/Settings!B6,0)</f>
        <v>207.5</v>
      </c>
    </row>
    <row r="261" spans="1:7" ht="23.25" customHeight="1" x14ac:dyDescent="0.2">
      <c r="A261" s="34" t="str">
        <f>'① Timelog Input'!B77</f>
        <v>Anushka.G</v>
      </c>
      <c r="B261" s="34" t="str">
        <f>'① Timelog Input'!C77</f>
        <v>CAS-RT_2383</v>
      </c>
      <c r="C261" s="34" t="str">
        <f>'① Timelog Input'!AS$3</f>
        <v>INNOVATIVE CONSULTING &amp; SOLUTIONS, LLC</v>
      </c>
      <c r="D261" s="35">
        <f>'① Timelog Input'!AS77</f>
        <v>0</v>
      </c>
      <c r="E261" s="34" t="str">
        <f>'① Timelog Input'!H77</f>
        <v>L&amp;D</v>
      </c>
      <c r="F261" s="36" t="str">
        <f t="shared" si="4"/>
        <v>NO</v>
      </c>
      <c r="G261" s="35">
        <f>IFERROR(VLOOKUP(B261,'② Salary Input'!A:V,14,FALSE())/Settings!B6,0)</f>
        <v>207.5</v>
      </c>
    </row>
    <row r="262" spans="1:7" ht="15" customHeight="1" x14ac:dyDescent="0.2">
      <c r="A262" s="34" t="str">
        <f>'① Timelog Input'!B77</f>
        <v>Anushka.G</v>
      </c>
      <c r="B262" s="34" t="str">
        <f>'① Timelog Input'!C77</f>
        <v>CAS-RT_2383</v>
      </c>
      <c r="C262" s="34" t="str">
        <f>'① Timelog Input'!BE$3</f>
        <v>NATIONAL TAX CENTERS, LLC</v>
      </c>
      <c r="D262" s="35">
        <f>'① Timelog Input'!BE77</f>
        <v>0</v>
      </c>
      <c r="E262" s="34" t="str">
        <f>'① Timelog Input'!H77</f>
        <v>L&amp;D</v>
      </c>
      <c r="F262" s="36" t="str">
        <f t="shared" si="4"/>
        <v>NO</v>
      </c>
      <c r="G262" s="35">
        <f>IFERROR(VLOOKUP(B262,'② Salary Input'!A:V,14,FALSE())/Settings!B6,0)</f>
        <v>207.5</v>
      </c>
    </row>
    <row r="263" spans="1:7" ht="15" customHeight="1" x14ac:dyDescent="0.2">
      <c r="A263" s="34" t="str">
        <f>'① Timelog Input'!B78</f>
        <v>Priyanka.M</v>
      </c>
      <c r="B263" s="34" t="str">
        <f>'① Timelog Input'!C78</f>
        <v>CAS-RT_2384</v>
      </c>
      <c r="C263" s="34" t="str">
        <f>'① Timelog Input'!U$3</f>
        <v>ACE CPA</v>
      </c>
      <c r="D263" s="35">
        <f>'① Timelog Input'!U78</f>
        <v>0</v>
      </c>
      <c r="E263" s="34" t="str">
        <f>'① Timelog Input'!H78</f>
        <v>Accounting</v>
      </c>
      <c r="F263" s="36" t="str">
        <f t="shared" si="4"/>
        <v>NO</v>
      </c>
      <c r="G263" s="35">
        <f>IFERROR(VLOOKUP(B263,'② Salary Input'!A:V,14,FALSE())/Settings!B6,0)</f>
        <v>395.5</v>
      </c>
    </row>
    <row r="264" spans="1:7" ht="15" customHeight="1" x14ac:dyDescent="0.2">
      <c r="A264" s="34" t="str">
        <f>'① Timelog Input'!B78</f>
        <v>Priyanka.M</v>
      </c>
      <c r="B264" s="34" t="str">
        <f>'① Timelog Input'!C78</f>
        <v>CAS-RT_2384</v>
      </c>
      <c r="C264" s="34" t="str">
        <f>'① Timelog Input'!AI$3</f>
        <v>CLOUDIT</v>
      </c>
      <c r="D264" s="35">
        <f>'① Timelog Input'!AI78</f>
        <v>3</v>
      </c>
      <c r="E264" s="34" t="str">
        <f>'① Timelog Input'!H78</f>
        <v>Accounting</v>
      </c>
      <c r="F264" s="36" t="str">
        <f t="shared" si="4"/>
        <v>NO</v>
      </c>
      <c r="G264" s="35">
        <f>IFERROR(VLOOKUP(B264,'② Salary Input'!A:V,14,FALSE())/Settings!B6,0)</f>
        <v>395.5</v>
      </c>
    </row>
    <row r="265" spans="1:7" ht="15" customHeight="1" x14ac:dyDescent="0.2">
      <c r="A265" s="34" t="str">
        <f>'① Timelog Input'!B78</f>
        <v>Priyanka.M</v>
      </c>
      <c r="B265" s="34" t="str">
        <f>'① Timelog Input'!C78</f>
        <v>CAS-RT_2384</v>
      </c>
      <c r="C265" s="34" t="str">
        <f>'① Timelog Input'!BJ$3</f>
        <v>PORCHEA &amp; LOTT ACCOUNTING</v>
      </c>
      <c r="D265" s="35">
        <f>'① Timelog Input'!BJ78</f>
        <v>0</v>
      </c>
      <c r="E265" s="34" t="str">
        <f>'① Timelog Input'!H78</f>
        <v>Accounting</v>
      </c>
      <c r="F265" s="36" t="str">
        <f t="shared" si="4"/>
        <v>NO</v>
      </c>
      <c r="G265" s="35">
        <f>IFERROR(VLOOKUP(B265,'② Salary Input'!A:V,14,FALSE())/Settings!B6,0)</f>
        <v>395.5</v>
      </c>
    </row>
    <row r="266" spans="1:7" ht="15" customHeight="1" x14ac:dyDescent="0.2">
      <c r="A266" s="34" t="str">
        <f>'① Timelog Input'!B79</f>
        <v>Raj.B</v>
      </c>
      <c r="B266" s="34" t="str">
        <f>'① Timelog Input'!C79</f>
        <v>CAS-RT_2385</v>
      </c>
      <c r="C266" s="34" t="str">
        <f>'① Timelog Input'!U$3</f>
        <v>ACE CPA</v>
      </c>
      <c r="D266" s="35">
        <f>'① Timelog Input'!U79</f>
        <v>152.57</v>
      </c>
      <c r="E266" s="34" t="str">
        <f>'① Timelog Input'!H79</f>
        <v>Accounting</v>
      </c>
      <c r="F266" s="36" t="str">
        <f t="shared" si="4"/>
        <v>NO</v>
      </c>
      <c r="G266" s="35">
        <f>IFERROR(VLOOKUP(B266,'② Salary Input'!A:V,14,FALSE())/Settings!B6,0)</f>
        <v>256.76875000000001</v>
      </c>
    </row>
    <row r="267" spans="1:7" ht="15" customHeight="1" x14ac:dyDescent="0.2">
      <c r="A267" s="34" t="str">
        <f>'① Timelog Input'!B79</f>
        <v>Raj.B</v>
      </c>
      <c r="B267" s="34" t="str">
        <f>'① Timelog Input'!C79</f>
        <v>CAS-RT_2385</v>
      </c>
      <c r="C267" s="34" t="str">
        <f>'① Timelog Input'!AI$3</f>
        <v>CLOUDIT</v>
      </c>
      <c r="D267" s="35">
        <f>'① Timelog Input'!AI79</f>
        <v>5.25</v>
      </c>
      <c r="E267" s="34" t="str">
        <f>'① Timelog Input'!H79</f>
        <v>Accounting</v>
      </c>
      <c r="F267" s="36" t="str">
        <f t="shared" si="4"/>
        <v>NO</v>
      </c>
      <c r="G267" s="35">
        <f>IFERROR(VLOOKUP(B267,'② Salary Input'!A:V,14,FALSE())/Settings!B6,0)</f>
        <v>256.76875000000001</v>
      </c>
    </row>
    <row r="268" spans="1:7" ht="15" customHeight="1" x14ac:dyDescent="0.2">
      <c r="A268" s="34" t="str">
        <f>'① Timelog Input'!B79</f>
        <v>Raj.B</v>
      </c>
      <c r="B268" s="34" t="str">
        <f>'① Timelog Input'!C79</f>
        <v>CAS-RT_2385</v>
      </c>
      <c r="C268" s="34" t="str">
        <f>'① Timelog Input'!AZ$3</f>
        <v>MARTIN D. EISENSTEIN, CPA</v>
      </c>
      <c r="D268" s="35">
        <f>'① Timelog Input'!AZ79</f>
        <v>0</v>
      </c>
      <c r="E268" s="34" t="str">
        <f>'① Timelog Input'!H79</f>
        <v>Accounting</v>
      </c>
      <c r="F268" s="36" t="str">
        <f t="shared" si="4"/>
        <v>NO</v>
      </c>
      <c r="G268" s="35">
        <f>IFERROR(VLOOKUP(B268,'② Salary Input'!A:V,14,FALSE())/Settings!B6,0)</f>
        <v>256.76875000000001</v>
      </c>
    </row>
    <row r="269" spans="1:7" ht="15" customHeight="1" x14ac:dyDescent="0.2">
      <c r="A269" s="34" t="str">
        <f>'① Timelog Input'!B79</f>
        <v>Raj.B</v>
      </c>
      <c r="B269" s="34" t="str">
        <f>'① Timelog Input'!C79</f>
        <v>CAS-RT_2385</v>
      </c>
      <c r="C269" s="34" t="str">
        <f>'① Timelog Input'!BV$3</f>
        <v>THE TAX CUTTERY</v>
      </c>
      <c r="D269" s="35">
        <f>'① Timelog Input'!BV79</f>
        <v>0</v>
      </c>
      <c r="E269" s="34" t="str">
        <f>'① Timelog Input'!H79</f>
        <v>Accounting</v>
      </c>
      <c r="F269" s="36" t="str">
        <f t="shared" si="4"/>
        <v>NO</v>
      </c>
      <c r="G269" s="35">
        <f>IFERROR(VLOOKUP(B269,'② Salary Input'!A:V,14,FALSE())/Settings!B6,0)</f>
        <v>256.76875000000001</v>
      </c>
    </row>
    <row r="270" spans="1:7" ht="15" customHeight="1" x14ac:dyDescent="0.2">
      <c r="A270" s="34" t="str">
        <f>'① Timelog Input'!B79</f>
        <v>Raj.B</v>
      </c>
      <c r="B270" s="34" t="str">
        <f>'① Timelog Input'!C79</f>
        <v>CAS-RT_2385</v>
      </c>
      <c r="C270" s="34" t="str">
        <f>'① Timelog Input'!BW$3</f>
        <v>THINKING MAPS, INC.</v>
      </c>
      <c r="D270" s="35">
        <f>'① Timelog Input'!BW79</f>
        <v>0</v>
      </c>
      <c r="E270" s="34" t="str">
        <f>'① Timelog Input'!H79</f>
        <v>Accounting</v>
      </c>
      <c r="F270" s="36" t="str">
        <f t="shared" si="4"/>
        <v>NO</v>
      </c>
      <c r="G270" s="35">
        <f>IFERROR(VLOOKUP(B270,'② Salary Input'!A:V,14,FALSE())/Settings!B6,0)</f>
        <v>256.76875000000001</v>
      </c>
    </row>
    <row r="271" spans="1:7" ht="15" customHeight="1" x14ac:dyDescent="0.2">
      <c r="A271" s="34" t="str">
        <f>'① Timelog Input'!B80</f>
        <v>Chhavi.S</v>
      </c>
      <c r="B271" s="34" t="str">
        <f>'① Timelog Input'!C80</f>
        <v>CAS-RT_2386</v>
      </c>
      <c r="C271" s="34" t="str">
        <f>'① Timelog Input'!Y$3</f>
        <v>ANCIENT CITY ACCOUNTING LLC</v>
      </c>
      <c r="D271" s="35">
        <f>'① Timelog Input'!Y80</f>
        <v>0</v>
      </c>
      <c r="E271" s="34" t="str">
        <f>'① Timelog Input'!H80</f>
        <v>Accounting, VA</v>
      </c>
      <c r="F271" s="36" t="str">
        <f t="shared" si="4"/>
        <v>NO</v>
      </c>
      <c r="G271" s="35">
        <f>IFERROR(VLOOKUP(B271,'② Salary Input'!A:V,14,FALSE())/Settings!B6,0)</f>
        <v>179.89375000000001</v>
      </c>
    </row>
    <row r="272" spans="1:7" ht="15" customHeight="1" x14ac:dyDescent="0.2">
      <c r="A272" s="34" t="str">
        <f>'① Timelog Input'!B80</f>
        <v>Chhavi.S</v>
      </c>
      <c r="B272" s="34" t="str">
        <f>'① Timelog Input'!C80</f>
        <v>CAS-RT_2386</v>
      </c>
      <c r="C272" s="34" t="str">
        <f>'① Timelog Input'!AE$3</f>
        <v>CASCFO Advisory- United States</v>
      </c>
      <c r="D272" s="35">
        <f>'① Timelog Input'!AE80</f>
        <v>0</v>
      </c>
      <c r="E272" s="34" t="str">
        <f>'① Timelog Input'!H80</f>
        <v>Accounting, VA</v>
      </c>
      <c r="F272" s="36" t="str">
        <f t="shared" si="4"/>
        <v>NO</v>
      </c>
      <c r="G272" s="35">
        <f>IFERROR(VLOOKUP(B272,'② Salary Input'!A:V,14,FALSE())/Settings!B6,0)</f>
        <v>179.89375000000001</v>
      </c>
    </row>
    <row r="273" spans="1:7" ht="15" customHeight="1" x14ac:dyDescent="0.2">
      <c r="A273" s="34" t="str">
        <f>'① Timelog Input'!B80</f>
        <v>Chhavi.S</v>
      </c>
      <c r="B273" s="34" t="str">
        <f>'① Timelog Input'!C80</f>
        <v>CAS-RT_2386</v>
      </c>
      <c r="C273" s="34" t="str">
        <f>'① Timelog Input'!AI$3</f>
        <v>CLOUDIT</v>
      </c>
      <c r="D273" s="35">
        <f>'① Timelog Input'!AI80</f>
        <v>3.33</v>
      </c>
      <c r="E273" s="34" t="str">
        <f>'① Timelog Input'!H80</f>
        <v>Accounting, VA</v>
      </c>
      <c r="F273" s="36" t="str">
        <f t="shared" si="4"/>
        <v>NO</v>
      </c>
      <c r="G273" s="35">
        <f>IFERROR(VLOOKUP(B273,'② Salary Input'!A:V,14,FALSE())/Settings!B6,0)</f>
        <v>179.89375000000001</v>
      </c>
    </row>
    <row r="274" spans="1:7" ht="15" customHeight="1" x14ac:dyDescent="0.2">
      <c r="A274" s="34" t="str">
        <f>'① Timelog Input'!B80</f>
        <v>Chhavi.S</v>
      </c>
      <c r="B274" s="34" t="str">
        <f>'① Timelog Input'!C80</f>
        <v>CAS-RT_2386</v>
      </c>
      <c r="C274" s="34" t="str">
        <f>'① Timelog Input'!AQ$3</f>
        <v>HIA TAX</v>
      </c>
      <c r="D274" s="35">
        <f>'① Timelog Input'!AQ80</f>
        <v>0</v>
      </c>
      <c r="E274" s="34" t="str">
        <f>'① Timelog Input'!H80</f>
        <v>Accounting, VA</v>
      </c>
      <c r="F274" s="36" t="str">
        <f t="shared" si="4"/>
        <v>NO</v>
      </c>
      <c r="G274" s="35">
        <f>IFERROR(VLOOKUP(B274,'② Salary Input'!A:V,14,FALSE())/Settings!B6,0)</f>
        <v>179.89375000000001</v>
      </c>
    </row>
    <row r="275" spans="1:7" ht="15" customHeight="1" x14ac:dyDescent="0.2">
      <c r="A275" s="34" t="str">
        <f>'① Timelog Input'!B80</f>
        <v>Chhavi.S</v>
      </c>
      <c r="B275" s="34" t="str">
        <f>'① Timelog Input'!C80</f>
        <v>CAS-RT_2386</v>
      </c>
      <c r="C275" s="34" t="str">
        <f>'① Timelog Input'!BG$3</f>
        <v>NEWELL TAYLOR CPA</v>
      </c>
      <c r="D275" s="35">
        <f>'① Timelog Input'!BG80</f>
        <v>0</v>
      </c>
      <c r="E275" s="34" t="str">
        <f>'① Timelog Input'!H80</f>
        <v>Accounting, VA</v>
      </c>
      <c r="F275" s="36" t="str">
        <f t="shared" si="4"/>
        <v>NO</v>
      </c>
      <c r="G275" s="35">
        <f>IFERROR(VLOOKUP(B275,'② Salary Input'!A:V,14,FALSE())/Settings!B6,0)</f>
        <v>179.89375000000001</v>
      </c>
    </row>
    <row r="276" spans="1:7" ht="15" customHeight="1" x14ac:dyDescent="0.2">
      <c r="A276" s="34" t="str">
        <f>'① Timelog Input'!B80</f>
        <v>Chhavi.S</v>
      </c>
      <c r="B276" s="34" t="str">
        <f>'① Timelog Input'!C80</f>
        <v>CAS-RT_2386</v>
      </c>
      <c r="C276" s="34" t="str">
        <f>'① Timelog Input'!BO$3</f>
        <v>RRAW CPA LLP</v>
      </c>
      <c r="D276" s="35">
        <f>'① Timelog Input'!BO80</f>
        <v>0</v>
      </c>
      <c r="E276" s="34" t="str">
        <f>'① Timelog Input'!H80</f>
        <v>Accounting, VA</v>
      </c>
      <c r="F276" s="36" t="str">
        <f t="shared" si="4"/>
        <v>NO</v>
      </c>
      <c r="G276" s="35">
        <f>IFERROR(VLOOKUP(B276,'② Salary Input'!A:V,14,FALSE())/Settings!B6,0)</f>
        <v>179.89375000000001</v>
      </c>
    </row>
    <row r="277" spans="1:7" ht="15" customHeight="1" x14ac:dyDescent="0.2">
      <c r="A277" s="34" t="str">
        <f>'① Timelog Input'!B81</f>
        <v>Surbhi.A</v>
      </c>
      <c r="B277" s="34" t="str">
        <f>'① Timelog Input'!C81</f>
        <v>CAS-RT_2390</v>
      </c>
      <c r="C277" s="34" t="str">
        <f>'① Timelog Input'!AI$3</f>
        <v>CLOUDIT</v>
      </c>
      <c r="D277" s="35">
        <f>'① Timelog Input'!AI81</f>
        <v>9.75</v>
      </c>
      <c r="E277" s="34" t="str">
        <f>'① Timelog Input'!H81</f>
        <v>Accounting</v>
      </c>
      <c r="F277" s="36" t="str">
        <f t="shared" si="4"/>
        <v>NO</v>
      </c>
      <c r="G277" s="35">
        <f>IFERROR(VLOOKUP(B277,'② Salary Input'!A:V,14,FALSE())/Settings!B6,0)</f>
        <v>346.71875</v>
      </c>
    </row>
    <row r="278" spans="1:7" ht="15" customHeight="1" x14ac:dyDescent="0.2">
      <c r="A278" s="34" t="str">
        <f>'① Timelog Input'!B82</f>
        <v>Jatin.S</v>
      </c>
      <c r="B278" s="34" t="str">
        <f>'① Timelog Input'!C82</f>
        <v>CAS-IH_1165</v>
      </c>
      <c r="C278" s="34" t="str">
        <f>'① Timelog Input'!AI$3</f>
        <v>CLOUDIT</v>
      </c>
      <c r="D278" s="35">
        <f>'① Timelog Input'!AI82</f>
        <v>139</v>
      </c>
      <c r="E278" s="34" t="str">
        <f>'① Timelog Input'!H82</f>
        <v>FP&amp;A</v>
      </c>
      <c r="F278" s="36" t="str">
        <f t="shared" si="4"/>
        <v>NO</v>
      </c>
      <c r="G278" s="35">
        <f>IFERROR(VLOOKUP(B278,'② Salary Input'!A:V,14,FALSE())/Settings!B6,0)</f>
        <v>1302.0875000000001</v>
      </c>
    </row>
    <row r="279" spans="1:7" ht="15" customHeight="1" x14ac:dyDescent="0.2">
      <c r="A279" s="34" t="str">
        <f>'① Timelog Input'!B84</f>
        <v>Harsh.G</v>
      </c>
      <c r="B279" s="34" t="str">
        <f>'① Timelog Input'!C84</f>
        <v>CAS-RT_2392</v>
      </c>
      <c r="C279" s="34" t="str">
        <f>'① Timelog Input'!R$3</f>
        <v>4P TAXES LLC</v>
      </c>
      <c r="D279" s="35">
        <f>'① Timelog Input'!R84</f>
        <v>0</v>
      </c>
      <c r="E279" s="34" t="str">
        <f>'① Timelog Input'!H84</f>
        <v>Accounting</v>
      </c>
      <c r="F279" s="36" t="str">
        <f t="shared" si="4"/>
        <v>NO</v>
      </c>
      <c r="G279" s="35">
        <f>IFERROR(VLOOKUP(B279,'② Salary Input'!A:V,14,FALSE())/Settings!B6,0)</f>
        <v>93.674999999999997</v>
      </c>
    </row>
    <row r="280" spans="1:7" ht="15" customHeight="1" x14ac:dyDescent="0.2">
      <c r="A280" s="34" t="str">
        <f>'① Timelog Input'!B84</f>
        <v>Harsh.G</v>
      </c>
      <c r="B280" s="34" t="str">
        <f>'① Timelog Input'!C84</f>
        <v>CAS-RT_2392</v>
      </c>
      <c r="C280" s="34" t="str">
        <f>'① Timelog Input'!AB$3</f>
        <v>BRADLEY FINANCIAL SERVICES LLC</v>
      </c>
      <c r="D280" s="35">
        <f>'① Timelog Input'!AB84</f>
        <v>0</v>
      </c>
      <c r="E280" s="34" t="str">
        <f>'① Timelog Input'!H84</f>
        <v>Accounting</v>
      </c>
      <c r="F280" s="36" t="str">
        <f t="shared" si="4"/>
        <v>NO</v>
      </c>
      <c r="G280" s="35">
        <f>IFERROR(VLOOKUP(B280,'② Salary Input'!A:V,14,FALSE())/Settings!B6,0)</f>
        <v>93.674999999999997</v>
      </c>
    </row>
    <row r="281" spans="1:7" ht="15" customHeight="1" x14ac:dyDescent="0.2">
      <c r="A281" s="34" t="str">
        <f>'① Timelog Input'!B84</f>
        <v>Harsh.G</v>
      </c>
      <c r="B281" s="34" t="str">
        <f>'① Timelog Input'!C84</f>
        <v>CAS-RT_2392</v>
      </c>
      <c r="C281" s="34" t="str">
        <f>'① Timelog Input'!AE$3</f>
        <v>CASCFO Advisory- United States</v>
      </c>
      <c r="D281" s="35">
        <f>'① Timelog Input'!AE84</f>
        <v>0</v>
      </c>
      <c r="E281" s="34" t="str">
        <f>'① Timelog Input'!H84</f>
        <v>Accounting</v>
      </c>
      <c r="F281" s="36" t="str">
        <f t="shared" si="4"/>
        <v>NO</v>
      </c>
      <c r="G281" s="35">
        <f>IFERROR(VLOOKUP(B281,'② Salary Input'!A:V,14,FALSE())/Settings!B6,0)</f>
        <v>93.674999999999997</v>
      </c>
    </row>
    <row r="282" spans="1:7" ht="15" customHeight="1" x14ac:dyDescent="0.2">
      <c r="A282" s="34" t="str">
        <f>'① Timelog Input'!B84</f>
        <v>Harsh.G</v>
      </c>
      <c r="B282" s="34" t="str">
        <f>'① Timelog Input'!C84</f>
        <v>CAS-RT_2392</v>
      </c>
      <c r="C282" s="34" t="str">
        <f>'① Timelog Input'!AI$3</f>
        <v>CLOUDIT</v>
      </c>
      <c r="D282" s="35">
        <f>'① Timelog Input'!AI84</f>
        <v>0</v>
      </c>
      <c r="E282" s="34" t="str">
        <f>'① Timelog Input'!H84</f>
        <v>Accounting</v>
      </c>
      <c r="F282" s="36" t="str">
        <f t="shared" si="4"/>
        <v>NO</v>
      </c>
      <c r="G282" s="35">
        <f>IFERROR(VLOOKUP(B282,'② Salary Input'!A:V,14,FALSE())/Settings!B6,0)</f>
        <v>93.674999999999997</v>
      </c>
    </row>
    <row r="283" spans="1:7" ht="15" customHeight="1" x14ac:dyDescent="0.2">
      <c r="A283" s="34" t="str">
        <f>'① Timelog Input'!B84</f>
        <v>Harsh.G</v>
      </c>
      <c r="B283" s="34" t="str">
        <f>'① Timelog Input'!C84</f>
        <v>CAS-RT_2392</v>
      </c>
      <c r="C283" s="34" t="str">
        <f>'① Timelog Input'!AL$3</f>
        <v>EVERMORE FINANCIAL SERVICES LLC</v>
      </c>
      <c r="D283" s="35">
        <f>'① Timelog Input'!AL84</f>
        <v>0</v>
      </c>
      <c r="E283" s="34" t="str">
        <f>'① Timelog Input'!H84</f>
        <v>Accounting</v>
      </c>
      <c r="F283" s="36" t="str">
        <f t="shared" si="4"/>
        <v>NO</v>
      </c>
      <c r="G283" s="35">
        <f>IFERROR(VLOOKUP(B283,'② Salary Input'!A:V,14,FALSE())/Settings!B6,0)</f>
        <v>93.674999999999997</v>
      </c>
    </row>
    <row r="284" spans="1:7" ht="15" customHeight="1" x14ac:dyDescent="0.2">
      <c r="A284" s="34" t="str">
        <f>'① Timelog Input'!B85</f>
        <v>Namya.S</v>
      </c>
      <c r="B284" s="34" t="str">
        <f>'① Timelog Input'!C85</f>
        <v>CAS-IH_1166</v>
      </c>
      <c r="C284" s="34" t="str">
        <f>'① Timelog Input'!AI$3</f>
        <v>CLOUDIT</v>
      </c>
      <c r="D284" s="35">
        <f>'① Timelog Input'!AI85</f>
        <v>10.08</v>
      </c>
      <c r="E284" s="34" t="str">
        <f>'① Timelog Input'!H85</f>
        <v>Accounting</v>
      </c>
      <c r="F284" s="36" t="str">
        <f t="shared" si="4"/>
        <v>NO</v>
      </c>
      <c r="G284" s="35">
        <f>IFERROR(VLOOKUP(B284,'② Salary Input'!A:V,14,FALSE())/Settings!B6,0)</f>
        <v>500</v>
      </c>
    </row>
    <row r="285" spans="1:7" ht="15" customHeight="1" x14ac:dyDescent="0.2">
      <c r="A285" s="34" t="str">
        <f>'① Timelog Input'!B85</f>
        <v>Namya.S</v>
      </c>
      <c r="B285" s="34" t="str">
        <f>'① Timelog Input'!C85</f>
        <v>CAS-IH_1166</v>
      </c>
      <c r="C285" s="34" t="str">
        <f>'① Timelog Input'!AO$3</f>
        <v>H J EDWARDS</v>
      </c>
      <c r="D285" s="35">
        <f>'① Timelog Input'!AO85</f>
        <v>0</v>
      </c>
      <c r="E285" s="34" t="str">
        <f>'① Timelog Input'!H85</f>
        <v>Accounting</v>
      </c>
      <c r="F285" s="36" t="str">
        <f t="shared" si="4"/>
        <v>NO</v>
      </c>
      <c r="G285" s="35">
        <f>IFERROR(VLOOKUP(B285,'② Salary Input'!A:V,14,FALSE())/Settings!B6,0)</f>
        <v>500</v>
      </c>
    </row>
    <row r="286" spans="1:7" ht="15" customHeight="1" x14ac:dyDescent="0.2">
      <c r="A286" s="34" t="str">
        <f>'① Timelog Input'!B85</f>
        <v>Namya.S</v>
      </c>
      <c r="B286" s="34" t="str">
        <f>'① Timelog Input'!C85</f>
        <v>CAS-IH_1166</v>
      </c>
      <c r="C286" s="34" t="str">
        <f>'① Timelog Input'!AV$3</f>
        <v>JOHNSON &amp; ROBINSON LLC</v>
      </c>
      <c r="D286" s="35">
        <f>'① Timelog Input'!AV85</f>
        <v>0</v>
      </c>
      <c r="E286" s="34" t="str">
        <f>'① Timelog Input'!H85</f>
        <v>Accounting</v>
      </c>
      <c r="F286" s="36" t="str">
        <f t="shared" si="4"/>
        <v>NO</v>
      </c>
      <c r="G286" s="35">
        <f>IFERROR(VLOOKUP(B286,'② Salary Input'!A:V,14,FALSE())/Settings!B6,0)</f>
        <v>500</v>
      </c>
    </row>
    <row r="287" spans="1:7" ht="15" customHeight="1" x14ac:dyDescent="0.2">
      <c r="A287" s="34" t="str">
        <f>'① Timelog Input'!B85</f>
        <v>Namya.S</v>
      </c>
      <c r="B287" s="34" t="str">
        <f>'① Timelog Input'!C85</f>
        <v>CAS-IH_1166</v>
      </c>
      <c r="C287" s="34" t="str">
        <f>'① Timelog Input'!AW$3</f>
        <v>LEANCORP ACCOUNTING</v>
      </c>
      <c r="D287" s="35">
        <f>'① Timelog Input'!AW85</f>
        <v>0</v>
      </c>
      <c r="E287" s="34" t="str">
        <f>'① Timelog Input'!H85</f>
        <v>Accounting</v>
      </c>
      <c r="F287" s="36" t="str">
        <f t="shared" si="4"/>
        <v>NO</v>
      </c>
      <c r="G287" s="35">
        <f>IFERROR(VLOOKUP(B287,'② Salary Input'!A:V,14,FALSE())/Settings!B6,0)</f>
        <v>500</v>
      </c>
    </row>
    <row r="288" spans="1:7" ht="15" customHeight="1" x14ac:dyDescent="0.2">
      <c r="A288" s="34" t="str">
        <f>'① Timelog Input'!B85</f>
        <v>Namya.S</v>
      </c>
      <c r="B288" s="34" t="str">
        <f>'① Timelog Input'!C85</f>
        <v>CAS-IH_1166</v>
      </c>
      <c r="C288" s="34" t="str">
        <f>'① Timelog Input'!BL$3</f>
        <v>PW ADVISORS LLC</v>
      </c>
      <c r="D288" s="35">
        <f>'① Timelog Input'!BL85</f>
        <v>0</v>
      </c>
      <c r="E288" s="34" t="str">
        <f>'① Timelog Input'!H85</f>
        <v>Accounting</v>
      </c>
      <c r="F288" s="36" t="str">
        <f t="shared" si="4"/>
        <v>NO</v>
      </c>
      <c r="G288" s="35">
        <f>IFERROR(VLOOKUP(B288,'② Salary Input'!A:V,14,FALSE())/Settings!B6,0)</f>
        <v>500</v>
      </c>
    </row>
    <row r="289" spans="1:7" ht="15" customHeight="1" x14ac:dyDescent="0.2">
      <c r="A289" s="34" t="str">
        <f>'① Timelog Input'!B85</f>
        <v>Namya.S</v>
      </c>
      <c r="B289" s="34" t="str">
        <f>'① Timelog Input'!C85</f>
        <v>CAS-IH_1166</v>
      </c>
      <c r="C289" s="34" t="str">
        <f>'① Timelog Input'!CB$3</f>
        <v>WIGGS CPA TAX &amp; ACCOUNTING</v>
      </c>
      <c r="D289" s="35">
        <f>'① Timelog Input'!CB85</f>
        <v>0</v>
      </c>
      <c r="E289" s="34" t="str">
        <f>'① Timelog Input'!H85</f>
        <v>Accounting</v>
      </c>
      <c r="F289" s="36" t="str">
        <f t="shared" si="4"/>
        <v>NO</v>
      </c>
      <c r="G289" s="35">
        <f>IFERROR(VLOOKUP(B289,'② Salary Input'!A:V,14,FALSE())/Settings!B6,0)</f>
        <v>500</v>
      </c>
    </row>
    <row r="290" spans="1:7" ht="15" customHeight="1" x14ac:dyDescent="0.2">
      <c r="A290" s="34" t="str">
        <f>'① Timelog Input'!B86</f>
        <v>Kashish.B</v>
      </c>
      <c r="B290" s="34" t="str">
        <f>'① Timelog Input'!C86</f>
        <v>CAS-RT_2393</v>
      </c>
      <c r="C290" s="34" t="str">
        <f>'① Timelog Input'!T$3</f>
        <v>ABACUS BUSINESS SOLUTIONS, LLC</v>
      </c>
      <c r="D290" s="35">
        <f>'① Timelog Input'!T86</f>
        <v>0</v>
      </c>
      <c r="E290" s="34" t="str">
        <f>'① Timelog Input'!H86</f>
        <v>Accounting</v>
      </c>
      <c r="F290" s="36" t="str">
        <f t="shared" si="4"/>
        <v>NO</v>
      </c>
      <c r="G290" s="35">
        <f>IFERROR(VLOOKUP(B290,'② Salary Input'!A:V,14,FALSE())/Settings!B6,0)</f>
        <v>255.08125000000001</v>
      </c>
    </row>
    <row r="291" spans="1:7" ht="15" customHeight="1" x14ac:dyDescent="0.2">
      <c r="A291" s="34" t="str">
        <f>'① Timelog Input'!B86</f>
        <v>Kashish.B</v>
      </c>
      <c r="B291" s="34" t="str">
        <f>'① Timelog Input'!C86</f>
        <v>CAS-RT_2393</v>
      </c>
      <c r="C291" s="34" t="str">
        <f>'① Timelog Input'!AI$3</f>
        <v>CLOUDIT</v>
      </c>
      <c r="D291" s="35">
        <f>'① Timelog Input'!AI86</f>
        <v>6.33</v>
      </c>
      <c r="E291" s="34" t="str">
        <f>'① Timelog Input'!H86</f>
        <v>Accounting</v>
      </c>
      <c r="F291" s="36" t="str">
        <f t="shared" si="4"/>
        <v>NO</v>
      </c>
      <c r="G291" s="35">
        <f>IFERROR(VLOOKUP(B291,'② Salary Input'!A:V,14,FALSE())/Settings!B6,0)</f>
        <v>255.08125000000001</v>
      </c>
    </row>
    <row r="292" spans="1:7" ht="15" customHeight="1" x14ac:dyDescent="0.2">
      <c r="A292" s="34" t="str">
        <f>'① Timelog Input'!B87</f>
        <v>Amishi.S</v>
      </c>
      <c r="B292" s="34" t="str">
        <f>'① Timelog Input'!C87</f>
        <v>CAS-RT_2396</v>
      </c>
      <c r="C292" s="34" t="str">
        <f>'① Timelog Input'!AI$3</f>
        <v>CLOUDIT</v>
      </c>
      <c r="D292" s="35">
        <f>'① Timelog Input'!AI87</f>
        <v>12.54</v>
      </c>
      <c r="E292" s="34" t="str">
        <f>'① Timelog Input'!H87</f>
        <v>Accounting</v>
      </c>
      <c r="F292" s="36" t="str">
        <f t="shared" si="4"/>
        <v>NO</v>
      </c>
      <c r="G292" s="35">
        <f>IFERROR(VLOOKUP(B292,'② Salary Input'!A:V,14,FALSE())/Settings!B6,0)</f>
        <v>295.625</v>
      </c>
    </row>
    <row r="293" spans="1:7" ht="15" customHeight="1" x14ac:dyDescent="0.2">
      <c r="A293" s="34" t="str">
        <f>'① Timelog Input'!B87</f>
        <v>Amishi.S</v>
      </c>
      <c r="B293" s="34" t="str">
        <f>'① Timelog Input'!C87</f>
        <v>CAS-RT_2396</v>
      </c>
      <c r="C293" s="34" t="str">
        <f>'① Timelog Input'!AN$3</f>
        <v>FULL COMPLIANCE, LLC</v>
      </c>
      <c r="D293" s="35">
        <f>'① Timelog Input'!AN87</f>
        <v>0</v>
      </c>
      <c r="E293" s="34" t="str">
        <f>'① Timelog Input'!H87</f>
        <v>Accounting</v>
      </c>
      <c r="F293" s="36" t="str">
        <f t="shared" si="4"/>
        <v>NO</v>
      </c>
      <c r="G293" s="35">
        <f>IFERROR(VLOOKUP(B293,'② Salary Input'!A:V,14,FALSE())/Settings!B6,0)</f>
        <v>295.625</v>
      </c>
    </row>
    <row r="294" spans="1:7" ht="15" customHeight="1" x14ac:dyDescent="0.2">
      <c r="A294" s="34" t="str">
        <f>'① Timelog Input'!B87</f>
        <v>Amishi.S</v>
      </c>
      <c r="B294" s="34" t="str">
        <f>'① Timelog Input'!C87</f>
        <v>CAS-RT_2396</v>
      </c>
      <c r="C294" s="34" t="str">
        <f>'① Timelog Input'!BC$3</f>
        <v>MEJIA &amp; ASSOCIATES, INC.</v>
      </c>
      <c r="D294" s="35">
        <f>'① Timelog Input'!BC87</f>
        <v>0</v>
      </c>
      <c r="E294" s="34" t="str">
        <f>'① Timelog Input'!H87</f>
        <v>Accounting</v>
      </c>
      <c r="F294" s="36" t="str">
        <f t="shared" si="4"/>
        <v>NO</v>
      </c>
      <c r="G294" s="35">
        <f>IFERROR(VLOOKUP(B294,'② Salary Input'!A:V,14,FALSE())/Settings!B6,0)</f>
        <v>295.625</v>
      </c>
    </row>
    <row r="295" spans="1:7" ht="15" customHeight="1" x14ac:dyDescent="0.2">
      <c r="A295" s="34" t="str">
        <f>'① Timelog Input'!B87</f>
        <v>Amishi.S</v>
      </c>
      <c r="B295" s="34" t="str">
        <f>'① Timelog Input'!C87</f>
        <v>CAS-RT_2396</v>
      </c>
      <c r="C295" s="34" t="str">
        <f>'① Timelog Input'!BS$3</f>
        <v>SOUTH FLORIDA SECURITY GROUP</v>
      </c>
      <c r="D295" s="35">
        <f>'① Timelog Input'!BS87</f>
        <v>0</v>
      </c>
      <c r="E295" s="34" t="str">
        <f>'① Timelog Input'!H87</f>
        <v>Accounting</v>
      </c>
      <c r="F295" s="36" t="str">
        <f t="shared" si="4"/>
        <v>NO</v>
      </c>
      <c r="G295" s="35">
        <f>IFERROR(VLOOKUP(B295,'② Salary Input'!A:V,14,FALSE())/Settings!B6,0)</f>
        <v>295.625</v>
      </c>
    </row>
    <row r="296" spans="1:7" ht="15" customHeight="1" x14ac:dyDescent="0.2">
      <c r="A296" s="34" t="str">
        <f>'① Timelog Input'!B89</f>
        <v>Ash</v>
      </c>
      <c r="B296" s="34">
        <f>'① Timelog Input'!C89</f>
        <v>209</v>
      </c>
      <c r="C296" s="34" t="str">
        <f>'① Timelog Input'!AI$3</f>
        <v>CLOUDIT</v>
      </c>
      <c r="D296" s="35">
        <f>'① Timelog Input'!AI89</f>
        <v>0</v>
      </c>
      <c r="E296" s="34" t="str">
        <f>'① Timelog Input'!H89</f>
        <v>IT</v>
      </c>
      <c r="F296" s="36" t="str">
        <f t="shared" si="4"/>
        <v>YES</v>
      </c>
      <c r="G296" s="35">
        <f>IFERROR(VLOOKUP(B296,'② Salary Input'!A:V,14,FALSE())/Settings!B6,0)</f>
        <v>0</v>
      </c>
    </row>
    <row r="297" spans="1:7" ht="15" customHeight="1" x14ac:dyDescent="0.2">
      <c r="A297" s="34" t="str">
        <f>'① Timelog Input'!B91</f>
        <v>Deepak</v>
      </c>
      <c r="B297" s="34" t="str">
        <f>'① Timelog Input'!C91</f>
        <v>CASCFO-IH-005</v>
      </c>
      <c r="C297" s="34" t="str">
        <f>'① Timelog Input'!U$3</f>
        <v>ACE CPA</v>
      </c>
      <c r="D297" s="35">
        <f>'① Timelog Input'!U91</f>
        <v>0</v>
      </c>
      <c r="E297" s="34" t="str">
        <f>'① Timelog Input'!H91</f>
        <v>HR</v>
      </c>
      <c r="F297" s="36" t="str">
        <f t="shared" si="4"/>
        <v>YES</v>
      </c>
      <c r="G297" s="35">
        <f>IFERROR(VLOOKUP(B297,'② Salary Input'!A:V,14,FALSE())/Settings!B6,0)</f>
        <v>0</v>
      </c>
    </row>
    <row r="298" spans="1:7" ht="15" customHeight="1" x14ac:dyDescent="0.2">
      <c r="A298" s="34" t="str">
        <f>'① Timelog Input'!B91</f>
        <v>Deepak</v>
      </c>
      <c r="B298" s="34" t="str">
        <f>'① Timelog Input'!C91</f>
        <v>CASCFO-IH-005</v>
      </c>
      <c r="C298" s="34" t="str">
        <f>'① Timelog Input'!W$3</f>
        <v>ACTION ACCOUNTING</v>
      </c>
      <c r="D298" s="35">
        <f>'① Timelog Input'!W91</f>
        <v>0</v>
      </c>
      <c r="E298" s="34" t="str">
        <f>'① Timelog Input'!H91</f>
        <v>HR</v>
      </c>
      <c r="F298" s="36" t="str">
        <f t="shared" si="4"/>
        <v>YES</v>
      </c>
      <c r="G298" s="35">
        <f>IFERROR(VLOOKUP(B298,'② Salary Input'!A:V,14,FALSE())/Settings!B6,0)</f>
        <v>0</v>
      </c>
    </row>
    <row r="299" spans="1:7" ht="15" customHeight="1" x14ac:dyDescent="0.2">
      <c r="A299" s="34" t="str">
        <f>'① Timelog Input'!B91</f>
        <v>Deepak</v>
      </c>
      <c r="B299" s="34" t="str">
        <f>'① Timelog Input'!C91</f>
        <v>CASCFO-IH-005</v>
      </c>
      <c r="C299" s="34" t="str">
        <f>'① Timelog Input'!AI$3</f>
        <v>CLOUDIT</v>
      </c>
      <c r="D299" s="35">
        <f>'① Timelog Input'!AI91</f>
        <v>0</v>
      </c>
      <c r="E299" s="34" t="str">
        <f>'① Timelog Input'!H91</f>
        <v>HR</v>
      </c>
      <c r="F299" s="36" t="str">
        <f t="shared" si="4"/>
        <v>YES</v>
      </c>
      <c r="G299" s="35">
        <f>IFERROR(VLOOKUP(B299,'② Salary Input'!A:V,14,FALSE())/Settings!B6,0)</f>
        <v>0</v>
      </c>
    </row>
    <row r="300" spans="1:7" ht="15" customHeight="1" x14ac:dyDescent="0.2">
      <c r="A300" s="34" t="str">
        <f>'① Timelog Input'!B91</f>
        <v>Deepak</v>
      </c>
      <c r="B300" s="34" t="str">
        <f>'① Timelog Input'!C91</f>
        <v>CASCFO-IH-005</v>
      </c>
      <c r="C300" s="34" t="str">
        <f>'① Timelog Input'!BJ$3</f>
        <v>PORCHEA &amp; LOTT ACCOUNTING</v>
      </c>
      <c r="D300" s="35">
        <f>'① Timelog Input'!BJ91</f>
        <v>0</v>
      </c>
      <c r="E300" s="34" t="str">
        <f>'① Timelog Input'!H91</f>
        <v>HR</v>
      </c>
      <c r="F300" s="36" t="str">
        <f t="shared" si="4"/>
        <v>YES</v>
      </c>
      <c r="G300" s="35">
        <f>IFERROR(VLOOKUP(B300,'② Salary Input'!A:V,14,FALSE())/Settings!B6,0)</f>
        <v>0</v>
      </c>
    </row>
    <row r="301" spans="1:7" ht="15" customHeight="1" x14ac:dyDescent="0.2">
      <c r="A301" s="34" t="str">
        <f>'① Timelog Input'!B91</f>
        <v>Deepak</v>
      </c>
      <c r="B301" s="34" t="str">
        <f>'① Timelog Input'!C91</f>
        <v>CASCFO-IH-005</v>
      </c>
      <c r="C301" s="34" t="str">
        <f>'① Timelog Input'!CA$3</f>
        <v>WE ARE QUADRANT</v>
      </c>
      <c r="D301" s="35">
        <f>'① Timelog Input'!CA91</f>
        <v>0</v>
      </c>
      <c r="E301" s="34" t="str">
        <f>'① Timelog Input'!H91</f>
        <v>HR</v>
      </c>
      <c r="F301" s="36" t="str">
        <f t="shared" si="4"/>
        <v>YES</v>
      </c>
      <c r="G301" s="35">
        <f>IFERROR(VLOOKUP(B301,'② Salary Input'!A:V,14,FALSE())/Settings!B6,0)</f>
        <v>0</v>
      </c>
    </row>
    <row r="302" spans="1:7" ht="15" customHeight="1" x14ac:dyDescent="0.2">
      <c r="A302" s="34" t="str">
        <f>'① Timelog Input'!B93</f>
        <v>Marta</v>
      </c>
      <c r="B302" s="34" t="str">
        <f>'① Timelog Input'!C93</f>
        <v>CASUS-IH_003</v>
      </c>
      <c r="C302" s="34" t="str">
        <f>'① Timelog Input'!BY$3</f>
        <v>TRI SCAPES</v>
      </c>
      <c r="D302" s="35">
        <f>'① Timelog Input'!BY93</f>
        <v>0</v>
      </c>
      <c r="E302" s="34" t="str">
        <f>'① Timelog Input'!H93</f>
        <v>Marketing</v>
      </c>
      <c r="F302" s="36" t="str">
        <f t="shared" si="4"/>
        <v>YES</v>
      </c>
      <c r="G302" s="35">
        <f>IFERROR(VLOOKUP(B302,'② Salary Input'!A:V,14,FALSE())/Settings!B6,0)</f>
        <v>0</v>
      </c>
    </row>
    <row r="303" spans="1:7" ht="15" customHeight="1" x14ac:dyDescent="0.2">
      <c r="A303" s="34" t="str">
        <f>'① Timelog Input'!B95</f>
        <v>Tracey.G</v>
      </c>
      <c r="B303" s="34" t="str">
        <f>'① Timelog Input'!C95</f>
        <v>CASCFO****</v>
      </c>
      <c r="C303" s="34" t="str">
        <f>'① Timelog Input'!T$3</f>
        <v>ABACUS BUSINESS SOLUTIONS, LLC</v>
      </c>
      <c r="D303" s="35">
        <f>'① Timelog Input'!T95</f>
        <v>0</v>
      </c>
      <c r="E303" s="34" t="str">
        <f>'① Timelog Input'!H95</f>
        <v>Accounting, Individual Tax, Business Tax, VA</v>
      </c>
      <c r="F303" s="36" t="str">
        <f t="shared" si="4"/>
        <v>NO</v>
      </c>
      <c r="G303" s="35">
        <f>IFERROR(VLOOKUP(B303,'② Salary Input'!A:V,14,FALSE())/Settings!B6,0)</f>
        <v>0</v>
      </c>
    </row>
    <row r="304" spans="1:7" ht="15" customHeight="1" x14ac:dyDescent="0.2">
      <c r="A304" s="34" t="str">
        <f>'① Timelog Input'!B95</f>
        <v>Tracey.G</v>
      </c>
      <c r="B304" s="34" t="str">
        <f>'① Timelog Input'!C95</f>
        <v>CASCFO****</v>
      </c>
      <c r="C304" s="34" t="str">
        <f>'① Timelog Input'!AI$3</f>
        <v>CLOUDIT</v>
      </c>
      <c r="D304" s="35">
        <f>'① Timelog Input'!AI95</f>
        <v>0</v>
      </c>
      <c r="E304" s="34" t="str">
        <f>'① Timelog Input'!H95</f>
        <v>Accounting, Individual Tax, Business Tax, VA</v>
      </c>
      <c r="F304" s="36" t="str">
        <f t="shared" si="4"/>
        <v>NO</v>
      </c>
      <c r="G304" s="35">
        <f>IFERROR(VLOOKUP(B304,'② Salary Input'!A:V,14,FALSE())/Settings!B6,0)</f>
        <v>0</v>
      </c>
    </row>
    <row r="305" spans="1:7" ht="15" customHeight="1" x14ac:dyDescent="0.2">
      <c r="A305" s="34" t="str">
        <f>'① Timelog Input'!B96</f>
        <v>Khushboo.S</v>
      </c>
      <c r="B305" s="34" t="str">
        <f>'① Timelog Input'!C96</f>
        <v>CAS-IH_1171</v>
      </c>
      <c r="C305" s="34" t="str">
        <f>'① Timelog Input'!AA$3</f>
        <v>BORISTAX INC</v>
      </c>
      <c r="D305" s="35">
        <f>'① Timelog Input'!AA96</f>
        <v>0</v>
      </c>
      <c r="E305" s="34" t="str">
        <f>'① Timelog Input'!H96</f>
        <v>Accounting</v>
      </c>
      <c r="F305" s="36" t="str">
        <f t="shared" si="4"/>
        <v>NO</v>
      </c>
      <c r="G305" s="35">
        <f>IFERROR(VLOOKUP(B305,'② Salary Input'!A:V,14,FALSE())/Settings!B6,0)</f>
        <v>885.41250000000002</v>
      </c>
    </row>
    <row r="306" spans="1:7" ht="15" customHeight="1" x14ac:dyDescent="0.2">
      <c r="A306" s="34" t="str">
        <f>'① Timelog Input'!B96</f>
        <v>Khushboo.S</v>
      </c>
      <c r="B306" s="34" t="str">
        <f>'① Timelog Input'!C96</f>
        <v>CAS-IH_1171</v>
      </c>
      <c r="C306" s="34" t="str">
        <f>'① Timelog Input'!AI$3</f>
        <v>CLOUDIT</v>
      </c>
      <c r="D306" s="35">
        <f>'① Timelog Input'!AI96</f>
        <v>14.44</v>
      </c>
      <c r="E306" s="34" t="str">
        <f>'① Timelog Input'!H96</f>
        <v>Accounting</v>
      </c>
      <c r="F306" s="36" t="str">
        <f t="shared" si="4"/>
        <v>NO</v>
      </c>
      <c r="G306" s="35">
        <f>IFERROR(VLOOKUP(B306,'② Salary Input'!A:V,14,FALSE())/Settings!B6,0)</f>
        <v>885.41250000000002</v>
      </c>
    </row>
    <row r="307" spans="1:7" ht="15" customHeight="1" x14ac:dyDescent="0.2">
      <c r="A307" s="34" t="str">
        <f>'① Timelog Input'!B96</f>
        <v>Khushboo.S</v>
      </c>
      <c r="B307" s="34" t="str">
        <f>'① Timelog Input'!C96</f>
        <v>CAS-IH_1171</v>
      </c>
      <c r="C307" s="34" t="str">
        <f>'① Timelog Input'!AK$3</f>
        <v>DOR BUSINESS GROUP LLC</v>
      </c>
      <c r="D307" s="35">
        <f>'① Timelog Input'!AK96</f>
        <v>0</v>
      </c>
      <c r="E307" s="34" t="str">
        <f>'① Timelog Input'!H96</f>
        <v>Accounting</v>
      </c>
      <c r="F307" s="36" t="str">
        <f t="shared" si="4"/>
        <v>NO</v>
      </c>
      <c r="G307" s="35">
        <f>IFERROR(VLOOKUP(B307,'② Salary Input'!A:V,14,FALSE())/Settings!B6,0)</f>
        <v>885.41250000000002</v>
      </c>
    </row>
    <row r="308" spans="1:7" ht="15" customHeight="1" x14ac:dyDescent="0.2">
      <c r="A308" s="34" t="str">
        <f>'① Timelog Input'!B96</f>
        <v>Khushboo.S</v>
      </c>
      <c r="B308" s="34" t="str">
        <f>'① Timelog Input'!C96</f>
        <v>CAS-IH_1171</v>
      </c>
      <c r="C308" s="34" t="str">
        <f>'① Timelog Input'!AP$3</f>
        <v>HELLO ACCOUNTAX</v>
      </c>
      <c r="D308" s="35">
        <f>'① Timelog Input'!AP96</f>
        <v>0</v>
      </c>
      <c r="E308" s="34" t="str">
        <f>'① Timelog Input'!H96</f>
        <v>Accounting</v>
      </c>
      <c r="F308" s="36" t="str">
        <f t="shared" si="4"/>
        <v>NO</v>
      </c>
      <c r="G308" s="35">
        <f>IFERROR(VLOOKUP(B308,'② Salary Input'!A:V,14,FALSE())/Settings!B6,0)</f>
        <v>885.41250000000002</v>
      </c>
    </row>
    <row r="309" spans="1:7" ht="15" customHeight="1" x14ac:dyDescent="0.2">
      <c r="A309" s="34" t="str">
        <f>'① Timelog Input'!B96</f>
        <v>Khushboo.S</v>
      </c>
      <c r="B309" s="34" t="str">
        <f>'① Timelog Input'!C96</f>
        <v>CAS-IH_1171</v>
      </c>
      <c r="C309" s="34" t="str">
        <f>'① Timelog Input'!BK$3</f>
        <v>PROVISION ACCOUNTING SOLUTIONS</v>
      </c>
      <c r="D309" s="35">
        <f>'① Timelog Input'!BK96</f>
        <v>0</v>
      </c>
      <c r="E309" s="34" t="str">
        <f>'① Timelog Input'!H96</f>
        <v>Accounting</v>
      </c>
      <c r="F309" s="36" t="str">
        <f t="shared" si="4"/>
        <v>NO</v>
      </c>
      <c r="G309" s="35">
        <f>IFERROR(VLOOKUP(B309,'② Salary Input'!A:V,14,FALSE())/Settings!B6,0)</f>
        <v>885.41250000000002</v>
      </c>
    </row>
    <row r="310" spans="1:7" ht="15" customHeight="1" x14ac:dyDescent="0.2">
      <c r="A310" s="34" t="str">
        <f>'① Timelog Input'!B96</f>
        <v>Khushboo.S</v>
      </c>
      <c r="B310" s="34" t="str">
        <f>'① Timelog Input'!C96</f>
        <v>CAS-IH_1171</v>
      </c>
      <c r="C310" s="34" t="str">
        <f>'① Timelog Input'!BP$3</f>
        <v>RTW XXACT ENTERPRISES, LLC</v>
      </c>
      <c r="D310" s="35">
        <f>'① Timelog Input'!BP96</f>
        <v>0</v>
      </c>
      <c r="E310" s="34" t="str">
        <f>'① Timelog Input'!H96</f>
        <v>Accounting</v>
      </c>
      <c r="F310" s="36" t="str">
        <f t="shared" si="4"/>
        <v>NO</v>
      </c>
      <c r="G310" s="35">
        <f>IFERROR(VLOOKUP(B310,'② Salary Input'!A:V,14,FALSE())/Settings!B6,0)</f>
        <v>885.41250000000002</v>
      </c>
    </row>
    <row r="311" spans="1:7" ht="15" customHeight="1" x14ac:dyDescent="0.2">
      <c r="A311" s="34" t="str">
        <f>'① Timelog Input'!B97</f>
        <v>Prerna.G</v>
      </c>
      <c r="B311" s="34" t="str">
        <f>'① Timelog Input'!C97</f>
        <v>CAS-RT_2402</v>
      </c>
      <c r="C311" s="34" t="str">
        <f>'① Timelog Input'!AI$3</f>
        <v>CLOUDIT</v>
      </c>
      <c r="D311" s="35">
        <f>'① Timelog Input'!AI97</f>
        <v>15.93</v>
      </c>
      <c r="E311" s="34" t="str">
        <f>'① Timelog Input'!H97</f>
        <v>Accounting</v>
      </c>
      <c r="F311" s="36" t="str">
        <f t="shared" si="4"/>
        <v>NO</v>
      </c>
      <c r="G311" s="35">
        <f>IFERROR(VLOOKUP(B311,'② Salary Input'!A:V,14,FALSE())/Settings!B6,0)</f>
        <v>434.41874999999999</v>
      </c>
    </row>
    <row r="312" spans="1:7" ht="15" customHeight="1" x14ac:dyDescent="0.2">
      <c r="A312" s="34" t="str">
        <f>'① Timelog Input'!B98</f>
        <v>Monika.M</v>
      </c>
      <c r="B312" s="34" t="str">
        <f>'① Timelog Input'!C98</f>
        <v>CASCFO-IH-007</v>
      </c>
      <c r="C312" s="34" t="str">
        <f>'① Timelog Input'!AA$3</f>
        <v>BORISTAX INC</v>
      </c>
      <c r="D312" s="35">
        <f>'① Timelog Input'!AA98</f>
        <v>0</v>
      </c>
      <c r="E312" s="34" t="str">
        <f>'① Timelog Input'!H98</f>
        <v>HR</v>
      </c>
      <c r="F312" s="36" t="str">
        <f t="shared" si="4"/>
        <v>YES</v>
      </c>
      <c r="G312" s="35">
        <f>IFERROR(VLOOKUP(B312,'② Salary Input'!A:V,14,FALSE())/Settings!B6,0)</f>
        <v>0</v>
      </c>
    </row>
    <row r="313" spans="1:7" ht="15" customHeight="1" x14ac:dyDescent="0.2">
      <c r="A313" s="34" t="str">
        <f>'① Timelog Input'!B98</f>
        <v>Monika.M</v>
      </c>
      <c r="B313" s="34" t="str">
        <f>'① Timelog Input'!C98</f>
        <v>CASCFO-IH-007</v>
      </c>
      <c r="C313" s="34" t="str">
        <f>'① Timelog Input'!AI$3</f>
        <v>CLOUDIT</v>
      </c>
      <c r="D313" s="35">
        <f>'① Timelog Input'!AI98</f>
        <v>134</v>
      </c>
      <c r="E313" s="34" t="str">
        <f>'① Timelog Input'!H98</f>
        <v>HR</v>
      </c>
      <c r="F313" s="36" t="str">
        <f t="shared" si="4"/>
        <v>YES</v>
      </c>
      <c r="G313" s="35">
        <f>IFERROR(VLOOKUP(B313,'② Salary Input'!A:V,14,FALSE())/Settings!B6,0)</f>
        <v>0</v>
      </c>
    </row>
    <row r="314" spans="1:7" ht="15" customHeight="1" x14ac:dyDescent="0.2">
      <c r="A314" s="34" t="str">
        <f>'① Timelog Input'!B98</f>
        <v>Monika.M</v>
      </c>
      <c r="B314" s="34" t="str">
        <f>'① Timelog Input'!C98</f>
        <v>CASCFO-IH-007</v>
      </c>
      <c r="C314" s="34" t="str">
        <f>'① Timelog Input'!AK$3</f>
        <v>DOR BUSINESS GROUP LLC</v>
      </c>
      <c r="D314" s="35">
        <f>'① Timelog Input'!AK98</f>
        <v>0</v>
      </c>
      <c r="E314" s="34" t="str">
        <f>'① Timelog Input'!H98</f>
        <v>HR</v>
      </c>
      <c r="F314" s="36" t="str">
        <f t="shared" si="4"/>
        <v>YES</v>
      </c>
      <c r="G314" s="35">
        <f>IFERROR(VLOOKUP(B314,'② Salary Input'!A:V,14,FALSE())/Settings!B6,0)</f>
        <v>0</v>
      </c>
    </row>
    <row r="315" spans="1:7" ht="15" customHeight="1" x14ac:dyDescent="0.2">
      <c r="A315" s="34" t="str">
        <f>'① Timelog Input'!B98</f>
        <v>Monika.M</v>
      </c>
      <c r="B315" s="34" t="str">
        <f>'① Timelog Input'!C98</f>
        <v>CASCFO-IH-007</v>
      </c>
      <c r="C315" s="34" t="str">
        <f>'① Timelog Input'!AP$3</f>
        <v>HELLO ACCOUNTAX</v>
      </c>
      <c r="D315" s="35">
        <f>'① Timelog Input'!AP98</f>
        <v>0</v>
      </c>
      <c r="E315" s="34" t="str">
        <f>'① Timelog Input'!H98</f>
        <v>HR</v>
      </c>
      <c r="F315" s="36" t="str">
        <f t="shared" si="4"/>
        <v>YES</v>
      </c>
      <c r="G315" s="35">
        <f>IFERROR(VLOOKUP(B315,'② Salary Input'!A:V,14,FALSE())/Settings!B6,0)</f>
        <v>0</v>
      </c>
    </row>
    <row r="316" spans="1:7" ht="15" customHeight="1" x14ac:dyDescent="0.2">
      <c r="A316" s="34" t="str">
        <f>'① Timelog Input'!B98</f>
        <v>Monika.M</v>
      </c>
      <c r="B316" s="34" t="str">
        <f>'① Timelog Input'!C98</f>
        <v>CASCFO-IH-007</v>
      </c>
      <c r="C316" s="34" t="str">
        <f>'① Timelog Input'!BD$3</f>
        <v>MERAKI ACCOUNTING &amp; TAX LLC</v>
      </c>
      <c r="D316" s="35">
        <f>'① Timelog Input'!BD98</f>
        <v>0</v>
      </c>
      <c r="E316" s="34" t="str">
        <f>'① Timelog Input'!H98</f>
        <v>HR</v>
      </c>
      <c r="F316" s="36" t="str">
        <f t="shared" si="4"/>
        <v>YES</v>
      </c>
      <c r="G316" s="35">
        <f>IFERROR(VLOOKUP(B316,'② Salary Input'!A:V,14,FALSE())/Settings!B6,0)</f>
        <v>0</v>
      </c>
    </row>
    <row r="317" spans="1:7" ht="15" customHeight="1" x14ac:dyDescent="0.2">
      <c r="A317" s="34" t="str">
        <f>'① Timelog Input'!B98</f>
        <v>Monika.M</v>
      </c>
      <c r="B317" s="34" t="str">
        <f>'① Timelog Input'!C98</f>
        <v>CASCFO-IH-007</v>
      </c>
      <c r="C317" s="34" t="str">
        <f>'① Timelog Input'!BK$3</f>
        <v>PROVISION ACCOUNTING SOLUTIONS</v>
      </c>
      <c r="D317" s="35">
        <f>'① Timelog Input'!BK98</f>
        <v>0</v>
      </c>
      <c r="E317" s="34" t="str">
        <f>'① Timelog Input'!H98</f>
        <v>HR</v>
      </c>
      <c r="F317" s="36" t="str">
        <f t="shared" si="4"/>
        <v>YES</v>
      </c>
      <c r="G317" s="35">
        <f>IFERROR(VLOOKUP(B317,'② Salary Input'!A:V,14,FALSE())/Settings!B6,0)</f>
        <v>0</v>
      </c>
    </row>
    <row r="318" spans="1:7" ht="15" customHeight="1" x14ac:dyDescent="0.2">
      <c r="A318" s="34" t="str">
        <f>'① Timelog Input'!B98</f>
        <v>Monika.M</v>
      </c>
      <c r="B318" s="34" t="str">
        <f>'① Timelog Input'!C98</f>
        <v>CASCFO-IH-007</v>
      </c>
      <c r="C318" s="34" t="str">
        <f>'① Timelog Input'!BP$3</f>
        <v>RTW XXACT ENTERPRISES, LLC</v>
      </c>
      <c r="D318" s="35">
        <f>'① Timelog Input'!BP98</f>
        <v>0</v>
      </c>
      <c r="E318" s="34" t="str">
        <f>'① Timelog Input'!H98</f>
        <v>HR</v>
      </c>
      <c r="F318" s="36" t="str">
        <f t="shared" si="4"/>
        <v>YES</v>
      </c>
      <c r="G318" s="35">
        <f>IFERROR(VLOOKUP(B318,'② Salary Input'!A:V,14,FALSE())/Settings!B6,0)</f>
        <v>0</v>
      </c>
    </row>
    <row r="319" spans="1:7" ht="15" customHeight="1" x14ac:dyDescent="0.2">
      <c r="A319" s="34" t="str">
        <f>'① Timelog Input'!B100</f>
        <v>brandon</v>
      </c>
      <c r="B319" s="34" t="str">
        <f>'① Timelog Input'!C100</f>
        <v>CASUS-IH_004</v>
      </c>
      <c r="C319" s="34" t="str">
        <f>'① Timelog Input'!U$3</f>
        <v>ACE CPA</v>
      </c>
      <c r="D319" s="35">
        <f>'① Timelog Input'!U100</f>
        <v>0</v>
      </c>
      <c r="E319" s="34" t="str">
        <f>'① Timelog Input'!H100</f>
        <v>Marketing</v>
      </c>
      <c r="F319" s="36" t="str">
        <f t="shared" si="4"/>
        <v>YES</v>
      </c>
      <c r="G319" s="35">
        <f>IFERROR(VLOOKUP(B319,'② Salary Input'!A:V,14,FALSE())/Settings!B6,0)</f>
        <v>0</v>
      </c>
    </row>
    <row r="320" spans="1:7" ht="15" customHeight="1" x14ac:dyDescent="0.2">
      <c r="A320" s="34" t="str">
        <f>'① Timelog Input'!B100</f>
        <v>brandon</v>
      </c>
      <c r="B320" s="34" t="str">
        <f>'① Timelog Input'!C100</f>
        <v>CASUS-IH_004</v>
      </c>
      <c r="C320" s="34" t="str">
        <f>'① Timelog Input'!Z$3</f>
        <v>BEAM ACCOUNTING INC</v>
      </c>
      <c r="D320" s="35">
        <f>'① Timelog Input'!Z100</f>
        <v>0</v>
      </c>
      <c r="E320" s="34" t="str">
        <f>'① Timelog Input'!H100</f>
        <v>Marketing</v>
      </c>
      <c r="F320" s="36" t="str">
        <f t="shared" si="4"/>
        <v>YES</v>
      </c>
      <c r="G320" s="35">
        <f>IFERROR(VLOOKUP(B320,'② Salary Input'!A:V,14,FALSE())/Settings!B6,0)</f>
        <v>0</v>
      </c>
    </row>
    <row r="321" spans="1:7" ht="15" customHeight="1" x14ac:dyDescent="0.2">
      <c r="A321" s="34" t="str">
        <f>'① Timelog Input'!B100</f>
        <v>brandon</v>
      </c>
      <c r="B321" s="34" t="str">
        <f>'① Timelog Input'!C100</f>
        <v>CASUS-IH_004</v>
      </c>
      <c r="C321" s="34" t="str">
        <f>'① Timelog Input'!AF$3</f>
        <v>CENTURION TAX AND ACCOUNTING</v>
      </c>
      <c r="D321" s="35">
        <f>'① Timelog Input'!AF100</f>
        <v>0</v>
      </c>
      <c r="E321" s="34" t="str">
        <f>'① Timelog Input'!H100</f>
        <v>Marketing</v>
      </c>
      <c r="F321" s="36" t="str">
        <f t="shared" si="4"/>
        <v>YES</v>
      </c>
      <c r="G321" s="35">
        <f>IFERROR(VLOOKUP(B321,'② Salary Input'!A:V,14,FALSE())/Settings!B6,0)</f>
        <v>0</v>
      </c>
    </row>
    <row r="322" spans="1:7" ht="15" customHeight="1" x14ac:dyDescent="0.2">
      <c r="A322" s="34" t="str">
        <f>'① Timelog Input'!B100</f>
        <v>brandon</v>
      </c>
      <c r="B322" s="34" t="str">
        <f>'① Timelog Input'!C100</f>
        <v>CASUS-IH_004</v>
      </c>
      <c r="C322" s="34" t="str">
        <f>'① Timelog Input'!AI$3</f>
        <v>CLOUDIT</v>
      </c>
      <c r="D322" s="35">
        <f>'① Timelog Input'!AI100</f>
        <v>0</v>
      </c>
      <c r="E322" s="34" t="str">
        <f>'① Timelog Input'!H100</f>
        <v>Marketing</v>
      </c>
      <c r="F322" s="36" t="str">
        <f t="shared" si="4"/>
        <v>YES</v>
      </c>
      <c r="G322" s="35">
        <f>IFERROR(VLOOKUP(B322,'② Salary Input'!A:V,14,FALSE())/Settings!B6,0)</f>
        <v>0</v>
      </c>
    </row>
    <row r="323" spans="1:7" ht="15" customHeight="1" x14ac:dyDescent="0.2">
      <c r="A323" s="34" t="str">
        <f>'① Timelog Input'!B101</f>
        <v>Ankita.S</v>
      </c>
      <c r="B323" s="34" t="str">
        <f>'① Timelog Input'!C101</f>
        <v>CAS-RT_2404</v>
      </c>
      <c r="C323" s="34" t="str">
        <f>'① Timelog Input'!U$3</f>
        <v>ACE CPA</v>
      </c>
      <c r="D323" s="35">
        <f>'① Timelog Input'!U101</f>
        <v>0.67</v>
      </c>
      <c r="E323" s="34" t="str">
        <f>'① Timelog Input'!H101</f>
        <v>Accounting</v>
      </c>
      <c r="F323" s="36" t="str">
        <f t="shared" si="4"/>
        <v>NO</v>
      </c>
      <c r="G323" s="35">
        <f>IFERROR(VLOOKUP(B323,'② Salary Input'!A:V,14,FALSE())/Settings!B6,0)</f>
        <v>62.3125</v>
      </c>
    </row>
    <row r="324" spans="1:7" ht="15" customHeight="1" x14ac:dyDescent="0.2">
      <c r="A324" s="34" t="str">
        <f>'① Timelog Input'!B101</f>
        <v>Ankita.S</v>
      </c>
      <c r="B324" s="34" t="str">
        <f>'① Timelog Input'!C101</f>
        <v>CAS-RT_2404</v>
      </c>
      <c r="C324" s="34" t="str">
        <f>'① Timelog Input'!CC$3</f>
        <v>XPERT BOOKKEEPING LLC</v>
      </c>
      <c r="D324" s="35">
        <f>'① Timelog Input'!CC101</f>
        <v>0</v>
      </c>
      <c r="E324" s="34" t="str">
        <f>'① Timelog Input'!H101</f>
        <v>Accounting</v>
      </c>
      <c r="F324" s="36" t="str">
        <f t="shared" ref="F324:F387" si="5">IF(OR(E324="HR",E324="IT",E324="Marketing"),"YES","NO")</f>
        <v>NO</v>
      </c>
      <c r="G324" s="35">
        <f>IFERROR(VLOOKUP(B324,'② Salary Input'!A:V,14,FALSE())/Settings!B6,0)</f>
        <v>62.3125</v>
      </c>
    </row>
    <row r="325" spans="1:7" ht="15" customHeight="1" x14ac:dyDescent="0.2">
      <c r="A325" s="34" t="str">
        <f>'① Timelog Input'!B102</f>
        <v>Garima.B</v>
      </c>
      <c r="B325" s="34" t="str">
        <f>'① Timelog Input'!C102</f>
        <v>CAS-RT_2406</v>
      </c>
      <c r="C325" s="34" t="str">
        <f>'① Timelog Input'!AI$3</f>
        <v>CLOUDIT</v>
      </c>
      <c r="D325" s="35">
        <f>'① Timelog Input'!AI102</f>
        <v>0</v>
      </c>
      <c r="E325" s="34" t="str">
        <f>'① Timelog Input'!H102</f>
        <v>Accounting</v>
      </c>
      <c r="F325" s="36" t="str">
        <f t="shared" si="5"/>
        <v>NO</v>
      </c>
      <c r="G325" s="35">
        <f>IFERROR(VLOOKUP(B325,'② Salary Input'!A:V,14,FALSE())/Settings!B6,0)</f>
        <v>107.33125</v>
      </c>
    </row>
    <row r="326" spans="1:7" ht="15" customHeight="1" x14ac:dyDescent="0.2">
      <c r="A326" s="34" t="str">
        <f>'① Timelog Input'!B102</f>
        <v>Garima.B</v>
      </c>
      <c r="B326" s="34" t="str">
        <f>'① Timelog Input'!C102</f>
        <v>CAS-RT_2406</v>
      </c>
      <c r="C326" s="34" t="str">
        <f>'① Timelog Input'!BQ$3</f>
        <v>SFSG BILLING PROJECT</v>
      </c>
      <c r="D326" s="35">
        <f>'① Timelog Input'!BQ102</f>
        <v>0</v>
      </c>
      <c r="E326" s="34" t="str">
        <f>'① Timelog Input'!H102</f>
        <v>Accounting</v>
      </c>
      <c r="F326" s="36" t="str">
        <f t="shared" si="5"/>
        <v>NO</v>
      </c>
      <c r="G326" s="35">
        <f>IFERROR(VLOOKUP(B326,'② Salary Input'!A:V,14,FALSE())/Settings!B6,0)</f>
        <v>107.33125</v>
      </c>
    </row>
    <row r="327" spans="1:7" ht="15" customHeight="1" x14ac:dyDescent="0.2">
      <c r="A327" s="34" t="str">
        <f>'① Timelog Input'!B104</f>
        <v>Jyoti.U</v>
      </c>
      <c r="B327" s="34" t="str">
        <f>'① Timelog Input'!C104</f>
        <v>CAS-RT_2408</v>
      </c>
      <c r="C327" s="34" t="str">
        <f>'① Timelog Input'!AI$3</f>
        <v>CLOUDIT</v>
      </c>
      <c r="D327" s="35">
        <f>'① Timelog Input'!AI104</f>
        <v>0</v>
      </c>
      <c r="E327" s="34" t="str">
        <f>'① Timelog Input'!H104</f>
        <v>Accounting</v>
      </c>
      <c r="F327" s="36" t="str">
        <f t="shared" si="5"/>
        <v>NO</v>
      </c>
      <c r="G327" s="35">
        <f>IFERROR(VLOOKUP(B327,'② Salary Input'!A:V,14,FALSE())/Settings!B6,0)</f>
        <v>0</v>
      </c>
    </row>
    <row r="328" spans="1:7" ht="15" customHeight="1" x14ac:dyDescent="0.2">
      <c r="A328" s="34" t="str">
        <f>'① Timelog Input'!B104</f>
        <v>Jyoti.U</v>
      </c>
      <c r="B328" s="34" t="str">
        <f>'① Timelog Input'!C104</f>
        <v>CAS-RT_2408</v>
      </c>
      <c r="C328" s="34" t="str">
        <f>'① Timelog Input'!AR$3</f>
        <v>IAM ACCOUNTING LLC</v>
      </c>
      <c r="D328" s="35">
        <f>'① Timelog Input'!AR104</f>
        <v>0</v>
      </c>
      <c r="E328" s="34" t="str">
        <f>'① Timelog Input'!H104</f>
        <v>Accounting</v>
      </c>
      <c r="F328" s="36" t="str">
        <f t="shared" si="5"/>
        <v>NO</v>
      </c>
      <c r="G328" s="35">
        <f>IFERROR(VLOOKUP(B328,'② Salary Input'!A:V,14,FALSE())/Settings!B6,0)</f>
        <v>0</v>
      </c>
    </row>
    <row r="329" spans="1:7" ht="15" customHeight="1" x14ac:dyDescent="0.2">
      <c r="A329" s="34" t="str">
        <f>'① Timelog Input'!B105</f>
        <v>Rajvi.S</v>
      </c>
      <c r="B329" s="34" t="str">
        <f>'① Timelog Input'!C105</f>
        <v>CAS-RT_2409</v>
      </c>
      <c r="C329" s="34" t="str">
        <f>'① Timelog Input'!AC$3</f>
        <v>BRIGHTSKIES BUSINESS SERVICES, LLC</v>
      </c>
      <c r="D329" s="35">
        <f>'① Timelog Input'!AC105</f>
        <v>0</v>
      </c>
      <c r="E329" s="34" t="str">
        <f>'① Timelog Input'!H105</f>
        <v>Accounting</v>
      </c>
      <c r="F329" s="36" t="str">
        <f t="shared" si="5"/>
        <v>NO</v>
      </c>
      <c r="G329" s="35">
        <f>IFERROR(VLOOKUP(B329,'② Salary Input'!A:V,14,FALSE())/Settings!B6,0)</f>
        <v>190.46875</v>
      </c>
    </row>
    <row r="330" spans="1:7" ht="15" customHeight="1" x14ac:dyDescent="0.2">
      <c r="A330" s="34" t="str">
        <f>'① Timelog Input'!B105</f>
        <v>Rajvi.S</v>
      </c>
      <c r="B330" s="34" t="str">
        <f>'① Timelog Input'!C105</f>
        <v>CAS-RT_2409</v>
      </c>
      <c r="C330" s="34" t="str">
        <f>'① Timelog Input'!AI$3</f>
        <v>CLOUDIT</v>
      </c>
      <c r="D330" s="35">
        <f>'① Timelog Input'!AI105</f>
        <v>5.83</v>
      </c>
      <c r="E330" s="34" t="str">
        <f>'① Timelog Input'!H105</f>
        <v>Accounting</v>
      </c>
      <c r="F330" s="36" t="str">
        <f t="shared" si="5"/>
        <v>NO</v>
      </c>
      <c r="G330" s="35">
        <f>IFERROR(VLOOKUP(B330,'② Salary Input'!A:V,14,FALSE())/Settings!B6,0)</f>
        <v>190.46875</v>
      </c>
    </row>
    <row r="331" spans="1:7" ht="15" customHeight="1" x14ac:dyDescent="0.2">
      <c r="A331" s="34" t="str">
        <f>'① Timelog Input'!B105</f>
        <v>Rajvi.S</v>
      </c>
      <c r="B331" s="34" t="str">
        <f>'① Timelog Input'!C105</f>
        <v>CAS-RT_2409</v>
      </c>
      <c r="C331" s="34" t="str">
        <f>'① Timelog Input'!AY$3</f>
        <v>MAINSPRING SOLUTIONS</v>
      </c>
      <c r="D331" s="35">
        <f>'① Timelog Input'!AY105</f>
        <v>0</v>
      </c>
      <c r="E331" s="34" t="str">
        <f>'① Timelog Input'!H105</f>
        <v>Accounting</v>
      </c>
      <c r="F331" s="36" t="str">
        <f t="shared" si="5"/>
        <v>NO</v>
      </c>
      <c r="G331" s="35">
        <f>IFERROR(VLOOKUP(B331,'② Salary Input'!A:V,14,FALSE())/Settings!B6,0)</f>
        <v>190.46875</v>
      </c>
    </row>
    <row r="332" spans="1:7" ht="15" customHeight="1" x14ac:dyDescent="0.2">
      <c r="A332" s="34" t="str">
        <f>'① Timelog Input'!B107</f>
        <v>Swati.S</v>
      </c>
      <c r="B332" s="34" t="str">
        <f>'① Timelog Input'!C107</f>
        <v>CAS-RT_2412</v>
      </c>
      <c r="C332" s="34" t="str">
        <f>'① Timelog Input'!W$3</f>
        <v>ACTION ACCOUNTING</v>
      </c>
      <c r="D332" s="35">
        <f>'① Timelog Input'!W107</f>
        <v>0</v>
      </c>
      <c r="E332" s="34" t="str">
        <f>'① Timelog Input'!H107</f>
        <v>Accounting</v>
      </c>
      <c r="F332" s="36" t="str">
        <f t="shared" si="5"/>
        <v>NO</v>
      </c>
      <c r="G332" s="35">
        <f>IFERROR(VLOOKUP(B332,'② Salary Input'!A:V,14,FALSE())/Settings!B6,0)</f>
        <v>126.33125</v>
      </c>
    </row>
    <row r="333" spans="1:7" ht="15" customHeight="1" x14ac:dyDescent="0.2">
      <c r="A333" s="34" t="str">
        <f>'① Timelog Input'!B107</f>
        <v>Swati.S</v>
      </c>
      <c r="B333" s="34" t="str">
        <f>'① Timelog Input'!C107</f>
        <v>CAS-RT_2412</v>
      </c>
      <c r="C333" s="34" t="str">
        <f>'① Timelog Input'!AI$3</f>
        <v>CLOUDIT</v>
      </c>
      <c r="D333" s="35">
        <f>'① Timelog Input'!AI107</f>
        <v>0</v>
      </c>
      <c r="E333" s="34" t="str">
        <f>'① Timelog Input'!H107</f>
        <v>Accounting</v>
      </c>
      <c r="F333" s="36" t="str">
        <f t="shared" si="5"/>
        <v>NO</v>
      </c>
      <c r="G333" s="35">
        <f>IFERROR(VLOOKUP(B333,'② Salary Input'!A:V,14,FALSE())/Settings!B6,0)</f>
        <v>126.33125</v>
      </c>
    </row>
    <row r="334" spans="1:7" ht="15" customHeight="1" x14ac:dyDescent="0.2">
      <c r="A334" s="34" t="str">
        <f>'① Timelog Input'!B108</f>
        <v>Neha.S</v>
      </c>
      <c r="B334" s="34" t="str">
        <f>'① Timelog Input'!C108</f>
        <v>CAS-RT_2413</v>
      </c>
      <c r="C334" s="34" t="str">
        <f>'① Timelog Input'!R$3</f>
        <v>4P TAXES LLC</v>
      </c>
      <c r="D334" s="35">
        <f>'① Timelog Input'!R108</f>
        <v>0</v>
      </c>
      <c r="E334" s="34" t="str">
        <f>'① Timelog Input'!H108</f>
        <v>Accounting</v>
      </c>
      <c r="F334" s="36" t="str">
        <f t="shared" si="5"/>
        <v>NO</v>
      </c>
      <c r="G334" s="35">
        <f>IFERROR(VLOOKUP(B334,'② Salary Input'!A:V,14,FALSE())/Settings!B6,0)</f>
        <v>358.54374999999999</v>
      </c>
    </row>
    <row r="335" spans="1:7" ht="15" customHeight="1" x14ac:dyDescent="0.2">
      <c r="A335" s="34" t="str">
        <f>'① Timelog Input'!B108</f>
        <v>Neha.S</v>
      </c>
      <c r="B335" s="34" t="str">
        <f>'① Timelog Input'!C108</f>
        <v>CAS-RT_2413</v>
      </c>
      <c r="C335" s="34" t="str">
        <f>'① Timelog Input'!AB$3</f>
        <v>BRADLEY FINANCIAL SERVICES LLC</v>
      </c>
      <c r="D335" s="35">
        <f>'① Timelog Input'!AB108</f>
        <v>0</v>
      </c>
      <c r="E335" s="34" t="str">
        <f>'① Timelog Input'!H108</f>
        <v>Accounting</v>
      </c>
      <c r="F335" s="36" t="str">
        <f t="shared" si="5"/>
        <v>NO</v>
      </c>
      <c r="G335" s="35">
        <f>IFERROR(VLOOKUP(B335,'② Salary Input'!A:V,14,FALSE())/Settings!B6,0)</f>
        <v>358.54374999999999</v>
      </c>
    </row>
    <row r="336" spans="1:7" ht="15" customHeight="1" x14ac:dyDescent="0.2">
      <c r="A336" s="34" t="str">
        <f>'① Timelog Input'!B108</f>
        <v>Neha.S</v>
      </c>
      <c r="B336" s="34" t="str">
        <f>'① Timelog Input'!C108</f>
        <v>CAS-RT_2413</v>
      </c>
      <c r="C336" s="34" t="str">
        <f>'① Timelog Input'!AE$3</f>
        <v>CASCFO Advisory- United States</v>
      </c>
      <c r="D336" s="35">
        <f>'① Timelog Input'!AE108</f>
        <v>0</v>
      </c>
      <c r="E336" s="34" t="str">
        <f>'① Timelog Input'!H108</f>
        <v>Accounting</v>
      </c>
      <c r="F336" s="36" t="str">
        <f t="shared" si="5"/>
        <v>NO</v>
      </c>
      <c r="G336" s="35">
        <f>IFERROR(VLOOKUP(B336,'② Salary Input'!A:V,14,FALSE())/Settings!B6,0)</f>
        <v>358.54374999999999</v>
      </c>
    </row>
    <row r="337" spans="1:7" ht="15" customHeight="1" x14ac:dyDescent="0.2">
      <c r="A337" s="34" t="str">
        <f>'① Timelog Input'!B108</f>
        <v>Neha.S</v>
      </c>
      <c r="B337" s="34" t="str">
        <f>'① Timelog Input'!C108</f>
        <v>CAS-RT_2413</v>
      </c>
      <c r="C337" s="34" t="str">
        <f>'① Timelog Input'!AI$3</f>
        <v>CLOUDIT</v>
      </c>
      <c r="D337" s="35">
        <f>'① Timelog Input'!AI108</f>
        <v>28.77</v>
      </c>
      <c r="E337" s="34" t="str">
        <f>'① Timelog Input'!H108</f>
        <v>Accounting</v>
      </c>
      <c r="F337" s="36" t="str">
        <f t="shared" si="5"/>
        <v>NO</v>
      </c>
      <c r="G337" s="35">
        <f>IFERROR(VLOOKUP(B337,'② Salary Input'!A:V,14,FALSE())/Settings!B6,0)</f>
        <v>358.54374999999999</v>
      </c>
    </row>
    <row r="338" spans="1:7" ht="15" customHeight="1" x14ac:dyDescent="0.2">
      <c r="A338" s="34" t="str">
        <f>'① Timelog Input'!B108</f>
        <v>Neha.S</v>
      </c>
      <c r="B338" s="34" t="str">
        <f>'① Timelog Input'!C108</f>
        <v>CAS-RT_2413</v>
      </c>
      <c r="C338" s="34" t="str">
        <f>'① Timelog Input'!AL$3</f>
        <v>EVERMORE FINANCIAL SERVICES LLC</v>
      </c>
      <c r="D338" s="35">
        <f>'① Timelog Input'!AL108</f>
        <v>0</v>
      </c>
      <c r="E338" s="34" t="str">
        <f>'① Timelog Input'!H108</f>
        <v>Accounting</v>
      </c>
      <c r="F338" s="36" t="str">
        <f t="shared" si="5"/>
        <v>NO</v>
      </c>
      <c r="G338" s="35">
        <f>IFERROR(VLOOKUP(B338,'② Salary Input'!A:V,14,FALSE())/Settings!B6,0)</f>
        <v>358.54374999999999</v>
      </c>
    </row>
    <row r="339" spans="1:7" ht="15" customHeight="1" x14ac:dyDescent="0.2">
      <c r="A339" s="34" t="str">
        <f>'① Timelog Input'!B110</f>
        <v>Ishita.M</v>
      </c>
      <c r="B339" s="34" t="str">
        <f>'① Timelog Input'!C110</f>
        <v>CAS-IH_1173</v>
      </c>
      <c r="C339" s="34" t="str">
        <f>'① Timelog Input'!Q$3</f>
        <v>406 CONSULTING LLC</v>
      </c>
      <c r="D339" s="35">
        <f>'① Timelog Input'!Q110</f>
        <v>0</v>
      </c>
      <c r="E339" s="34" t="str">
        <f>'① Timelog Input'!H110</f>
        <v>Individual Tax</v>
      </c>
      <c r="F339" s="36" t="str">
        <f t="shared" si="5"/>
        <v>NO</v>
      </c>
      <c r="G339" s="35">
        <f>IFERROR(VLOOKUP(B339,'② Salary Input'!A:V,14,FALSE())/Settings!B6,0)</f>
        <v>60.487499999999997</v>
      </c>
    </row>
    <row r="340" spans="1:7" ht="15" customHeight="1" x14ac:dyDescent="0.2">
      <c r="A340" s="34" t="str">
        <f>'① Timelog Input'!B110</f>
        <v>Ishita.M</v>
      </c>
      <c r="B340" s="34" t="str">
        <f>'① Timelog Input'!C110</f>
        <v>CAS-IH_1173</v>
      </c>
      <c r="C340" s="34" t="str">
        <f>'① Timelog Input'!AB$3</f>
        <v>BRADLEY FINANCIAL SERVICES LLC</v>
      </c>
      <c r="D340" s="35">
        <f>'① Timelog Input'!AB110</f>
        <v>0</v>
      </c>
      <c r="E340" s="34" t="str">
        <f>'① Timelog Input'!H110</f>
        <v>Individual Tax</v>
      </c>
      <c r="F340" s="36" t="str">
        <f t="shared" si="5"/>
        <v>NO</v>
      </c>
      <c r="G340" s="35">
        <f>IFERROR(VLOOKUP(B340,'② Salary Input'!A:V,14,FALSE())/Settings!B6,0)</f>
        <v>60.487499999999997</v>
      </c>
    </row>
    <row r="341" spans="1:7" ht="15" customHeight="1" x14ac:dyDescent="0.2">
      <c r="A341" s="34" t="str">
        <f>'① Timelog Input'!B110</f>
        <v>Ishita.M</v>
      </c>
      <c r="B341" s="34" t="str">
        <f>'① Timelog Input'!C110</f>
        <v>CAS-IH_1173</v>
      </c>
      <c r="C341" s="34" t="str">
        <f>'① Timelog Input'!AI$3</f>
        <v>CLOUDIT</v>
      </c>
      <c r="D341" s="35">
        <f>'① Timelog Input'!AI110</f>
        <v>0</v>
      </c>
      <c r="E341" s="34" t="str">
        <f>'① Timelog Input'!H110</f>
        <v>Individual Tax</v>
      </c>
      <c r="F341" s="36" t="str">
        <f t="shared" si="5"/>
        <v>NO</v>
      </c>
      <c r="G341" s="35">
        <f>IFERROR(VLOOKUP(B341,'② Salary Input'!A:V,14,FALSE())/Settings!B6,0)</f>
        <v>60.487499999999997</v>
      </c>
    </row>
    <row r="342" spans="1:7" ht="15" customHeight="1" x14ac:dyDescent="0.2">
      <c r="A342" s="34" t="str">
        <f>'① Timelog Input'!B110</f>
        <v>Ishita.M</v>
      </c>
      <c r="B342" s="34" t="str">
        <f>'① Timelog Input'!C110</f>
        <v>CAS-IH_1173</v>
      </c>
      <c r="C342" s="34" t="str">
        <f>'① Timelog Input'!AM$3</f>
        <v>Fleming Accounting Solutions</v>
      </c>
      <c r="D342" s="35">
        <f>'① Timelog Input'!AM110</f>
        <v>0</v>
      </c>
      <c r="E342" s="34" t="str">
        <f>'① Timelog Input'!H110</f>
        <v>Individual Tax</v>
      </c>
      <c r="F342" s="36" t="str">
        <f t="shared" si="5"/>
        <v>NO</v>
      </c>
      <c r="G342" s="35">
        <f>IFERROR(VLOOKUP(B342,'② Salary Input'!A:V,14,FALSE())/Settings!B6,0)</f>
        <v>60.487499999999997</v>
      </c>
    </row>
    <row r="343" spans="1:7" ht="15" customHeight="1" x14ac:dyDescent="0.2">
      <c r="A343" s="34" t="str">
        <f>'① Timelog Input'!B110</f>
        <v>Ishita.M</v>
      </c>
      <c r="B343" s="34" t="str">
        <f>'① Timelog Input'!C110</f>
        <v>CAS-IH_1173</v>
      </c>
      <c r="C343" s="34" t="str">
        <f>'① Timelog Input'!AN$3</f>
        <v>FULL COMPLIANCE, LLC</v>
      </c>
      <c r="D343" s="35">
        <f>'① Timelog Input'!AN110</f>
        <v>0</v>
      </c>
      <c r="E343" s="34" t="str">
        <f>'① Timelog Input'!H110</f>
        <v>Individual Tax</v>
      </c>
      <c r="F343" s="36" t="str">
        <f t="shared" si="5"/>
        <v>NO</v>
      </c>
      <c r="G343" s="35">
        <f>IFERROR(VLOOKUP(B343,'② Salary Input'!A:V,14,FALSE())/Settings!B6,0)</f>
        <v>60.487499999999997</v>
      </c>
    </row>
    <row r="344" spans="1:7" ht="15" customHeight="1" x14ac:dyDescent="0.2">
      <c r="A344" s="34" t="str">
        <f>'① Timelog Input'!B110</f>
        <v>Ishita.M</v>
      </c>
      <c r="B344" s="34" t="str">
        <f>'① Timelog Input'!C110</f>
        <v>CAS-IH_1173</v>
      </c>
      <c r="C344" s="34" t="str">
        <f>'① Timelog Input'!AU$3</f>
        <v>jmWILLIAMS, CPA, LLP</v>
      </c>
      <c r="D344" s="35">
        <f>'① Timelog Input'!AU110</f>
        <v>0</v>
      </c>
      <c r="E344" s="34" t="str">
        <f>'① Timelog Input'!H110</f>
        <v>Individual Tax</v>
      </c>
      <c r="F344" s="36" t="str">
        <f t="shared" si="5"/>
        <v>NO</v>
      </c>
      <c r="G344" s="35">
        <f>IFERROR(VLOOKUP(B344,'② Salary Input'!A:V,14,FALSE())/Settings!B6,0)</f>
        <v>60.487499999999997</v>
      </c>
    </row>
    <row r="345" spans="1:7" ht="15" customHeight="1" x14ac:dyDescent="0.2">
      <c r="A345" s="34" t="str">
        <f>'① Timelog Input'!B110</f>
        <v>Ishita.M</v>
      </c>
      <c r="B345" s="34" t="str">
        <f>'① Timelog Input'!C110</f>
        <v>CAS-IH_1173</v>
      </c>
      <c r="C345" s="34" t="str">
        <f>'① Timelog Input'!BL$3</f>
        <v>PW ADVISORS LLC</v>
      </c>
      <c r="D345" s="35">
        <f>'① Timelog Input'!BL110</f>
        <v>0</v>
      </c>
      <c r="E345" s="34" t="str">
        <f>'① Timelog Input'!H110</f>
        <v>Individual Tax</v>
      </c>
      <c r="F345" s="36" t="str">
        <f t="shared" si="5"/>
        <v>NO</v>
      </c>
      <c r="G345" s="35">
        <f>IFERROR(VLOOKUP(B345,'② Salary Input'!A:V,14,FALSE())/Settings!B6,0)</f>
        <v>60.487499999999997</v>
      </c>
    </row>
    <row r="346" spans="1:7" ht="15" customHeight="1" x14ac:dyDescent="0.2">
      <c r="A346" s="34" t="str">
        <f>'① Timelog Input'!B111</f>
        <v>Arya.N</v>
      </c>
      <c r="B346" s="34" t="str">
        <f>'① Timelog Input'!C111</f>
        <v>CAS-IH_1174</v>
      </c>
      <c r="C346" s="34" t="str">
        <f>'① Timelog Input'!AG$3</f>
        <v>CHRIS WHALEN CPA, LLC</v>
      </c>
      <c r="D346" s="35">
        <f>'① Timelog Input'!AG111</f>
        <v>0</v>
      </c>
      <c r="E346" s="34" t="str">
        <f>'① Timelog Input'!H111</f>
        <v>Individual Tax</v>
      </c>
      <c r="F346" s="36" t="str">
        <f t="shared" si="5"/>
        <v>NO</v>
      </c>
      <c r="G346" s="35">
        <f>IFERROR(VLOOKUP(B346,'② Salary Input'!A:V,14,FALSE())/Settings!B6,0)</f>
        <v>108.86875000000001</v>
      </c>
    </row>
    <row r="347" spans="1:7" ht="15" customHeight="1" x14ac:dyDescent="0.2">
      <c r="A347" s="34" t="str">
        <f>'① Timelog Input'!B111</f>
        <v>Arya.N</v>
      </c>
      <c r="B347" s="34" t="str">
        <f>'① Timelog Input'!C111</f>
        <v>CAS-IH_1174</v>
      </c>
      <c r="C347" s="34" t="str">
        <f>'① Timelog Input'!AI$3</f>
        <v>CLOUDIT</v>
      </c>
      <c r="D347" s="35">
        <f>'① Timelog Input'!AI111</f>
        <v>117.43</v>
      </c>
      <c r="E347" s="34" t="str">
        <f>'① Timelog Input'!H111</f>
        <v>Individual Tax</v>
      </c>
      <c r="F347" s="36" t="str">
        <f t="shared" si="5"/>
        <v>NO</v>
      </c>
      <c r="G347" s="35">
        <f>IFERROR(VLOOKUP(B347,'② Salary Input'!A:V,14,FALSE())/Settings!B6,0)</f>
        <v>108.86875000000001</v>
      </c>
    </row>
    <row r="348" spans="1:7" ht="15" customHeight="1" x14ac:dyDescent="0.2">
      <c r="A348" s="34" t="str">
        <f>'① Timelog Input'!B111</f>
        <v>Arya.N</v>
      </c>
      <c r="B348" s="34" t="str">
        <f>'① Timelog Input'!C111</f>
        <v>CAS-IH_1174</v>
      </c>
      <c r="C348" s="34" t="str">
        <f>'① Timelog Input'!AM$3</f>
        <v>Fleming Accounting Solutions</v>
      </c>
      <c r="D348" s="35">
        <f>'① Timelog Input'!AM111</f>
        <v>3</v>
      </c>
      <c r="E348" s="34" t="str">
        <f>'① Timelog Input'!H111</f>
        <v>Individual Tax</v>
      </c>
      <c r="F348" s="36" t="str">
        <f t="shared" si="5"/>
        <v>NO</v>
      </c>
      <c r="G348" s="35">
        <f>IFERROR(VLOOKUP(B348,'② Salary Input'!A:V,14,FALSE())/Settings!B6,0)</f>
        <v>108.86875000000001</v>
      </c>
    </row>
    <row r="349" spans="1:7" ht="15" customHeight="1" x14ac:dyDescent="0.2">
      <c r="A349" s="34" t="str">
        <f>'① Timelog Input'!B111</f>
        <v>Arya.N</v>
      </c>
      <c r="B349" s="34" t="str">
        <f>'① Timelog Input'!C111</f>
        <v>CAS-IH_1174</v>
      </c>
      <c r="C349" s="34" t="str">
        <f>'① Timelog Input'!AN$3</f>
        <v>FULL COMPLIANCE, LLC</v>
      </c>
      <c r="D349" s="35">
        <f>'① Timelog Input'!AN111</f>
        <v>9</v>
      </c>
      <c r="E349" s="34" t="str">
        <f>'① Timelog Input'!H111</f>
        <v>Individual Tax</v>
      </c>
      <c r="F349" s="36" t="str">
        <f t="shared" si="5"/>
        <v>NO</v>
      </c>
      <c r="G349" s="35">
        <f>IFERROR(VLOOKUP(B349,'② Salary Input'!A:V,14,FALSE())/Settings!B6,0)</f>
        <v>108.86875000000001</v>
      </c>
    </row>
    <row r="350" spans="1:7" ht="15" customHeight="1" x14ac:dyDescent="0.2">
      <c r="A350" s="34" t="str">
        <f>'① Timelog Input'!B112</f>
        <v>Gaorav.C</v>
      </c>
      <c r="B350" s="34" t="str">
        <f>'① Timelog Input'!C112</f>
        <v>CAS-IH_1176</v>
      </c>
      <c r="C350" s="34" t="str">
        <f>'① Timelog Input'!Q$3</f>
        <v>406 CONSULTING LLC</v>
      </c>
      <c r="D350" s="35">
        <f>'① Timelog Input'!Q112</f>
        <v>0</v>
      </c>
      <c r="E350" s="34" t="str">
        <f>'① Timelog Input'!H112</f>
        <v>Individual Tax</v>
      </c>
      <c r="F350" s="36" t="str">
        <f t="shared" si="5"/>
        <v>NO</v>
      </c>
      <c r="G350" s="35">
        <f>IFERROR(VLOOKUP(B350,'② Salary Input'!A:V,14,FALSE())/Settings!B6,0)</f>
        <v>108.86875000000001</v>
      </c>
    </row>
    <row r="351" spans="1:7" ht="15" customHeight="1" x14ac:dyDescent="0.2">
      <c r="A351" s="34" t="str">
        <f>'① Timelog Input'!B112</f>
        <v>Gaorav.C</v>
      </c>
      <c r="B351" s="34" t="str">
        <f>'① Timelog Input'!C112</f>
        <v>CAS-IH_1176</v>
      </c>
      <c r="C351" s="34" t="str">
        <f>'① Timelog Input'!AI$3</f>
        <v>CLOUDIT</v>
      </c>
      <c r="D351" s="35">
        <f>'① Timelog Input'!AI112</f>
        <v>132.43</v>
      </c>
      <c r="E351" s="34" t="str">
        <f>'① Timelog Input'!H112</f>
        <v>Individual Tax</v>
      </c>
      <c r="F351" s="36" t="str">
        <f t="shared" si="5"/>
        <v>NO</v>
      </c>
      <c r="G351" s="35">
        <f>IFERROR(VLOOKUP(B351,'② Salary Input'!A:V,14,FALSE())/Settings!B6,0)</f>
        <v>108.86875000000001</v>
      </c>
    </row>
    <row r="352" spans="1:7" ht="15" customHeight="1" x14ac:dyDescent="0.2">
      <c r="A352" s="34" t="str">
        <f>'① Timelog Input'!B112</f>
        <v>Gaorav.C</v>
      </c>
      <c r="B352" s="34" t="str">
        <f>'① Timelog Input'!C112</f>
        <v>CAS-IH_1176</v>
      </c>
      <c r="C352" s="34" t="str">
        <f>'① Timelog Input'!AM$3</f>
        <v>Fleming Accounting Solutions</v>
      </c>
      <c r="D352" s="35">
        <f>'① Timelog Input'!AM112</f>
        <v>2</v>
      </c>
      <c r="E352" s="34" t="str">
        <f>'① Timelog Input'!H112</f>
        <v>Individual Tax</v>
      </c>
      <c r="F352" s="36" t="str">
        <f t="shared" si="5"/>
        <v>NO</v>
      </c>
      <c r="G352" s="35">
        <f>IFERROR(VLOOKUP(B352,'② Salary Input'!A:V,14,FALSE())/Settings!B6,0)</f>
        <v>108.86875000000001</v>
      </c>
    </row>
    <row r="353" spans="1:7" ht="15" customHeight="1" x14ac:dyDescent="0.2">
      <c r="A353" s="34" t="str">
        <f>'① Timelog Input'!B112</f>
        <v>Gaorav.C</v>
      </c>
      <c r="B353" s="34" t="str">
        <f>'① Timelog Input'!C112</f>
        <v>CAS-IH_1176</v>
      </c>
      <c r="C353" s="34" t="str">
        <f>'① Timelog Input'!AZ$3</f>
        <v>MARTIN D. EISENSTEIN, CPA</v>
      </c>
      <c r="D353" s="35">
        <f>'① Timelog Input'!AZ112</f>
        <v>0</v>
      </c>
      <c r="E353" s="34" t="str">
        <f>'① Timelog Input'!H112</f>
        <v>Individual Tax</v>
      </c>
      <c r="F353" s="36" t="str">
        <f t="shared" si="5"/>
        <v>NO</v>
      </c>
      <c r="G353" s="35">
        <f>IFERROR(VLOOKUP(B353,'② Salary Input'!A:V,14,FALSE())/Settings!B6,0)</f>
        <v>108.86875000000001</v>
      </c>
    </row>
    <row r="354" spans="1:7" ht="15" customHeight="1" x14ac:dyDescent="0.2">
      <c r="A354" s="34" t="str">
        <f>'① Timelog Input'!B115</f>
        <v>Archana.K</v>
      </c>
      <c r="B354" s="34" t="str">
        <f>'① Timelog Input'!C115</f>
        <v>CAS-RT_2418</v>
      </c>
      <c r="C354" s="34" t="str">
        <f>'① Timelog Input'!Q$3</f>
        <v>406 CONSULTING LLC</v>
      </c>
      <c r="D354" s="35">
        <f>'① Timelog Input'!Q115</f>
        <v>0</v>
      </c>
      <c r="E354" s="34" t="str">
        <f>'① Timelog Input'!H115</f>
        <v>Individual Tax</v>
      </c>
      <c r="F354" s="36" t="str">
        <f t="shared" si="5"/>
        <v>NO</v>
      </c>
      <c r="G354" s="35">
        <f>IFERROR(VLOOKUP(B354,'② Salary Input'!A:V,14,FALSE())/Settings!B6,0)</f>
        <v>0</v>
      </c>
    </row>
    <row r="355" spans="1:7" ht="15" customHeight="1" x14ac:dyDescent="0.2">
      <c r="A355" s="34" t="str">
        <f>'① Timelog Input'!B115</f>
        <v>Archana.K</v>
      </c>
      <c r="B355" s="34" t="str">
        <f>'① Timelog Input'!C115</f>
        <v>CAS-RT_2418</v>
      </c>
      <c r="C355" s="34" t="str">
        <f>'① Timelog Input'!AI$3</f>
        <v>CLOUDIT</v>
      </c>
      <c r="D355" s="35">
        <f>'① Timelog Input'!AI115</f>
        <v>0</v>
      </c>
      <c r="E355" s="34" t="str">
        <f>'① Timelog Input'!H115</f>
        <v>Individual Tax</v>
      </c>
      <c r="F355" s="36" t="str">
        <f t="shared" si="5"/>
        <v>NO</v>
      </c>
      <c r="G355" s="35">
        <f>IFERROR(VLOOKUP(B355,'② Salary Input'!A:V,14,FALSE())/Settings!B6,0)</f>
        <v>0</v>
      </c>
    </row>
    <row r="356" spans="1:7" ht="15" customHeight="1" x14ac:dyDescent="0.2">
      <c r="A356" s="34" t="str">
        <f>'① Timelog Input'!B115</f>
        <v>Archana.K</v>
      </c>
      <c r="B356" s="34" t="str">
        <f>'① Timelog Input'!C115</f>
        <v>CAS-RT_2418</v>
      </c>
      <c r="C356" s="34" t="str">
        <f>'① Timelog Input'!AZ$3</f>
        <v>MARTIN D. EISENSTEIN, CPA</v>
      </c>
      <c r="D356" s="35">
        <f>'① Timelog Input'!AZ115</f>
        <v>0</v>
      </c>
      <c r="E356" s="34" t="str">
        <f>'① Timelog Input'!H115</f>
        <v>Individual Tax</v>
      </c>
      <c r="F356" s="36" t="str">
        <f t="shared" si="5"/>
        <v>NO</v>
      </c>
      <c r="G356" s="35">
        <f>IFERROR(VLOOKUP(B356,'② Salary Input'!A:V,14,FALSE())/Settings!B6,0)</f>
        <v>0</v>
      </c>
    </row>
    <row r="357" spans="1:7" ht="15" customHeight="1" x14ac:dyDescent="0.2">
      <c r="A357" s="34" t="str">
        <f>'① Timelog Input'!B116</f>
        <v>Jinali.S</v>
      </c>
      <c r="B357" s="34" t="str">
        <f>'① Timelog Input'!C116</f>
        <v>CAS-RT_2419</v>
      </c>
      <c r="C357" s="34" t="str">
        <f>'① Timelog Input'!AI$3</f>
        <v>CLOUDIT</v>
      </c>
      <c r="D357" s="35">
        <f>'① Timelog Input'!AI116</f>
        <v>6.58</v>
      </c>
      <c r="E357" s="34" t="str">
        <f>'① Timelog Input'!H116</f>
        <v>Individual Tax</v>
      </c>
      <c r="F357" s="36" t="str">
        <f t="shared" si="5"/>
        <v>NO</v>
      </c>
      <c r="G357" s="35">
        <f>IFERROR(VLOOKUP(B357,'② Salary Input'!A:V,14,FALSE())/Settings!B6,0)</f>
        <v>0</v>
      </c>
    </row>
    <row r="358" spans="1:7" ht="15" customHeight="1" x14ac:dyDescent="0.2">
      <c r="A358" s="34" t="str">
        <f>'① Timelog Input'!B116</f>
        <v>Jinali.S</v>
      </c>
      <c r="B358" s="34" t="str">
        <f>'① Timelog Input'!C116</f>
        <v>CAS-RT_2419</v>
      </c>
      <c r="C358" s="34" t="str">
        <f>'① Timelog Input'!AM$3</f>
        <v>Fleming Accounting Solutions</v>
      </c>
      <c r="D358" s="35">
        <f>'① Timelog Input'!AM116</f>
        <v>0</v>
      </c>
      <c r="E358" s="34" t="str">
        <f>'① Timelog Input'!H116</f>
        <v>Individual Tax</v>
      </c>
      <c r="F358" s="36" t="str">
        <f t="shared" si="5"/>
        <v>NO</v>
      </c>
      <c r="G358" s="35">
        <f>IFERROR(VLOOKUP(B358,'② Salary Input'!A:V,14,FALSE())/Settings!B6,0)</f>
        <v>0</v>
      </c>
    </row>
    <row r="359" spans="1:7" ht="15" customHeight="1" x14ac:dyDescent="0.2">
      <c r="A359" s="34" t="str">
        <f>'① Timelog Input'!B116</f>
        <v>Jinali.S</v>
      </c>
      <c r="B359" s="34" t="str">
        <f>'① Timelog Input'!C116</f>
        <v>CAS-RT_2419</v>
      </c>
      <c r="C359" s="34" t="str">
        <f>'① Timelog Input'!BE$3</f>
        <v>NATIONAL TAX CENTERS, LLC</v>
      </c>
      <c r="D359" s="35">
        <f>'① Timelog Input'!BE116</f>
        <v>0</v>
      </c>
      <c r="E359" s="34" t="str">
        <f>'① Timelog Input'!H116</f>
        <v>Individual Tax</v>
      </c>
      <c r="F359" s="36" t="str">
        <f t="shared" si="5"/>
        <v>NO</v>
      </c>
      <c r="G359" s="35">
        <f>IFERROR(VLOOKUP(B359,'② Salary Input'!A:V,14,FALSE())/Settings!B6,0)</f>
        <v>0</v>
      </c>
    </row>
    <row r="360" spans="1:7" ht="15" customHeight="1" x14ac:dyDescent="0.2">
      <c r="A360" s="34" t="str">
        <f>'① Timelog Input'!B116</f>
        <v>Jinali.S</v>
      </c>
      <c r="B360" s="34" t="str">
        <f>'① Timelog Input'!C116</f>
        <v>CAS-RT_2419</v>
      </c>
      <c r="C360" s="34" t="str">
        <f>'① Timelog Input'!BI$3</f>
        <v>ONE KOSMOS, INC.</v>
      </c>
      <c r="D360" s="35">
        <f>'① Timelog Input'!BI116</f>
        <v>0</v>
      </c>
      <c r="E360" s="34" t="str">
        <f>'① Timelog Input'!H116</f>
        <v>Individual Tax</v>
      </c>
      <c r="F360" s="36" t="str">
        <f t="shared" si="5"/>
        <v>NO</v>
      </c>
      <c r="G360" s="35">
        <f>IFERROR(VLOOKUP(B360,'② Salary Input'!A:V,14,FALSE())/Settings!B6,0)</f>
        <v>0</v>
      </c>
    </row>
    <row r="361" spans="1:7" ht="15" customHeight="1" x14ac:dyDescent="0.2">
      <c r="A361" s="34" t="str">
        <f>'① Timelog Input'!B117</f>
        <v>Snehal</v>
      </c>
      <c r="B361" s="34" t="str">
        <f>'① Timelog Input'!C117</f>
        <v>CAS-IH_1177</v>
      </c>
      <c r="C361" s="34" t="str">
        <f>'① Timelog Input'!AA$3</f>
        <v>BORISTAX INC</v>
      </c>
      <c r="D361" s="35">
        <f>'① Timelog Input'!AA117</f>
        <v>0</v>
      </c>
      <c r="E361" s="34" t="str">
        <f>'① Timelog Input'!H117</f>
        <v>FP&amp;A</v>
      </c>
      <c r="F361" s="36" t="str">
        <f t="shared" si="5"/>
        <v>NO</v>
      </c>
      <c r="G361" s="35">
        <f>IFERROR(VLOOKUP(B361,'② Salary Input'!A:V,14,FALSE())/Settings!B6,0)</f>
        <v>342.74374999999998</v>
      </c>
    </row>
    <row r="362" spans="1:7" ht="15" customHeight="1" x14ac:dyDescent="0.2">
      <c r="A362" s="34" t="str">
        <f>'① Timelog Input'!B117</f>
        <v>Snehal</v>
      </c>
      <c r="B362" s="34" t="str">
        <f>'① Timelog Input'!C117</f>
        <v>CAS-IH_1177</v>
      </c>
      <c r="C362" s="34" t="str">
        <f>'① Timelog Input'!AI$3</f>
        <v>CLOUDIT</v>
      </c>
      <c r="D362" s="35">
        <f>'① Timelog Input'!AI117</f>
        <v>11.67</v>
      </c>
      <c r="E362" s="34" t="str">
        <f>'① Timelog Input'!H117</f>
        <v>FP&amp;A</v>
      </c>
      <c r="F362" s="36" t="str">
        <f t="shared" si="5"/>
        <v>NO</v>
      </c>
      <c r="G362" s="35">
        <f>IFERROR(VLOOKUP(B362,'② Salary Input'!A:V,14,FALSE())/Settings!B6,0)</f>
        <v>342.74374999999998</v>
      </c>
    </row>
    <row r="363" spans="1:7" ht="15" customHeight="1" x14ac:dyDescent="0.2">
      <c r="A363" s="34" t="str">
        <f>'① Timelog Input'!B118</f>
        <v>Sukhdeep.K</v>
      </c>
      <c r="B363" s="34" t="str">
        <f>'① Timelog Input'!C118</f>
        <v>CAS-IH_1178</v>
      </c>
      <c r="C363" s="34" t="str">
        <f>'① Timelog Input'!AI$3</f>
        <v>CLOUDIT</v>
      </c>
      <c r="D363" s="35">
        <f>'① Timelog Input'!AI118</f>
        <v>98.15</v>
      </c>
      <c r="E363" s="34" t="str">
        <f>'① Timelog Input'!H118</f>
        <v>Accounting</v>
      </c>
      <c r="F363" s="36" t="str">
        <f t="shared" si="5"/>
        <v>NO</v>
      </c>
      <c r="G363" s="35">
        <f>IFERROR(VLOOKUP(B363,'② Salary Input'!A:V,14,FALSE())/Settings!B6,0)</f>
        <v>191.33125000000001</v>
      </c>
    </row>
    <row r="364" spans="1:7" ht="15" customHeight="1" x14ac:dyDescent="0.2">
      <c r="A364" s="34" t="str">
        <f>'① Timelog Input'!B118</f>
        <v>Sukhdeep.K</v>
      </c>
      <c r="B364" s="34" t="str">
        <f>'① Timelog Input'!C118</f>
        <v>CAS-IH_1178</v>
      </c>
      <c r="C364" s="34" t="str">
        <f>'① Timelog Input'!AR$3</f>
        <v>IAM ACCOUNTING LLC</v>
      </c>
      <c r="D364" s="35">
        <f>'① Timelog Input'!AR118</f>
        <v>0</v>
      </c>
      <c r="E364" s="34" t="str">
        <f>'① Timelog Input'!H118</f>
        <v>Accounting</v>
      </c>
      <c r="F364" s="36" t="str">
        <f t="shared" si="5"/>
        <v>NO</v>
      </c>
      <c r="G364" s="35">
        <f>IFERROR(VLOOKUP(B364,'② Salary Input'!A:V,14,FALSE())/Settings!B6,0)</f>
        <v>191.33125000000001</v>
      </c>
    </row>
    <row r="365" spans="1:7" ht="15" customHeight="1" x14ac:dyDescent="0.2">
      <c r="A365" s="34" t="str">
        <f>'① Timelog Input'!B119</f>
        <v>Anjali.J</v>
      </c>
      <c r="B365" s="34" t="str">
        <f>'① Timelog Input'!C119</f>
        <v>CAS-RT_2420</v>
      </c>
      <c r="C365" s="34" t="str">
        <f>'① Timelog Input'!AC$3</f>
        <v>BRIGHTSKIES BUSINESS SERVICES, LLC</v>
      </c>
      <c r="D365" s="35">
        <f>'① Timelog Input'!AC119</f>
        <v>0</v>
      </c>
      <c r="E365" s="34" t="str">
        <f>'① Timelog Input'!H119</f>
        <v>Accounting</v>
      </c>
      <c r="F365" s="36" t="str">
        <f t="shared" si="5"/>
        <v>NO</v>
      </c>
      <c r="G365" s="35">
        <f>IFERROR(VLOOKUP(B365,'② Salary Input'!A:V,14,FALSE())/Settings!B6,0)</f>
        <v>117.5</v>
      </c>
    </row>
    <row r="366" spans="1:7" ht="15" customHeight="1" x14ac:dyDescent="0.2">
      <c r="A366" s="34" t="str">
        <f>'① Timelog Input'!B119</f>
        <v>Anjali.J</v>
      </c>
      <c r="B366" s="34" t="str">
        <f>'① Timelog Input'!C119</f>
        <v>CAS-RT_2420</v>
      </c>
      <c r="C366" s="34" t="str">
        <f>'① Timelog Input'!AD$3</f>
        <v>BUSINESS NAVIGATORS LLC</v>
      </c>
      <c r="D366" s="35">
        <f>'① Timelog Input'!AD119</f>
        <v>0</v>
      </c>
      <c r="E366" s="34" t="str">
        <f>'① Timelog Input'!H119</f>
        <v>Accounting</v>
      </c>
      <c r="F366" s="36" t="str">
        <f t="shared" si="5"/>
        <v>NO</v>
      </c>
      <c r="G366" s="35">
        <f>IFERROR(VLOOKUP(B366,'② Salary Input'!A:V,14,FALSE())/Settings!B6,0)</f>
        <v>117.5</v>
      </c>
    </row>
    <row r="367" spans="1:7" ht="15" customHeight="1" x14ac:dyDescent="0.2">
      <c r="A367" s="34" t="str">
        <f>'① Timelog Input'!B119</f>
        <v>Anjali.J</v>
      </c>
      <c r="B367" s="34" t="str">
        <f>'① Timelog Input'!C119</f>
        <v>CAS-RT_2420</v>
      </c>
      <c r="C367" s="34" t="str">
        <f>'① Timelog Input'!AE$3</f>
        <v>CASCFO Advisory- United States</v>
      </c>
      <c r="D367" s="35">
        <f>'① Timelog Input'!AE119</f>
        <v>0</v>
      </c>
      <c r="E367" s="34" t="str">
        <f>'① Timelog Input'!H119</f>
        <v>Accounting</v>
      </c>
      <c r="F367" s="36" t="str">
        <f t="shared" si="5"/>
        <v>NO</v>
      </c>
      <c r="G367" s="35">
        <f>IFERROR(VLOOKUP(B367,'② Salary Input'!A:V,14,FALSE())/Settings!B6,0)</f>
        <v>117.5</v>
      </c>
    </row>
    <row r="368" spans="1:7" ht="15" customHeight="1" x14ac:dyDescent="0.2">
      <c r="A368" s="34" t="str">
        <f>'① Timelog Input'!B119</f>
        <v>Anjali.J</v>
      </c>
      <c r="B368" s="34" t="str">
        <f>'① Timelog Input'!C119</f>
        <v>CAS-RT_2420</v>
      </c>
      <c r="C368" s="34" t="str">
        <f>'① Timelog Input'!AI$3</f>
        <v>CLOUDIT</v>
      </c>
      <c r="D368" s="35">
        <f>'① Timelog Input'!AI119</f>
        <v>12</v>
      </c>
      <c r="E368" s="34" t="str">
        <f>'① Timelog Input'!H119</f>
        <v>Accounting</v>
      </c>
      <c r="F368" s="36" t="str">
        <f t="shared" si="5"/>
        <v>NO</v>
      </c>
      <c r="G368" s="35">
        <f>IFERROR(VLOOKUP(B368,'② Salary Input'!A:V,14,FALSE())/Settings!B6,0)</f>
        <v>117.5</v>
      </c>
    </row>
    <row r="369" spans="1:7" ht="15" customHeight="1" x14ac:dyDescent="0.2">
      <c r="A369" s="34" t="str">
        <f>'① Timelog Input'!B119</f>
        <v>Anjali.J</v>
      </c>
      <c r="B369" s="34" t="str">
        <f>'① Timelog Input'!C119</f>
        <v>CAS-RT_2420</v>
      </c>
      <c r="C369" s="34" t="str">
        <f>'① Timelog Input'!AT$3</f>
        <v>INVENT WEALTH, CPA</v>
      </c>
      <c r="D369" s="35">
        <f>'① Timelog Input'!AT119</f>
        <v>0</v>
      </c>
      <c r="E369" s="34" t="str">
        <f>'① Timelog Input'!H119</f>
        <v>Accounting</v>
      </c>
      <c r="F369" s="36" t="str">
        <f t="shared" si="5"/>
        <v>NO</v>
      </c>
      <c r="G369" s="35">
        <f>IFERROR(VLOOKUP(B369,'② Salary Input'!A:V,14,FALSE())/Settings!B6,0)</f>
        <v>117.5</v>
      </c>
    </row>
    <row r="370" spans="1:7" ht="15" customHeight="1" x14ac:dyDescent="0.2">
      <c r="A370" s="34" t="str">
        <f>'① Timelog Input'!B119</f>
        <v>Anjali.J</v>
      </c>
      <c r="B370" s="34" t="str">
        <f>'① Timelog Input'!C119</f>
        <v>CAS-RT_2420</v>
      </c>
      <c r="C370" s="34" t="str">
        <f>'① Timelog Input'!BG$3</f>
        <v>NEWELL TAYLOR CPA</v>
      </c>
      <c r="D370" s="35">
        <f>'① Timelog Input'!BG119</f>
        <v>0</v>
      </c>
      <c r="E370" s="34" t="str">
        <f>'① Timelog Input'!H119</f>
        <v>Accounting</v>
      </c>
      <c r="F370" s="36" t="str">
        <f t="shared" si="5"/>
        <v>NO</v>
      </c>
      <c r="G370" s="35">
        <f>IFERROR(VLOOKUP(B370,'② Salary Input'!A:V,14,FALSE())/Settings!B6,0)</f>
        <v>117.5</v>
      </c>
    </row>
    <row r="371" spans="1:7" ht="15" customHeight="1" x14ac:dyDescent="0.2">
      <c r="A371" s="34" t="str">
        <f>'① Timelog Input'!B119</f>
        <v>Anjali.J</v>
      </c>
      <c r="B371" s="34" t="str">
        <f>'① Timelog Input'!C119</f>
        <v>CAS-RT_2420</v>
      </c>
      <c r="C371" s="34" t="str">
        <f>'① Timelog Input'!BO$3</f>
        <v>RRAW CPA LLP</v>
      </c>
      <c r="D371" s="35">
        <f>'① Timelog Input'!BO119</f>
        <v>0</v>
      </c>
      <c r="E371" s="34" t="str">
        <f>'① Timelog Input'!H119</f>
        <v>Accounting</v>
      </c>
      <c r="F371" s="36" t="str">
        <f t="shared" si="5"/>
        <v>NO</v>
      </c>
      <c r="G371" s="35">
        <f>IFERROR(VLOOKUP(B371,'② Salary Input'!A:V,14,FALSE())/Settings!B6,0)</f>
        <v>117.5</v>
      </c>
    </row>
    <row r="372" spans="1:7" ht="15" customHeight="1" x14ac:dyDescent="0.2">
      <c r="A372" s="34" t="str">
        <f>'① Timelog Input'!B120</f>
        <v>Pallavi.A</v>
      </c>
      <c r="B372" s="34" t="str">
        <f>'① Timelog Input'!C120</f>
        <v>CAS-RT_2421</v>
      </c>
      <c r="C372" s="34" t="str">
        <f>'① Timelog Input'!Q$3</f>
        <v>406 CONSULTING LLC</v>
      </c>
      <c r="D372" s="35">
        <f>'① Timelog Input'!Q120</f>
        <v>0</v>
      </c>
      <c r="E372" s="34" t="str">
        <f>'① Timelog Input'!H120</f>
        <v>Accounting</v>
      </c>
      <c r="F372" s="36" t="str">
        <f t="shared" si="5"/>
        <v>NO</v>
      </c>
      <c r="G372" s="35">
        <f>IFERROR(VLOOKUP(B372,'② Salary Input'!A:V,14,FALSE())/Settings!B6,0)</f>
        <v>0</v>
      </c>
    </row>
    <row r="373" spans="1:7" ht="15" customHeight="1" x14ac:dyDescent="0.2">
      <c r="A373" s="34" t="str">
        <f>'① Timelog Input'!B120</f>
        <v>Pallavi.A</v>
      </c>
      <c r="B373" s="34" t="str">
        <f>'① Timelog Input'!C120</f>
        <v>CAS-RT_2421</v>
      </c>
      <c r="C373" s="34" t="str">
        <f>'① Timelog Input'!AI$3</f>
        <v>CLOUDIT</v>
      </c>
      <c r="D373" s="35">
        <f>'① Timelog Input'!AI120</f>
        <v>15.25</v>
      </c>
      <c r="E373" s="34" t="str">
        <f>'① Timelog Input'!H120</f>
        <v>Accounting</v>
      </c>
      <c r="F373" s="36" t="str">
        <f t="shared" si="5"/>
        <v>NO</v>
      </c>
      <c r="G373" s="35">
        <f>IFERROR(VLOOKUP(B373,'② Salary Input'!A:V,14,FALSE())/Settings!B6,0)</f>
        <v>0</v>
      </c>
    </row>
    <row r="374" spans="1:7" ht="15" customHeight="1" x14ac:dyDescent="0.2">
      <c r="A374" s="34" t="str">
        <f>'① Timelog Input'!B120</f>
        <v>Pallavi.A</v>
      </c>
      <c r="B374" s="34" t="str">
        <f>'① Timelog Input'!C120</f>
        <v>CAS-RT_2421</v>
      </c>
      <c r="C374" s="34" t="str">
        <f>'① Timelog Input'!AT$3</f>
        <v>INVENT WEALTH, CPA</v>
      </c>
      <c r="D374" s="35">
        <f>'① Timelog Input'!AT120</f>
        <v>43.84</v>
      </c>
      <c r="E374" s="34" t="str">
        <f>'① Timelog Input'!H120</f>
        <v>Accounting</v>
      </c>
      <c r="F374" s="36" t="str">
        <f t="shared" si="5"/>
        <v>NO</v>
      </c>
      <c r="G374" s="35">
        <f>IFERROR(VLOOKUP(B374,'② Salary Input'!A:V,14,FALSE())/Settings!B6,0)</f>
        <v>0</v>
      </c>
    </row>
    <row r="375" spans="1:7" ht="15" customHeight="1" x14ac:dyDescent="0.2">
      <c r="A375" s="34" t="str">
        <f>'① Timelog Input'!B120</f>
        <v>Pallavi.A</v>
      </c>
      <c r="B375" s="34" t="str">
        <f>'① Timelog Input'!C120</f>
        <v>CAS-RT_2421</v>
      </c>
      <c r="C375" s="34" t="str">
        <f>'① Timelog Input'!BE$3</f>
        <v>NATIONAL TAX CENTERS, LLC</v>
      </c>
      <c r="D375" s="35">
        <f>'① Timelog Input'!BE120</f>
        <v>0</v>
      </c>
      <c r="E375" s="34" t="str">
        <f>'① Timelog Input'!H120</f>
        <v>Accounting</v>
      </c>
      <c r="F375" s="36" t="str">
        <f t="shared" si="5"/>
        <v>NO</v>
      </c>
      <c r="G375" s="35">
        <f>IFERROR(VLOOKUP(B375,'② Salary Input'!A:V,14,FALSE())/Settings!B6,0)</f>
        <v>0</v>
      </c>
    </row>
    <row r="376" spans="1:7" ht="15" customHeight="1" x14ac:dyDescent="0.2">
      <c r="A376" s="34" t="str">
        <f>'① Timelog Input'!B120</f>
        <v>Pallavi.A</v>
      </c>
      <c r="B376" s="34" t="str">
        <f>'① Timelog Input'!C120</f>
        <v>CAS-RT_2421</v>
      </c>
      <c r="C376" s="34" t="str">
        <f>'① Timelog Input'!BK$3</f>
        <v>PROVISION ACCOUNTING SOLUTIONS</v>
      </c>
      <c r="D376" s="35">
        <f>'① Timelog Input'!BK120</f>
        <v>0</v>
      </c>
      <c r="E376" s="34" t="str">
        <f>'① Timelog Input'!H120</f>
        <v>Accounting</v>
      </c>
      <c r="F376" s="36" t="str">
        <f t="shared" si="5"/>
        <v>NO</v>
      </c>
      <c r="G376" s="35">
        <f>IFERROR(VLOOKUP(B376,'② Salary Input'!A:V,14,FALSE())/Settings!B6,0)</f>
        <v>0</v>
      </c>
    </row>
    <row r="377" spans="1:7" ht="15" customHeight="1" x14ac:dyDescent="0.2">
      <c r="A377" s="34" t="str">
        <f>'① Timelog Input'!B121</f>
        <v>Twinkle.C</v>
      </c>
      <c r="B377" s="34" t="str">
        <f>'① Timelog Input'!C121</f>
        <v>CAS-RT_2422</v>
      </c>
      <c r="C377" s="34" t="str">
        <f>'① Timelog Input'!AI$3</f>
        <v>CLOUDIT</v>
      </c>
      <c r="D377" s="35">
        <f>'① Timelog Input'!AI121</f>
        <v>39.32</v>
      </c>
      <c r="E377" s="34" t="str">
        <f>'① Timelog Input'!H121</f>
        <v>Business Tax</v>
      </c>
      <c r="F377" s="36" t="str">
        <f t="shared" si="5"/>
        <v>NO</v>
      </c>
      <c r="G377" s="35">
        <f>IFERROR(VLOOKUP(B377,'② Salary Input'!A:V,14,FALSE())/Settings!B6,0)</f>
        <v>36.200000000000003</v>
      </c>
    </row>
    <row r="378" spans="1:7" ht="15" customHeight="1" x14ac:dyDescent="0.2">
      <c r="A378" s="34" t="str">
        <f>'① Timelog Input'!B121</f>
        <v>Twinkle.C</v>
      </c>
      <c r="B378" s="34" t="str">
        <f>'① Timelog Input'!C121</f>
        <v>CAS-RT_2422</v>
      </c>
      <c r="C378" s="34" t="str">
        <f>'① Timelog Input'!CA$3</f>
        <v>WE ARE QUADRANT</v>
      </c>
      <c r="D378" s="35">
        <f>'① Timelog Input'!CA121</f>
        <v>0</v>
      </c>
      <c r="E378" s="34" t="str">
        <f>'① Timelog Input'!H121</f>
        <v>Business Tax</v>
      </c>
      <c r="F378" s="36" t="str">
        <f t="shared" si="5"/>
        <v>NO</v>
      </c>
      <c r="G378" s="35">
        <f>IFERROR(VLOOKUP(B378,'② Salary Input'!A:V,14,FALSE())/Settings!B6,0)</f>
        <v>36.200000000000003</v>
      </c>
    </row>
    <row r="379" spans="1:7" ht="15" customHeight="1" x14ac:dyDescent="0.2">
      <c r="A379" s="34" t="str">
        <f>'① Timelog Input'!B123</f>
        <v>Bhupendra.S</v>
      </c>
      <c r="B379" s="34" t="str">
        <f>'① Timelog Input'!C123</f>
        <v>CAS-RT_2425</v>
      </c>
      <c r="C379" s="34" t="str">
        <f>'① Timelog Input'!Q$3</f>
        <v>406 CONSULTING LLC</v>
      </c>
      <c r="D379" s="35">
        <f>'① Timelog Input'!Q123</f>
        <v>0</v>
      </c>
      <c r="E379" s="34" t="str">
        <f>'① Timelog Input'!H123</f>
        <v>Accounting</v>
      </c>
      <c r="F379" s="36" t="str">
        <f t="shared" si="5"/>
        <v>NO</v>
      </c>
      <c r="G379" s="35">
        <f>IFERROR(VLOOKUP(B379,'② Salary Input'!A:V,14,FALSE())/Settings!B6,0)</f>
        <v>0</v>
      </c>
    </row>
    <row r="380" spans="1:7" ht="15" customHeight="1" x14ac:dyDescent="0.2">
      <c r="A380" s="34" t="str">
        <f>'① Timelog Input'!B123</f>
        <v>Bhupendra.S</v>
      </c>
      <c r="B380" s="34" t="str">
        <f>'① Timelog Input'!C123</f>
        <v>CAS-RT_2425</v>
      </c>
      <c r="C380" s="34" t="str">
        <f>'① Timelog Input'!AI$3</f>
        <v>CLOUDIT</v>
      </c>
      <c r="D380" s="35">
        <f>'① Timelog Input'!AI123</f>
        <v>0</v>
      </c>
      <c r="E380" s="34" t="str">
        <f>'① Timelog Input'!H123</f>
        <v>Accounting</v>
      </c>
      <c r="F380" s="36" t="str">
        <f t="shared" si="5"/>
        <v>NO</v>
      </c>
      <c r="G380" s="35">
        <f>IFERROR(VLOOKUP(B380,'② Salary Input'!A:V,14,FALSE())/Settings!B6,0)</f>
        <v>0</v>
      </c>
    </row>
    <row r="381" spans="1:7" ht="15" customHeight="1" x14ac:dyDescent="0.2">
      <c r="A381" s="34" t="str">
        <f>'① Timelog Input'!B123</f>
        <v>Bhupendra.S</v>
      </c>
      <c r="B381" s="34" t="str">
        <f>'① Timelog Input'!C123</f>
        <v>CAS-RT_2425</v>
      </c>
      <c r="C381" s="34" t="str">
        <f>'① Timelog Input'!AM$3</f>
        <v>Fleming Accounting Solutions</v>
      </c>
      <c r="D381" s="35">
        <f>'① Timelog Input'!AM123</f>
        <v>0</v>
      </c>
      <c r="E381" s="34" t="str">
        <f>'① Timelog Input'!H123</f>
        <v>Accounting</v>
      </c>
      <c r="F381" s="36" t="str">
        <f t="shared" si="5"/>
        <v>NO</v>
      </c>
      <c r="G381" s="35">
        <f>IFERROR(VLOOKUP(B381,'② Salary Input'!A:V,14,FALSE())/Settings!B6,0)</f>
        <v>0</v>
      </c>
    </row>
    <row r="382" spans="1:7" ht="15" customHeight="1" x14ac:dyDescent="0.2">
      <c r="A382" s="34" t="str">
        <f>'① Timelog Input'!B123</f>
        <v>Bhupendra.S</v>
      </c>
      <c r="B382" s="34" t="str">
        <f>'① Timelog Input'!C123</f>
        <v>CAS-RT_2425</v>
      </c>
      <c r="C382" s="34" t="str">
        <f>'① Timelog Input'!AZ$3</f>
        <v>MARTIN D. EISENSTEIN, CPA</v>
      </c>
      <c r="D382" s="35">
        <f>'① Timelog Input'!AZ123</f>
        <v>0</v>
      </c>
      <c r="E382" s="34" t="str">
        <f>'① Timelog Input'!H123</f>
        <v>Accounting</v>
      </c>
      <c r="F382" s="36" t="str">
        <f t="shared" si="5"/>
        <v>NO</v>
      </c>
      <c r="G382" s="35">
        <f>IFERROR(VLOOKUP(B382,'② Salary Input'!A:V,14,FALSE())/Settings!B6,0)</f>
        <v>0</v>
      </c>
    </row>
    <row r="383" spans="1:7" ht="15" customHeight="1" x14ac:dyDescent="0.2">
      <c r="A383" s="34" t="str">
        <f>'① Timelog Input'!B123</f>
        <v>Bhupendra.S</v>
      </c>
      <c r="B383" s="34" t="str">
        <f>'① Timelog Input'!C123</f>
        <v>CAS-RT_2425</v>
      </c>
      <c r="C383" s="34" t="str">
        <f>'① Timelog Input'!BE$3</f>
        <v>NATIONAL TAX CENTERS, LLC</v>
      </c>
      <c r="D383" s="35">
        <f>'① Timelog Input'!BE123</f>
        <v>0</v>
      </c>
      <c r="E383" s="34" t="str">
        <f>'① Timelog Input'!H123</f>
        <v>Accounting</v>
      </c>
      <c r="F383" s="36" t="str">
        <f t="shared" si="5"/>
        <v>NO</v>
      </c>
      <c r="G383" s="35">
        <f>IFERROR(VLOOKUP(B383,'② Salary Input'!A:V,14,FALSE())/Settings!B6,0)</f>
        <v>0</v>
      </c>
    </row>
    <row r="384" spans="1:7" ht="15" customHeight="1" x14ac:dyDescent="0.2">
      <c r="A384" s="34" t="str">
        <f>'① Timelog Input'!B123</f>
        <v>Bhupendra.S</v>
      </c>
      <c r="B384" s="34" t="str">
        <f>'① Timelog Input'!C123</f>
        <v>CAS-RT_2425</v>
      </c>
      <c r="C384" s="34" t="str">
        <f>'① Timelog Input'!BT$3</f>
        <v>TAX GEEK LLC</v>
      </c>
      <c r="D384" s="35">
        <f>'① Timelog Input'!BT123</f>
        <v>0</v>
      </c>
      <c r="E384" s="34" t="str">
        <f>'① Timelog Input'!H123</f>
        <v>Accounting</v>
      </c>
      <c r="F384" s="36" t="str">
        <f t="shared" si="5"/>
        <v>NO</v>
      </c>
      <c r="G384" s="35">
        <f>IFERROR(VLOOKUP(B384,'② Salary Input'!A:V,14,FALSE())/Settings!B6,0)</f>
        <v>0</v>
      </c>
    </row>
    <row r="385" spans="1:7" ht="15" customHeight="1" x14ac:dyDescent="0.2">
      <c r="A385" s="34" t="str">
        <f>'① Timelog Input'!B124</f>
        <v>Priya.S</v>
      </c>
      <c r="B385" s="34" t="str">
        <f>'① Timelog Input'!C124</f>
        <v>CAS-RT_2426</v>
      </c>
      <c r="C385" s="34" t="str">
        <f>'① Timelog Input'!T$3</f>
        <v>ABACUS BUSINESS SOLUTIONS, LLC</v>
      </c>
      <c r="D385" s="35">
        <f>'① Timelog Input'!T124</f>
        <v>0</v>
      </c>
      <c r="E385" s="34" t="str">
        <f>'① Timelog Input'!H124</f>
        <v>Accounting</v>
      </c>
      <c r="F385" s="36" t="str">
        <f t="shared" si="5"/>
        <v>NO</v>
      </c>
      <c r="G385" s="35">
        <f>IFERROR(VLOOKUP(B385,'② Salary Input'!A:V,14,FALSE())/Settings!B6,0)</f>
        <v>28.125</v>
      </c>
    </row>
    <row r="386" spans="1:7" ht="15" customHeight="1" x14ac:dyDescent="0.2">
      <c r="A386" s="34" t="str">
        <f>'① Timelog Input'!B124</f>
        <v>Priya.S</v>
      </c>
      <c r="B386" s="34" t="str">
        <f>'① Timelog Input'!C124</f>
        <v>CAS-RT_2426</v>
      </c>
      <c r="C386" s="34" t="str">
        <f>'① Timelog Input'!AI$3</f>
        <v>CLOUDIT</v>
      </c>
      <c r="D386" s="35">
        <f>'① Timelog Input'!AI124</f>
        <v>8</v>
      </c>
      <c r="E386" s="34" t="str">
        <f>'① Timelog Input'!H124</f>
        <v>Accounting</v>
      </c>
      <c r="F386" s="36" t="str">
        <f t="shared" si="5"/>
        <v>NO</v>
      </c>
      <c r="G386" s="35">
        <f>IFERROR(VLOOKUP(B386,'② Salary Input'!A:V,14,FALSE())/Settings!B6,0)</f>
        <v>28.125</v>
      </c>
    </row>
    <row r="387" spans="1:7" ht="15" customHeight="1" x14ac:dyDescent="0.2">
      <c r="A387" s="34" t="str">
        <f>'① Timelog Input'!B125</f>
        <v>Kanika.G</v>
      </c>
      <c r="B387" s="34" t="str">
        <f>'① Timelog Input'!C125</f>
        <v>CAS-IH_1179</v>
      </c>
      <c r="C387" s="34" t="str">
        <f>'① Timelog Input'!AH$3</f>
        <v>CLARK FINANCIALS</v>
      </c>
      <c r="D387" s="35">
        <f>'① Timelog Input'!AH125</f>
        <v>0</v>
      </c>
      <c r="E387" s="34" t="str">
        <f>'① Timelog Input'!H125</f>
        <v>Accounting</v>
      </c>
      <c r="F387" s="36" t="str">
        <f t="shared" si="5"/>
        <v>NO</v>
      </c>
      <c r="G387" s="35">
        <f>IFERROR(VLOOKUP(B387,'② Salary Input'!A:V,14,FALSE())/Settings!B6,0)</f>
        <v>27.212499999999999</v>
      </c>
    </row>
    <row r="388" spans="1:7" ht="15" customHeight="1" x14ac:dyDescent="0.2">
      <c r="A388" s="34" t="str">
        <f>'① Timelog Input'!B125</f>
        <v>Kanika.G</v>
      </c>
      <c r="B388" s="34" t="str">
        <f>'① Timelog Input'!C125</f>
        <v>CAS-IH_1179</v>
      </c>
      <c r="C388" s="34" t="str">
        <f>'① Timelog Input'!AI$3</f>
        <v>CLOUDIT</v>
      </c>
      <c r="D388" s="35">
        <f>'① Timelog Input'!AI125</f>
        <v>60.68</v>
      </c>
      <c r="E388" s="34" t="str">
        <f>'① Timelog Input'!H125</f>
        <v>Accounting</v>
      </c>
      <c r="F388" s="36" t="str">
        <f t="shared" ref="F388:F412" si="6">IF(OR(E388="HR",E388="IT",E388="Marketing"),"YES","NO")</f>
        <v>NO</v>
      </c>
      <c r="G388" s="35">
        <f>IFERROR(VLOOKUP(B388,'② Salary Input'!A:V,14,FALSE())/Settings!B6,0)</f>
        <v>27.212499999999999</v>
      </c>
    </row>
    <row r="389" spans="1:7" ht="15" customHeight="1" x14ac:dyDescent="0.2">
      <c r="A389" s="34" t="str">
        <f>'① Timelog Input'!B125</f>
        <v>Kanika.G</v>
      </c>
      <c r="B389" s="34" t="str">
        <f>'① Timelog Input'!C125</f>
        <v>CAS-IH_1179</v>
      </c>
      <c r="C389" s="34" t="str">
        <f>'① Timelog Input'!BH$3</f>
        <v>NUMBER NUTTZ CONSULTING</v>
      </c>
      <c r="D389" s="35">
        <f>'① Timelog Input'!BH125</f>
        <v>0</v>
      </c>
      <c r="E389" s="34" t="str">
        <f>'① Timelog Input'!H125</f>
        <v>Accounting</v>
      </c>
      <c r="F389" s="36" t="str">
        <f t="shared" si="6"/>
        <v>NO</v>
      </c>
      <c r="G389" s="35">
        <f>IFERROR(VLOOKUP(B389,'② Salary Input'!A:V,14,FALSE())/Settings!B6,0)</f>
        <v>27.212499999999999</v>
      </c>
    </row>
    <row r="390" spans="1:7" ht="15" customHeight="1" x14ac:dyDescent="0.2">
      <c r="A390" s="34" t="str">
        <f>'① Timelog Input'!B125</f>
        <v>Kanika.G</v>
      </c>
      <c r="B390" s="34" t="str">
        <f>'① Timelog Input'!C125</f>
        <v>CAS-IH_1179</v>
      </c>
      <c r="C390" s="34" t="str">
        <f>'① Timelog Input'!BU$3</f>
        <v>THE PROFIT SCALE THRIVE</v>
      </c>
      <c r="D390" s="35">
        <f>'① Timelog Input'!BU125</f>
        <v>0</v>
      </c>
      <c r="E390" s="34" t="str">
        <f>'① Timelog Input'!H125</f>
        <v>Accounting</v>
      </c>
      <c r="F390" s="36" t="str">
        <f t="shared" si="6"/>
        <v>NO</v>
      </c>
      <c r="G390" s="35">
        <f>IFERROR(VLOOKUP(B390,'② Salary Input'!A:V,14,FALSE())/Settings!B6,0)</f>
        <v>27.212499999999999</v>
      </c>
    </row>
    <row r="391" spans="1:7" ht="15" customHeight="1" x14ac:dyDescent="0.2">
      <c r="A391" s="34" t="str">
        <f>'① Timelog Input'!B126</f>
        <v>Hema.S</v>
      </c>
      <c r="B391" s="34" t="str">
        <f>'① Timelog Input'!C126</f>
        <v>CAS-RT_2427</v>
      </c>
      <c r="C391" s="34" t="str">
        <f>'① Timelog Input'!AI$3</f>
        <v>CLOUDIT</v>
      </c>
      <c r="D391" s="35">
        <f>'① Timelog Input'!AI126</f>
        <v>1.5</v>
      </c>
      <c r="E391" s="34" t="str">
        <f>'① Timelog Input'!H126</f>
        <v>Accounting</v>
      </c>
      <c r="F391" s="36" t="str">
        <f t="shared" si="6"/>
        <v>NO</v>
      </c>
      <c r="G391" s="35">
        <f>IFERROR(VLOOKUP(B391,'② Salary Input'!A:V,14,FALSE())/Settings!B6,0)</f>
        <v>0</v>
      </c>
    </row>
    <row r="392" spans="1:7" ht="15" customHeight="1" x14ac:dyDescent="0.2">
      <c r="A392" s="34" t="str">
        <f>'① Timelog Input'!B126</f>
        <v>Hema.S</v>
      </c>
      <c r="B392" s="34" t="str">
        <f>'① Timelog Input'!C126</f>
        <v>CAS-RT_2427</v>
      </c>
      <c r="C392" s="34" t="str">
        <f>'① Timelog Input'!BM$3</f>
        <v>RATHEL’S ACCOUNTING SERVICE, INC</v>
      </c>
      <c r="D392" s="35">
        <f>'① Timelog Input'!BM126</f>
        <v>0</v>
      </c>
      <c r="E392" s="34" t="str">
        <f>'① Timelog Input'!H126</f>
        <v>Accounting</v>
      </c>
      <c r="F392" s="36" t="str">
        <f t="shared" si="6"/>
        <v>NO</v>
      </c>
      <c r="G392" s="35">
        <f>IFERROR(VLOOKUP(B392,'② Salary Input'!A:V,14,FALSE())/Settings!B6,0)</f>
        <v>0</v>
      </c>
    </row>
    <row r="393" spans="1:7" ht="15" customHeight="1" x14ac:dyDescent="0.2">
      <c r="A393" s="34" t="str">
        <f>'① Timelog Input'!B127</f>
        <v>Binny.S</v>
      </c>
      <c r="B393" s="34" t="str">
        <f>'① Timelog Input'!C127</f>
        <v>CAS-IH_1181</v>
      </c>
      <c r="C393" s="34" t="str">
        <f>'① Timelog Input'!AI$3</f>
        <v>CLOUDIT</v>
      </c>
      <c r="D393" s="35">
        <f>'① Timelog Input'!AI127</f>
        <v>5.5</v>
      </c>
      <c r="E393" s="34" t="str">
        <f>'① Timelog Input'!H127</f>
        <v>Accounting</v>
      </c>
      <c r="F393" s="36" t="str">
        <f t="shared" si="6"/>
        <v>NO</v>
      </c>
      <c r="G393" s="35">
        <f>IFERROR(VLOOKUP(B393,'② Salary Input'!A:V,14,FALSE())/Settings!B6,0)</f>
        <v>0</v>
      </c>
    </row>
    <row r="394" spans="1:7" ht="15" customHeight="1" x14ac:dyDescent="0.2">
      <c r="A394" s="34" t="str">
        <f>'① Timelog Input'!B127</f>
        <v>Binny.S</v>
      </c>
      <c r="B394" s="34" t="str">
        <f>'① Timelog Input'!C127</f>
        <v>CAS-IH_1181</v>
      </c>
      <c r="C394" s="34" t="str">
        <f>'① Timelog Input'!AK$3</f>
        <v>DOR BUSINESS GROUP LLC</v>
      </c>
      <c r="D394" s="35">
        <f>'① Timelog Input'!AK127</f>
        <v>0</v>
      </c>
      <c r="E394" s="34" t="str">
        <f>'① Timelog Input'!H127</f>
        <v>Accounting</v>
      </c>
      <c r="F394" s="36" t="str">
        <f t="shared" si="6"/>
        <v>NO</v>
      </c>
      <c r="G394" s="35">
        <f>IFERROR(VLOOKUP(B394,'② Salary Input'!A:V,14,FALSE())/Settings!B6,0)</f>
        <v>0</v>
      </c>
    </row>
    <row r="395" spans="1:7" ht="15" customHeight="1" x14ac:dyDescent="0.2">
      <c r="A395" s="34" t="str">
        <f>'① Timelog Input'!B127</f>
        <v>Binny.S</v>
      </c>
      <c r="B395" s="34" t="str">
        <f>'① Timelog Input'!C127</f>
        <v>CAS-IH_1181</v>
      </c>
      <c r="C395" s="34" t="str">
        <f>'① Timelog Input'!BU$3</f>
        <v>THE PROFIT SCALE THRIVE</v>
      </c>
      <c r="D395" s="35">
        <f>'① Timelog Input'!BU127</f>
        <v>0</v>
      </c>
      <c r="E395" s="34" t="str">
        <f>'① Timelog Input'!H127</f>
        <v>Accounting</v>
      </c>
      <c r="F395" s="36" t="str">
        <f t="shared" si="6"/>
        <v>NO</v>
      </c>
      <c r="G395" s="35">
        <f>IFERROR(VLOOKUP(B395,'② Salary Input'!A:V,14,FALSE())/Settings!B6,0)</f>
        <v>0</v>
      </c>
    </row>
    <row r="396" spans="1:7" ht="15" customHeight="1" x14ac:dyDescent="0.2">
      <c r="A396" s="34" t="str">
        <f>'① Timelog Input'!B128</f>
        <v>Shivani.S</v>
      </c>
      <c r="B396" s="34" t="str">
        <f>'① Timelog Input'!C128</f>
        <v>CAS-IH_1180</v>
      </c>
      <c r="C396" s="34" t="str">
        <f>'① Timelog Input'!AI$3</f>
        <v>CLOUDIT</v>
      </c>
      <c r="D396" s="35">
        <f>'① Timelog Input'!AI128</f>
        <v>127.17</v>
      </c>
      <c r="E396" s="34" t="str">
        <f>'① Timelog Input'!H128</f>
        <v>Accounting</v>
      </c>
      <c r="F396" s="36" t="str">
        <f t="shared" si="6"/>
        <v>NO</v>
      </c>
      <c r="G396" s="35">
        <f>IFERROR(VLOOKUP(B396,'② Salary Input'!A:V,14,FALSE())/Settings!B6,0)</f>
        <v>0</v>
      </c>
    </row>
    <row r="397" spans="1:7" ht="15" customHeight="1" x14ac:dyDescent="0.2">
      <c r="A397" s="34" t="str">
        <f>'① Timelog Input'!B129</f>
        <v>Nikunj.K</v>
      </c>
      <c r="B397" s="34" t="str">
        <f>'① Timelog Input'!C129</f>
        <v>CAS-IH_1182</v>
      </c>
      <c r="C397" s="34" t="str">
        <f>'① Timelog Input'!AI$3</f>
        <v>CLOUDIT</v>
      </c>
      <c r="D397" s="35">
        <f>'① Timelog Input'!AI129</f>
        <v>148.86000000000001</v>
      </c>
      <c r="E397" s="34" t="str">
        <f>'① Timelog Input'!H129</f>
        <v>IT</v>
      </c>
      <c r="F397" s="36" t="str">
        <f t="shared" si="6"/>
        <v>YES</v>
      </c>
      <c r="G397" s="35">
        <f>IFERROR(VLOOKUP(B397,'② Salary Input'!A:V,14,FALSE())/Settings!B6,0)</f>
        <v>0</v>
      </c>
    </row>
    <row r="398" spans="1:7" ht="15" customHeight="1" x14ac:dyDescent="0.2">
      <c r="A398" s="34" t="str">
        <f>'① Timelog Input'!B129</f>
        <v>Nikunj.K</v>
      </c>
      <c r="B398" s="34" t="str">
        <f>'① Timelog Input'!C129</f>
        <v>CAS-IH_1182</v>
      </c>
      <c r="C398" s="34" t="str">
        <f>'① Timelog Input'!AT$3</f>
        <v>INVENT WEALTH, CPA</v>
      </c>
      <c r="D398" s="35">
        <f>'① Timelog Input'!AT129</f>
        <v>0</v>
      </c>
      <c r="E398" s="34" t="str">
        <f>'① Timelog Input'!H129</f>
        <v>IT</v>
      </c>
      <c r="F398" s="36" t="str">
        <f t="shared" si="6"/>
        <v>YES</v>
      </c>
      <c r="G398" s="35">
        <f>IFERROR(VLOOKUP(B398,'② Salary Input'!A:V,14,FALSE())/Settings!B6,0)</f>
        <v>0</v>
      </c>
    </row>
    <row r="399" spans="1:7" ht="15" customHeight="1" x14ac:dyDescent="0.2">
      <c r="A399" s="34" t="str">
        <f>'① Timelog Input'!B129</f>
        <v>Nikunj.K</v>
      </c>
      <c r="B399" s="34" t="str">
        <f>'① Timelog Input'!C129</f>
        <v>CAS-IH_1182</v>
      </c>
      <c r="C399" s="34" t="str">
        <f>'① Timelog Input'!BZ$3</f>
        <v>WB MORROW</v>
      </c>
      <c r="D399" s="35">
        <f>'① Timelog Input'!BZ129</f>
        <v>0</v>
      </c>
      <c r="E399" s="34" t="str">
        <f>'① Timelog Input'!H129</f>
        <v>IT</v>
      </c>
      <c r="F399" s="36" t="str">
        <f t="shared" si="6"/>
        <v>YES</v>
      </c>
      <c r="G399" s="35">
        <f>IFERROR(VLOOKUP(B399,'② Salary Input'!A:V,14,FALSE())/Settings!B6,0)</f>
        <v>0</v>
      </c>
    </row>
    <row r="400" spans="1:7" ht="15" customHeight="1" x14ac:dyDescent="0.2">
      <c r="A400" s="34" t="str">
        <f>'① Timelog Input'!B130</f>
        <v>Alisha.A</v>
      </c>
      <c r="B400" s="34" t="str">
        <f>'① Timelog Input'!C130</f>
        <v>CAS-RT_2428</v>
      </c>
      <c r="C400" s="34" t="str">
        <f>'① Timelog Input'!U$3</f>
        <v>ACE CPA</v>
      </c>
      <c r="D400" s="35">
        <f>'① Timelog Input'!U130</f>
        <v>0</v>
      </c>
      <c r="E400" s="34" t="str">
        <f>'① Timelog Input'!H130</f>
        <v>Accounting</v>
      </c>
      <c r="F400" s="36" t="str">
        <f t="shared" si="6"/>
        <v>NO</v>
      </c>
      <c r="G400" s="35">
        <f>IFERROR(VLOOKUP(B400,'② Salary Input'!A:V,14,FALSE())/Settings!B6,0)</f>
        <v>0</v>
      </c>
    </row>
    <row r="401" spans="1:7" ht="15" customHeight="1" x14ac:dyDescent="0.2">
      <c r="A401" s="34" t="str">
        <f>'① Timelog Input'!B130</f>
        <v>Alisha.A</v>
      </c>
      <c r="B401" s="34" t="str">
        <f>'① Timelog Input'!C130</f>
        <v>CAS-RT_2428</v>
      </c>
      <c r="C401" s="34" t="str">
        <f>'① Timelog Input'!AI$3</f>
        <v>CLOUDIT</v>
      </c>
      <c r="D401" s="35">
        <f>'① Timelog Input'!AI130</f>
        <v>23.75</v>
      </c>
      <c r="E401" s="34" t="str">
        <f>'① Timelog Input'!H130</f>
        <v>Accounting</v>
      </c>
      <c r="F401" s="36" t="str">
        <f t="shared" si="6"/>
        <v>NO</v>
      </c>
      <c r="G401" s="35">
        <f>IFERROR(VLOOKUP(B401,'② Salary Input'!A:V,14,FALSE())/Settings!B6,0)</f>
        <v>0</v>
      </c>
    </row>
    <row r="402" spans="1:7" ht="15" customHeight="1" x14ac:dyDescent="0.2">
      <c r="A402" s="34" t="str">
        <f>'① Timelog Input'!B130</f>
        <v>Alisha.A</v>
      </c>
      <c r="B402" s="34" t="str">
        <f>'① Timelog Input'!C130</f>
        <v>CAS-RT_2428</v>
      </c>
      <c r="C402" s="34" t="str">
        <f>'① Timelog Input'!BB$3</f>
        <v>MCFADDEN ACCOUNTING</v>
      </c>
      <c r="D402" s="35">
        <f>'① Timelog Input'!BB130</f>
        <v>0</v>
      </c>
      <c r="E402" s="34" t="str">
        <f>'① Timelog Input'!H130</f>
        <v>Accounting</v>
      </c>
      <c r="F402" s="36" t="str">
        <f t="shared" si="6"/>
        <v>NO</v>
      </c>
      <c r="G402" s="35">
        <f>IFERROR(VLOOKUP(B402,'② Salary Input'!A:V,14,FALSE())/Settings!B6,0)</f>
        <v>0</v>
      </c>
    </row>
    <row r="403" spans="1:7" ht="15" customHeight="1" x14ac:dyDescent="0.2">
      <c r="A403" s="34" t="str">
        <f>'① Timelog Input'!B131</f>
        <v>Tavishi.S</v>
      </c>
      <c r="B403" s="34" t="str">
        <f>'① Timelog Input'!C131</f>
        <v>CAS-RT_2429</v>
      </c>
      <c r="C403" s="34" t="str">
        <f>'① Timelog Input'!AI$3</f>
        <v>CLOUDIT</v>
      </c>
      <c r="D403" s="35">
        <f>'① Timelog Input'!AI131</f>
        <v>35.25</v>
      </c>
      <c r="E403" s="34" t="str">
        <f>'① Timelog Input'!H131</f>
        <v>Accounting</v>
      </c>
      <c r="F403" s="36" t="str">
        <f t="shared" si="6"/>
        <v>NO</v>
      </c>
      <c r="G403" s="35">
        <f>IFERROR(VLOOKUP(B403,'② Salary Input'!A:V,14,FALSE())/Settings!B6,0)</f>
        <v>0</v>
      </c>
    </row>
    <row r="404" spans="1:7" ht="15" customHeight="1" x14ac:dyDescent="0.2">
      <c r="A404" s="34" t="str">
        <f>'① Timelog Input'!B131</f>
        <v>Tavishi.S</v>
      </c>
      <c r="B404" s="34" t="str">
        <f>'① Timelog Input'!C131</f>
        <v>CAS-RT_2429</v>
      </c>
      <c r="C404" s="34" t="str">
        <f>'① Timelog Input'!BD$3</f>
        <v>MERAKI ACCOUNTING &amp; TAX LLC</v>
      </c>
      <c r="D404" s="35">
        <f>'① Timelog Input'!BD131</f>
        <v>0</v>
      </c>
      <c r="E404" s="34" t="str">
        <f>'① Timelog Input'!H131</f>
        <v>Accounting</v>
      </c>
      <c r="F404" s="36" t="str">
        <f t="shared" si="6"/>
        <v>NO</v>
      </c>
      <c r="G404" s="35">
        <f>IFERROR(VLOOKUP(B404,'② Salary Input'!A:V,14,FALSE())/Settings!B6,0)</f>
        <v>0</v>
      </c>
    </row>
    <row r="405" spans="1:7" ht="15" customHeight="1" x14ac:dyDescent="0.2">
      <c r="A405" s="34" t="str">
        <f>'① Timelog Input'!B131</f>
        <v>Tavishi.S</v>
      </c>
      <c r="B405" s="34" t="str">
        <f>'① Timelog Input'!C131</f>
        <v>CAS-RT_2429</v>
      </c>
      <c r="C405" s="34" t="str">
        <f>'① Timelog Input'!BU$3</f>
        <v>THE PROFIT SCALE THRIVE</v>
      </c>
      <c r="D405" s="35">
        <f>'① Timelog Input'!BU131</f>
        <v>0</v>
      </c>
      <c r="E405" s="34" t="str">
        <f>'① Timelog Input'!H131</f>
        <v>Accounting</v>
      </c>
      <c r="F405" s="36" t="str">
        <f t="shared" si="6"/>
        <v>NO</v>
      </c>
      <c r="G405" s="35">
        <f>IFERROR(VLOOKUP(B405,'② Salary Input'!A:V,14,FALSE())/Settings!B6,0)</f>
        <v>0</v>
      </c>
    </row>
    <row r="406" spans="1:7" ht="15" customHeight="1" x14ac:dyDescent="0.2">
      <c r="A406" s="34" t="str">
        <f>'① Timelog Input'!B133</f>
        <v>Tithi.G</v>
      </c>
      <c r="B406" s="34" t="str">
        <f>'① Timelog Input'!C133</f>
        <v>CAS-IH_1183</v>
      </c>
      <c r="C406" s="34" t="str">
        <f>'① Timelog Input'!AI$3</f>
        <v>CLOUDIT</v>
      </c>
      <c r="D406" s="35">
        <f>'① Timelog Input'!AI133</f>
        <v>0</v>
      </c>
      <c r="E406" s="34" t="str">
        <f>'① Timelog Input'!H133</f>
        <v>FP&amp;A</v>
      </c>
      <c r="F406" s="36" t="str">
        <f t="shared" si="6"/>
        <v>NO</v>
      </c>
      <c r="G406" s="35">
        <f>IFERROR(VLOOKUP(B406,'② Salary Input'!A:V,14,FALSE())/Settings!B6,0)</f>
        <v>462.02499999999998</v>
      </c>
    </row>
    <row r="407" spans="1:7" ht="15" customHeight="1" x14ac:dyDescent="0.2">
      <c r="A407" s="34" t="str">
        <f>'① Timelog Input'!B133</f>
        <v>Tithi.G</v>
      </c>
      <c r="B407" s="34" t="str">
        <f>'① Timelog Input'!C133</f>
        <v>CAS-IH_1183</v>
      </c>
      <c r="C407" s="34" t="str">
        <f>'① Timelog Input'!BY$3</f>
        <v>TRI SCAPES</v>
      </c>
      <c r="D407" s="35">
        <f>'① Timelog Input'!BY133</f>
        <v>0</v>
      </c>
      <c r="E407" s="34" t="str">
        <f>'① Timelog Input'!H133</f>
        <v>FP&amp;A</v>
      </c>
      <c r="F407" s="36" t="str">
        <f t="shared" si="6"/>
        <v>NO</v>
      </c>
      <c r="G407" s="35">
        <f>IFERROR(VLOOKUP(B407,'② Salary Input'!A:V,14,FALSE())/Settings!B6,0)</f>
        <v>462.02499999999998</v>
      </c>
    </row>
    <row r="408" spans="1:7" ht="15" customHeight="1" x14ac:dyDescent="0.2">
      <c r="A408" s="34" t="str">
        <f>'① Timelog Input'!B134</f>
        <v>Isha.G</v>
      </c>
      <c r="B408" s="34" t="str">
        <f>'① Timelog Input'!C134</f>
        <v>CAS-RR_2431</v>
      </c>
      <c r="C408" s="34" t="str">
        <f>'① Timelog Input'!BL$3</f>
        <v>PW ADVISORS LLC</v>
      </c>
      <c r="D408" s="35">
        <f>'① Timelog Input'!BL134</f>
        <v>0</v>
      </c>
      <c r="E408" s="34" t="str">
        <f>'① Timelog Input'!H134</f>
        <v>Accounting</v>
      </c>
      <c r="F408" s="36" t="str">
        <f t="shared" si="6"/>
        <v>NO</v>
      </c>
      <c r="G408" s="35">
        <f>IFERROR(VLOOKUP(B408,'② Salary Input'!A:V,14,FALSE())/Settings!B6,0)</f>
        <v>0</v>
      </c>
    </row>
    <row r="409" spans="1:7" ht="15" customHeight="1" x14ac:dyDescent="0.2">
      <c r="A409" s="34" t="str">
        <f>'① Timelog Input'!B138</f>
        <v>Biswajit.D</v>
      </c>
      <c r="B409" s="34" t="str">
        <f>'① Timelog Input'!C138</f>
        <v>CAS-RT_2435</v>
      </c>
      <c r="C409" s="34" t="str">
        <f>'① Timelog Input'!AI$3</f>
        <v>CLOUDIT</v>
      </c>
      <c r="D409" s="35">
        <f>'① Timelog Input'!AI138</f>
        <v>0</v>
      </c>
      <c r="E409" s="34" t="str">
        <f>'① Timelog Input'!H138</f>
        <v>Individual Tax</v>
      </c>
      <c r="F409" s="36" t="str">
        <f t="shared" si="6"/>
        <v>NO</v>
      </c>
      <c r="G409" s="35">
        <f>IFERROR(VLOOKUP(B409,'② Salary Input'!A:V,14,FALSE())/Settings!B6,0)</f>
        <v>0</v>
      </c>
    </row>
    <row r="410" spans="1:7" ht="15" customHeight="1" x14ac:dyDescent="0.2">
      <c r="A410" s="34" t="str">
        <f>'① Timelog Input'!B139</f>
        <v>Ayush.G</v>
      </c>
      <c r="B410" s="34" t="str">
        <f>'① Timelog Input'!C139</f>
        <v>CAS-IH_1186</v>
      </c>
      <c r="C410" s="34" t="str">
        <f>'① Timelog Input'!AI$3</f>
        <v>CLOUDIT</v>
      </c>
      <c r="D410" s="35">
        <f>'① Timelog Input'!AI139</f>
        <v>40</v>
      </c>
      <c r="E410" s="34" t="str">
        <f>'① Timelog Input'!H139</f>
        <v>IT</v>
      </c>
      <c r="F410" s="36" t="str">
        <f t="shared" si="6"/>
        <v>YES</v>
      </c>
      <c r="G410" s="35">
        <f>IFERROR(VLOOKUP(B410,'② Salary Input'!A:V,14,FALSE())/Settings!B6,0)</f>
        <v>0</v>
      </c>
    </row>
    <row r="411" spans="1:7" ht="15" customHeight="1" x14ac:dyDescent="0.2">
      <c r="A411" s="34" t="str">
        <f>'① Timelog Input'!B140</f>
        <v>Aman.J</v>
      </c>
      <c r="B411" s="34" t="str">
        <f>'① Timelog Input'!C140</f>
        <v>CAS-RT_2436</v>
      </c>
      <c r="C411" s="34" t="str">
        <f>'① Timelog Input'!AI$3</f>
        <v>CLOUDIT</v>
      </c>
      <c r="D411" s="35">
        <f>'① Timelog Input'!AI140</f>
        <v>60</v>
      </c>
      <c r="E411" s="34" t="str">
        <f>'① Timelog Input'!H140</f>
        <v>Accounting</v>
      </c>
      <c r="F411" s="36" t="str">
        <f t="shared" si="6"/>
        <v>NO</v>
      </c>
      <c r="G411" s="35">
        <f>IFERROR(VLOOKUP(B411,'② Salary Input'!A:V,14,FALSE())/Settings!B6,0)</f>
        <v>0</v>
      </c>
    </row>
    <row r="412" spans="1:7" ht="15" customHeight="1" x14ac:dyDescent="0.2">
      <c r="A412" s="34" t="str">
        <f>'① Timelog Input'!B142</f>
        <v>Puja.G</v>
      </c>
      <c r="B412" s="34" t="str">
        <f>'① Timelog Input'!C142</f>
        <v>CAS-IH_1187</v>
      </c>
      <c r="C412" s="34" t="str">
        <f>'① Timelog Input'!AI$3</f>
        <v>CLOUDIT</v>
      </c>
      <c r="D412" s="35">
        <f>'① Timelog Input'!AI142</f>
        <v>0</v>
      </c>
      <c r="E412" s="34" t="str">
        <f>'① Timelog Input'!H142</f>
        <v>Individual Tax</v>
      </c>
      <c r="F412" s="36" t="str">
        <f t="shared" si="6"/>
        <v>NO</v>
      </c>
      <c r="G412" s="35">
        <f>IFERROR(VLOOKUP(B412,'② Salary Input'!A:V,14,FALSE())/Settings!B6,0)</f>
        <v>0</v>
      </c>
    </row>
  </sheetData>
  <autoFilter ref="A3:G3" xr:uid="{00000000-0009-0000-0000-000005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CAF50"/>
  </sheetPr>
  <dimension ref="A1:R204"/>
  <sheetViews>
    <sheetView zoomScaleNormal="100" workbookViewId="0"/>
  </sheetViews>
  <sheetFormatPr baseColWidth="10" defaultColWidth="8.6640625" defaultRowHeight="15" customHeight="1" x14ac:dyDescent="0.2"/>
  <cols>
    <col min="1" max="1" width="14" customWidth="1"/>
    <col min="2" max="2" width="18" customWidth="1"/>
    <col min="3" max="3" width="12" customWidth="1"/>
    <col min="4" max="4" width="16" customWidth="1"/>
    <col min="5" max="6" width="14" customWidth="1"/>
    <col min="7" max="10" width="12" customWidth="1"/>
    <col min="11" max="11" width="10" customWidth="1"/>
    <col min="12" max="12" width="12" customWidth="1"/>
    <col min="13" max="13" width="16" customWidth="1"/>
    <col min="14" max="14" width="12" customWidth="1"/>
    <col min="15" max="18" width="10" customWidth="1"/>
  </cols>
  <sheetData>
    <row r="1" spans="1:18" ht="17.25" customHeight="1" x14ac:dyDescent="0.2">
      <c r="A1" s="144" t="s">
        <v>810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 spans="1:18" ht="15" customHeight="1" x14ac:dyDescent="0.2">
      <c r="A2" s="145" t="s">
        <v>811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</row>
    <row r="3" spans="1:18" ht="34.5" customHeight="1" x14ac:dyDescent="0.2">
      <c r="A3" s="24" t="s">
        <v>64</v>
      </c>
      <c r="B3" s="24" t="s">
        <v>63</v>
      </c>
      <c r="C3" s="24" t="s">
        <v>812</v>
      </c>
      <c r="D3" s="24" t="s">
        <v>68</v>
      </c>
      <c r="E3" s="24" t="s">
        <v>69</v>
      </c>
      <c r="F3" s="24" t="s">
        <v>66</v>
      </c>
      <c r="G3" s="24" t="s">
        <v>813</v>
      </c>
      <c r="H3" s="24" t="s">
        <v>814</v>
      </c>
      <c r="I3" s="24" t="s">
        <v>815</v>
      </c>
      <c r="J3" s="24" t="s">
        <v>816</v>
      </c>
      <c r="K3" s="24" t="s">
        <v>817</v>
      </c>
      <c r="L3" s="24" t="s">
        <v>818</v>
      </c>
      <c r="M3" s="24" t="s">
        <v>819</v>
      </c>
      <c r="N3" s="24" t="s">
        <v>820</v>
      </c>
      <c r="O3" s="24" t="s">
        <v>821</v>
      </c>
      <c r="P3" s="24" t="s">
        <v>822</v>
      </c>
      <c r="Q3" s="24" t="s">
        <v>823</v>
      </c>
      <c r="R3" s="24" t="s">
        <v>824</v>
      </c>
    </row>
    <row r="4" spans="1:18" ht="15" customHeight="1" x14ac:dyDescent="0.2">
      <c r="A4" s="37" t="str">
        <f>IF('Employee Master'!B4="","",'Employee Master'!B4)</f>
        <v>CAS-IH_1070</v>
      </c>
      <c r="B4" s="37" t="str">
        <f>IF('Employee Master'!B4="","",'Employee Master'!C4)</f>
        <v>Ankit</v>
      </c>
      <c r="C4" s="37" t="str">
        <f>IF('Employee Master'!B4="","",'Employee Master'!D4)</f>
        <v>In-house</v>
      </c>
      <c r="D4" s="37" t="str">
        <f>IF('Employee Master'!B4="","",'Employee Master'!E4)</f>
        <v>Associate</v>
      </c>
      <c r="E4" s="37" t="str">
        <f>IF('Employee Master'!B4="","",'Employee Master'!F4)</f>
        <v>Accounting</v>
      </c>
      <c r="F4" s="37" t="str">
        <f>IF('Employee Master'!B4="","",'Employee Master'!G4)</f>
        <v>Jasleen.D</v>
      </c>
      <c r="G4" s="38">
        <v>127.2</v>
      </c>
      <c r="H4" s="38">
        <v>127.2</v>
      </c>
      <c r="I4" s="39">
        <f t="shared" ref="I4:I35" si="0">IF(A4="","",G4-H4)</f>
        <v>0</v>
      </c>
      <c r="J4" s="40">
        <f>IF(A4="","",IF(H4=0,0,H4/(Settings!B6*12)))</f>
        <v>6.6250000000000003E-2</v>
      </c>
      <c r="K4" s="28">
        <v>3</v>
      </c>
      <c r="L4" s="41">
        <v>3.5</v>
      </c>
      <c r="M4" s="28">
        <v>0</v>
      </c>
      <c r="N4" s="29">
        <f t="shared" ref="N4:N35" si="1">IF(A4="","",IF(H4=0,0,M4/H4))</f>
        <v>0</v>
      </c>
      <c r="O4" s="28">
        <v>0</v>
      </c>
      <c r="P4" s="28">
        <v>0</v>
      </c>
      <c r="Q4" s="40">
        <f t="shared" ref="Q4:Q35" si="2">IF(A4="","",IF(O4=0,0,1-P4/O4))</f>
        <v>0</v>
      </c>
      <c r="R4" s="28">
        <v>12</v>
      </c>
    </row>
    <row r="5" spans="1:18" ht="15" customHeight="1" x14ac:dyDescent="0.2">
      <c r="A5" s="37" t="str">
        <f>IF('Employee Master'!B5="","",'Employee Master'!B5)</f>
        <v>CAS-IH_1092</v>
      </c>
      <c r="B5" s="37" t="str">
        <f>IF('Employee Master'!B5="","",'Employee Master'!C5)</f>
        <v>Astha.D</v>
      </c>
      <c r="C5" s="37" t="str">
        <f>IF('Employee Master'!B5="","",'Employee Master'!D5)</f>
        <v>In-house</v>
      </c>
      <c r="D5" s="37" t="str">
        <f>IF('Employee Master'!B5="","",'Employee Master'!E5)</f>
        <v>Associate</v>
      </c>
      <c r="E5" s="37" t="str">
        <f>IF('Employee Master'!B5="","",'Employee Master'!F5)</f>
        <v>Accounting</v>
      </c>
      <c r="F5" s="37" t="str">
        <f>IF('Employee Master'!B5="","",'Employee Master'!G5)</f>
        <v>Jasleen.D</v>
      </c>
      <c r="G5" s="38">
        <v>149.80000000000001</v>
      </c>
      <c r="H5" s="38">
        <v>149.80000000000001</v>
      </c>
      <c r="I5" s="39">
        <f t="shared" si="0"/>
        <v>0</v>
      </c>
      <c r="J5" s="40">
        <f>IF(A5="","",IF(H5=0,0,H5/(Settings!B6*12)))</f>
        <v>7.8020833333333345E-2</v>
      </c>
      <c r="K5" s="28">
        <v>1</v>
      </c>
      <c r="L5" s="41">
        <v>3.5</v>
      </c>
      <c r="M5" s="28">
        <v>0</v>
      </c>
      <c r="N5" s="29">
        <f t="shared" si="1"/>
        <v>0</v>
      </c>
      <c r="O5" s="28">
        <v>0</v>
      </c>
      <c r="P5" s="28">
        <v>0</v>
      </c>
      <c r="Q5" s="40">
        <f t="shared" si="2"/>
        <v>0</v>
      </c>
      <c r="R5" s="28">
        <v>12</v>
      </c>
    </row>
    <row r="6" spans="1:18" ht="15" customHeight="1" x14ac:dyDescent="0.2">
      <c r="A6" s="37" t="str">
        <f>IF('Employee Master'!B6="","",'Employee Master'!B6)</f>
        <v>CAS-IH_1105</v>
      </c>
      <c r="B6" s="37" t="str">
        <f>IF('Employee Master'!B6="","",'Employee Master'!C6)</f>
        <v>Pragati.S</v>
      </c>
      <c r="C6" s="37" t="str">
        <f>IF('Employee Master'!B6="","",'Employee Master'!D6)</f>
        <v>In-house</v>
      </c>
      <c r="D6" s="37" t="str">
        <f>IF('Employee Master'!B6="","",'Employee Master'!E6)</f>
        <v>Asst. Team Lead</v>
      </c>
      <c r="E6" s="37" t="str">
        <f>IF('Employee Master'!B6="","",'Employee Master'!F6)</f>
        <v>Accounting</v>
      </c>
      <c r="F6" s="37" t="str">
        <f>IF('Employee Master'!B6="","",'Employee Master'!G6)</f>
        <v>Jasleen.D</v>
      </c>
      <c r="G6" s="38">
        <v>161</v>
      </c>
      <c r="H6" s="38">
        <v>161</v>
      </c>
      <c r="I6" s="39">
        <f t="shared" si="0"/>
        <v>0</v>
      </c>
      <c r="J6" s="40">
        <f>IF(A6="","",IF(H6=0,0,H6/(Settings!B6*12)))</f>
        <v>8.385416666666666E-2</v>
      </c>
      <c r="K6" s="28">
        <v>6</v>
      </c>
      <c r="L6" s="41">
        <v>3.5</v>
      </c>
      <c r="M6" s="28">
        <v>0</v>
      </c>
      <c r="N6" s="29">
        <f t="shared" si="1"/>
        <v>0</v>
      </c>
      <c r="O6" s="28">
        <v>0</v>
      </c>
      <c r="P6" s="28">
        <v>0</v>
      </c>
      <c r="Q6" s="40">
        <f t="shared" si="2"/>
        <v>0</v>
      </c>
      <c r="R6" s="28">
        <v>12</v>
      </c>
    </row>
    <row r="7" spans="1:18" ht="15" customHeight="1" x14ac:dyDescent="0.2">
      <c r="A7" s="37" t="str">
        <f>IF('Employee Master'!B7="","",'Employee Master'!B7)</f>
        <v>CAS-IH_1109</v>
      </c>
      <c r="B7" s="37" t="str">
        <f>IF('Employee Master'!B7="","",'Employee Master'!C7)</f>
        <v>Anshul.O</v>
      </c>
      <c r="C7" s="37" t="str">
        <f>IF('Employee Master'!B7="","",'Employee Master'!D7)</f>
        <v>In-house</v>
      </c>
      <c r="D7" s="37" t="str">
        <f>IF('Employee Master'!B7="","",'Employee Master'!E7)</f>
        <v>Team Lead</v>
      </c>
      <c r="E7" s="37" t="str">
        <f>IF('Employee Master'!B7="","",'Employee Master'!F7)</f>
        <v>Accounting</v>
      </c>
      <c r="F7" s="37" t="str">
        <f>IF('Employee Master'!B7="","",'Employee Master'!G7)</f>
        <v>Jasleen.D</v>
      </c>
      <c r="G7" s="38">
        <v>152.6</v>
      </c>
      <c r="H7" s="38">
        <v>152.6</v>
      </c>
      <c r="I7" s="39">
        <f t="shared" si="0"/>
        <v>0</v>
      </c>
      <c r="J7" s="40">
        <f>IF(A7="","",IF(H7=0,0,H7/(Settings!B6*12)))</f>
        <v>7.947916666666667E-2</v>
      </c>
      <c r="K7" s="28">
        <v>10</v>
      </c>
      <c r="L7" s="41">
        <v>3.5</v>
      </c>
      <c r="M7" s="28">
        <v>0</v>
      </c>
      <c r="N7" s="29">
        <f t="shared" si="1"/>
        <v>0</v>
      </c>
      <c r="O7" s="28">
        <v>0</v>
      </c>
      <c r="P7" s="28">
        <v>0</v>
      </c>
      <c r="Q7" s="40">
        <f t="shared" si="2"/>
        <v>0</v>
      </c>
      <c r="R7" s="28">
        <v>12</v>
      </c>
    </row>
    <row r="8" spans="1:18" ht="15" customHeight="1" x14ac:dyDescent="0.2">
      <c r="A8" s="37" t="str">
        <f>IF('Employee Master'!B8="","",'Employee Master'!B8)</f>
        <v>CAS-IH_1122</v>
      </c>
      <c r="B8" s="37" t="str">
        <f>IF('Employee Master'!B8="","",'Employee Master'!C8)</f>
        <v>Shefali.B</v>
      </c>
      <c r="C8" s="37" t="str">
        <f>IF('Employee Master'!B8="","",'Employee Master'!D8)</f>
        <v>In-house</v>
      </c>
      <c r="D8" s="37" t="str">
        <f>IF('Employee Master'!B8="","",'Employee Master'!E8)</f>
        <v>Associate</v>
      </c>
      <c r="E8" s="37" t="str">
        <f>IF('Employee Master'!B8="","",'Employee Master'!F8)</f>
        <v>Accounting</v>
      </c>
      <c r="F8" s="37" t="str">
        <f>IF('Employee Master'!B8="","",'Employee Master'!G8)</f>
        <v>Jasleen.D</v>
      </c>
      <c r="G8" s="38">
        <v>158.1</v>
      </c>
      <c r="H8" s="38">
        <v>158.1</v>
      </c>
      <c r="I8" s="39">
        <f t="shared" si="0"/>
        <v>0</v>
      </c>
      <c r="J8" s="40">
        <f>IF(A8="","",IF(H8=0,0,H8/(Settings!B6*12)))</f>
        <v>8.2343749999999993E-2</v>
      </c>
      <c r="K8" s="28">
        <v>2</v>
      </c>
      <c r="L8" s="41">
        <v>3.5</v>
      </c>
      <c r="M8" s="28">
        <v>0</v>
      </c>
      <c r="N8" s="29">
        <f t="shared" si="1"/>
        <v>0</v>
      </c>
      <c r="O8" s="28">
        <v>0</v>
      </c>
      <c r="P8" s="28">
        <v>0</v>
      </c>
      <c r="Q8" s="40">
        <f t="shared" si="2"/>
        <v>0</v>
      </c>
      <c r="R8" s="28">
        <v>12</v>
      </c>
    </row>
    <row r="9" spans="1:18" ht="15" customHeight="1" x14ac:dyDescent="0.2">
      <c r="A9" s="37" t="str">
        <f>IF('Employee Master'!B9="","",'Employee Master'!B9)</f>
        <v>CAS-IH_1149</v>
      </c>
      <c r="B9" s="37" t="str">
        <f>IF('Employee Master'!B9="","",'Employee Master'!C9)</f>
        <v>Sandesh.H</v>
      </c>
      <c r="C9" s="37" t="str">
        <f>IF('Employee Master'!B9="","",'Employee Master'!D9)</f>
        <v>In-house</v>
      </c>
      <c r="D9" s="37" t="str">
        <f>IF('Employee Master'!B9="","",'Employee Master'!E9)</f>
        <v>Associate</v>
      </c>
      <c r="E9" s="37" t="str">
        <f>IF('Employee Master'!B9="","",'Employee Master'!F9)</f>
        <v>Accounting</v>
      </c>
      <c r="F9" s="37" t="str">
        <f>IF('Employee Master'!B9="","",'Employee Master'!G9)</f>
        <v>Jasleen.D</v>
      </c>
      <c r="G9" s="38">
        <v>176.1</v>
      </c>
      <c r="H9" s="38">
        <v>176.1</v>
      </c>
      <c r="I9" s="39">
        <f t="shared" si="0"/>
        <v>0</v>
      </c>
      <c r="J9" s="40">
        <f>IF(A9="","",IF(H9=0,0,H9/(Settings!B6*12)))</f>
        <v>9.1718750000000002E-2</v>
      </c>
      <c r="K9" s="28">
        <v>2</v>
      </c>
      <c r="L9" s="41">
        <v>3.5</v>
      </c>
      <c r="M9" s="28">
        <v>0</v>
      </c>
      <c r="N9" s="29">
        <f t="shared" si="1"/>
        <v>0</v>
      </c>
      <c r="O9" s="28">
        <v>0</v>
      </c>
      <c r="P9" s="28">
        <v>0</v>
      </c>
      <c r="Q9" s="40">
        <f t="shared" si="2"/>
        <v>0</v>
      </c>
      <c r="R9" s="28">
        <v>12</v>
      </c>
    </row>
    <row r="10" spans="1:18" ht="15" customHeight="1" x14ac:dyDescent="0.2">
      <c r="A10" s="37" t="str">
        <f>IF('Employee Master'!B10="","",'Employee Master'!B10)</f>
        <v>CAS-IH_1162</v>
      </c>
      <c r="B10" s="37" t="str">
        <f>IF('Employee Master'!B10="","",'Employee Master'!C10)</f>
        <v>Robin.S</v>
      </c>
      <c r="C10" s="37" t="str">
        <f>IF('Employee Master'!B10="","",'Employee Master'!D10)</f>
        <v>Remote</v>
      </c>
      <c r="D10" s="37" t="str">
        <f>IF('Employee Master'!B10="","",'Employee Master'!E10)</f>
        <v>Associate</v>
      </c>
      <c r="E10" s="37" t="str">
        <f>IF('Employee Master'!B10="","",'Employee Master'!F10)</f>
        <v>Accounting</v>
      </c>
      <c r="F10" s="37" t="str">
        <f>IF('Employee Master'!B10="","",'Employee Master'!G10)</f>
        <v>Jasleen.D</v>
      </c>
      <c r="G10" s="38">
        <v>121.5</v>
      </c>
      <c r="H10" s="38">
        <v>121.5</v>
      </c>
      <c r="I10" s="39">
        <f t="shared" si="0"/>
        <v>0</v>
      </c>
      <c r="J10" s="40">
        <f>IF(A10="","",IF(H10=0,0,H10/(Settings!B6*12)))</f>
        <v>6.3281249999999997E-2</v>
      </c>
      <c r="K10" s="28">
        <v>2</v>
      </c>
      <c r="L10" s="41">
        <v>3.5</v>
      </c>
      <c r="M10" s="28">
        <v>0</v>
      </c>
      <c r="N10" s="29">
        <f t="shared" si="1"/>
        <v>0</v>
      </c>
      <c r="O10" s="28">
        <v>0</v>
      </c>
      <c r="P10" s="28">
        <v>0</v>
      </c>
      <c r="Q10" s="40">
        <f t="shared" si="2"/>
        <v>0</v>
      </c>
      <c r="R10" s="28">
        <v>12</v>
      </c>
    </row>
    <row r="11" spans="1:18" ht="15" customHeight="1" x14ac:dyDescent="0.2">
      <c r="A11" s="37" t="str">
        <f>IF('Employee Master'!B11="","",'Employee Master'!B11)</f>
        <v>CAS-RR_2371</v>
      </c>
      <c r="B11" s="37" t="str">
        <f>IF('Employee Master'!B11="","",'Employee Master'!C11)</f>
        <v>Vijet.B</v>
      </c>
      <c r="C11" s="37" t="str">
        <f>IF('Employee Master'!B11="","",'Employee Master'!D11)</f>
        <v>Remote</v>
      </c>
      <c r="D11" s="37" t="str">
        <f>IF('Employee Master'!B11="","",'Employee Master'!E11)</f>
        <v>Associate</v>
      </c>
      <c r="E11" s="37" t="str">
        <f>IF('Employee Master'!B11="","",'Employee Master'!F11)</f>
        <v>Accounting</v>
      </c>
      <c r="F11" s="37" t="str">
        <f>IF('Employee Master'!B11="","",'Employee Master'!G11)</f>
        <v>Jasleen.D</v>
      </c>
      <c r="G11" s="38">
        <v>151</v>
      </c>
      <c r="H11" s="38">
        <v>151</v>
      </c>
      <c r="I11" s="39">
        <f t="shared" si="0"/>
        <v>0</v>
      </c>
      <c r="J11" s="40">
        <f>IF(A11="","",IF(H11=0,0,H11/(Settings!B6*12)))</f>
        <v>7.8645833333333331E-2</v>
      </c>
      <c r="K11" s="28">
        <v>3</v>
      </c>
      <c r="L11" s="41">
        <v>3.5</v>
      </c>
      <c r="M11" s="28">
        <v>0</v>
      </c>
      <c r="N11" s="29">
        <f t="shared" si="1"/>
        <v>0</v>
      </c>
      <c r="O11" s="28">
        <v>0</v>
      </c>
      <c r="P11" s="28">
        <v>0</v>
      </c>
      <c r="Q11" s="40">
        <f t="shared" si="2"/>
        <v>0</v>
      </c>
      <c r="R11" s="28">
        <v>12</v>
      </c>
    </row>
    <row r="12" spans="1:18" ht="15" customHeight="1" x14ac:dyDescent="0.2">
      <c r="A12" s="37" t="str">
        <f>IF('Employee Master'!B12="","",'Employee Master'!B12)</f>
        <v>CAS-IH_1169</v>
      </c>
      <c r="B12" s="37" t="str">
        <f>IF('Employee Master'!B12="","",'Employee Master'!C12)</f>
        <v>Somya.B</v>
      </c>
      <c r="C12" s="37" t="str">
        <f>IF('Employee Master'!B12="","",'Employee Master'!D12)</f>
        <v>Retainer</v>
      </c>
      <c r="D12" s="37" t="str">
        <f>IF('Employee Master'!B12="","",'Employee Master'!E12)</f>
        <v>Sr. Associate</v>
      </c>
      <c r="E12" s="37" t="str">
        <f>IF('Employee Master'!B12="","",'Employee Master'!F12)</f>
        <v>Accounting</v>
      </c>
      <c r="F12" s="37" t="str">
        <f>IF('Employee Master'!B12="","",'Employee Master'!G12)</f>
        <v>Jasleen.D</v>
      </c>
      <c r="G12" s="38">
        <v>160</v>
      </c>
      <c r="H12" s="38">
        <v>160</v>
      </c>
      <c r="I12" s="39">
        <f t="shared" si="0"/>
        <v>0</v>
      </c>
      <c r="J12" s="40">
        <f>IF(A12="","",IF(H12=0,0,H12/(Settings!B6*12)))</f>
        <v>8.3333333333333329E-2</v>
      </c>
      <c r="K12" s="28">
        <v>2</v>
      </c>
      <c r="L12" s="41">
        <v>3.5</v>
      </c>
      <c r="M12" s="28">
        <v>0</v>
      </c>
      <c r="N12" s="29">
        <f t="shared" si="1"/>
        <v>0</v>
      </c>
      <c r="O12" s="28">
        <v>0</v>
      </c>
      <c r="P12" s="28">
        <v>0</v>
      </c>
      <c r="Q12" s="40">
        <f t="shared" si="2"/>
        <v>0</v>
      </c>
      <c r="R12" s="28">
        <v>12</v>
      </c>
    </row>
    <row r="13" spans="1:18" ht="15" customHeight="1" x14ac:dyDescent="0.2">
      <c r="A13" s="37" t="str">
        <f>IF('Employee Master'!B13="","",'Employee Master'!B13)</f>
        <v>CAS-IH_1069</v>
      </c>
      <c r="B13" s="37" t="str">
        <f>IF('Employee Master'!B13="","",'Employee Master'!C13)</f>
        <v>Jasleen.D</v>
      </c>
      <c r="C13" s="37" t="str">
        <f>IF('Employee Master'!B13="","",'Employee Master'!D13)</f>
        <v>In-house</v>
      </c>
      <c r="D13" s="37" t="str">
        <f>IF('Employee Master'!B13="","",'Employee Master'!E13)</f>
        <v>Controller</v>
      </c>
      <c r="E13" s="37" t="str">
        <f>IF('Employee Master'!B13="","",'Employee Master'!F13)</f>
        <v>Accounting</v>
      </c>
      <c r="F13" s="37" t="str">
        <f>IF('Employee Master'!B13="","",'Employee Master'!G13)</f>
        <v>--</v>
      </c>
      <c r="G13" s="38">
        <v>140</v>
      </c>
      <c r="H13" s="38">
        <v>140</v>
      </c>
      <c r="I13" s="39">
        <f t="shared" si="0"/>
        <v>0</v>
      </c>
      <c r="J13" s="40">
        <f>IF(A13="","",IF(H13=0,0,H13/(Settings!B6*12)))</f>
        <v>7.2916666666666671E-2</v>
      </c>
      <c r="K13" s="28">
        <v>16</v>
      </c>
      <c r="L13" s="41">
        <v>3.5</v>
      </c>
      <c r="M13" s="28">
        <v>0</v>
      </c>
      <c r="N13" s="29">
        <f t="shared" si="1"/>
        <v>0</v>
      </c>
      <c r="O13" s="28">
        <v>0</v>
      </c>
      <c r="P13" s="28">
        <v>0</v>
      </c>
      <c r="Q13" s="40">
        <f t="shared" si="2"/>
        <v>0</v>
      </c>
      <c r="R13" s="28">
        <v>12</v>
      </c>
    </row>
    <row r="14" spans="1:18" ht="34.5" customHeight="1" x14ac:dyDescent="0.2">
      <c r="A14" s="37" t="str">
        <f>IF('Employee Master'!B14="","",'Employee Master'!B14)</f>
        <v>CAS-IH_1037</v>
      </c>
      <c r="B14" s="37" t="str">
        <f>IF('Employee Master'!B14="","",'Employee Master'!C14)</f>
        <v>Jyoti</v>
      </c>
      <c r="C14" s="37" t="str">
        <f>IF('Employee Master'!B14="","",'Employee Master'!D14)</f>
        <v>In-house</v>
      </c>
      <c r="D14" s="37" t="str">
        <f>IF('Employee Master'!B14="","",'Employee Master'!E14)</f>
        <v>Controller</v>
      </c>
      <c r="E14" s="37" t="str">
        <f>IF('Employee Master'!B14="","",'Employee Master'!F14)</f>
        <v>Accounting, Business Tax, VA</v>
      </c>
      <c r="F14" s="37" t="str">
        <f>IF('Employee Master'!B14="","",'Employee Master'!G14)</f>
        <v>--</v>
      </c>
      <c r="G14" s="38">
        <v>109.2</v>
      </c>
      <c r="H14" s="38">
        <v>109.2</v>
      </c>
      <c r="I14" s="39">
        <f t="shared" si="0"/>
        <v>0</v>
      </c>
      <c r="J14" s="40">
        <f>IF(A14="","",IF(H14=0,0,H14/(Settings!B6*12)))</f>
        <v>5.6875000000000002E-2</v>
      </c>
      <c r="K14" s="28">
        <v>4</v>
      </c>
      <c r="L14" s="41">
        <v>3.5</v>
      </c>
      <c r="M14" s="28">
        <v>0</v>
      </c>
      <c r="N14" s="29">
        <f t="shared" si="1"/>
        <v>0</v>
      </c>
      <c r="O14" s="28">
        <v>0</v>
      </c>
      <c r="P14" s="28">
        <v>0</v>
      </c>
      <c r="Q14" s="40">
        <f t="shared" si="2"/>
        <v>0</v>
      </c>
      <c r="R14" s="28">
        <v>12</v>
      </c>
    </row>
    <row r="15" spans="1:18" ht="15" customHeight="1" x14ac:dyDescent="0.2">
      <c r="A15" s="37" t="str">
        <f>IF('Employee Master'!B15="","",'Employee Master'!B15)</f>
        <v>CAS-IH_1018</v>
      </c>
      <c r="B15" s="37" t="str">
        <f>IF('Employee Master'!B15="","",'Employee Master'!C15)</f>
        <v>Vini</v>
      </c>
      <c r="C15" s="37" t="str">
        <f>IF('Employee Master'!B15="","",'Employee Master'!D15)</f>
        <v>In-house</v>
      </c>
      <c r="D15" s="37" t="str">
        <f>IF('Employee Master'!B15="","",'Employee Master'!E15)</f>
        <v>Controller</v>
      </c>
      <c r="E15" s="37" t="str">
        <f>IF('Employee Master'!B15="","",'Employee Master'!F15)</f>
        <v>HR</v>
      </c>
      <c r="F15" s="37" t="str">
        <f>IF('Employee Master'!B15="","",'Employee Master'!G15)</f>
        <v>--</v>
      </c>
      <c r="G15" s="38">
        <v>45</v>
      </c>
      <c r="H15" s="38">
        <v>45</v>
      </c>
      <c r="I15" s="39">
        <f t="shared" si="0"/>
        <v>0</v>
      </c>
      <c r="J15" s="40">
        <f>IF(A15="","",IF(H15=0,0,H15/(Settings!B6*12)))</f>
        <v>2.34375E-2</v>
      </c>
      <c r="K15" s="28">
        <v>1</v>
      </c>
      <c r="L15" s="41">
        <v>3.5</v>
      </c>
      <c r="M15" s="28">
        <v>0</v>
      </c>
      <c r="N15" s="29">
        <f t="shared" si="1"/>
        <v>0</v>
      </c>
      <c r="O15" s="28">
        <v>0</v>
      </c>
      <c r="P15" s="28">
        <v>0</v>
      </c>
      <c r="Q15" s="40">
        <f t="shared" si="2"/>
        <v>0</v>
      </c>
      <c r="R15" s="28">
        <v>12</v>
      </c>
    </row>
    <row r="16" spans="1:18" ht="23.25" customHeight="1" x14ac:dyDescent="0.2">
      <c r="A16" s="37" t="str">
        <f>IF('Employee Master'!B16="","",'Employee Master'!B16)</f>
        <v>CAS-IH_1049</v>
      </c>
      <c r="B16" s="37" t="str">
        <f>IF('Employee Master'!B16="","",'Employee Master'!C16)</f>
        <v>Asmita</v>
      </c>
      <c r="C16" s="37" t="str">
        <f>IF('Employee Master'!B16="","",'Employee Master'!D16)</f>
        <v>In-house</v>
      </c>
      <c r="D16" s="37" t="str">
        <f>IF('Employee Master'!B16="","",'Employee Master'!E16)</f>
        <v>Sr. Associate</v>
      </c>
      <c r="E16" s="37" t="str">
        <f>IF('Employee Master'!B16="","",'Employee Master'!F16)</f>
        <v>Accounting, Business Tax</v>
      </c>
      <c r="F16" s="37" t="str">
        <f>IF('Employee Master'!B16="","",'Employee Master'!G16)</f>
        <v>Jyoti</v>
      </c>
      <c r="G16" s="38">
        <v>91.8</v>
      </c>
      <c r="H16" s="38">
        <v>91.8</v>
      </c>
      <c r="I16" s="39">
        <f t="shared" si="0"/>
        <v>0</v>
      </c>
      <c r="J16" s="40">
        <f>IF(A16="","",IF(H16=0,0,H16/(Settings!B6*12)))</f>
        <v>4.7812500000000001E-2</v>
      </c>
      <c r="K16" s="28">
        <v>5</v>
      </c>
      <c r="L16" s="41">
        <v>3.5</v>
      </c>
      <c r="M16" s="28">
        <v>0</v>
      </c>
      <c r="N16" s="29">
        <f t="shared" si="1"/>
        <v>0</v>
      </c>
      <c r="O16" s="28">
        <v>0</v>
      </c>
      <c r="P16" s="28">
        <v>0</v>
      </c>
      <c r="Q16" s="40">
        <f t="shared" si="2"/>
        <v>0</v>
      </c>
      <c r="R16" s="28">
        <v>12</v>
      </c>
    </row>
    <row r="17" spans="1:18" ht="34.5" customHeight="1" x14ac:dyDescent="0.2">
      <c r="A17" s="37" t="str">
        <f>IF('Employee Master'!B17="","",'Employee Master'!B17)</f>
        <v>CAS-IH_1041</v>
      </c>
      <c r="B17" s="37" t="str">
        <f>IF('Employee Master'!B17="","",'Employee Master'!C17)</f>
        <v>Nikita</v>
      </c>
      <c r="C17" s="37" t="str">
        <f>IF('Employee Master'!B17="","",'Employee Master'!D17)</f>
        <v>In-house</v>
      </c>
      <c r="D17" s="37" t="str">
        <f>IF('Employee Master'!B17="","",'Employee Master'!E17)</f>
        <v>Controller</v>
      </c>
      <c r="E17" s="37" t="str">
        <f>IF('Employee Master'!B17="","",'Employee Master'!F17)</f>
        <v>Accounting, Business Tax, VA, L&amp;D</v>
      </c>
      <c r="F17" s="37" t="str">
        <f>IF('Employee Master'!B17="","",'Employee Master'!G17)</f>
        <v>--</v>
      </c>
      <c r="G17" s="38">
        <v>75</v>
      </c>
      <c r="H17" s="38">
        <v>75</v>
      </c>
      <c r="I17" s="39">
        <f t="shared" si="0"/>
        <v>0</v>
      </c>
      <c r="J17" s="40">
        <f>IF(A17="","",IF(H17=0,0,H17/(Settings!B6*12)))</f>
        <v>3.90625E-2</v>
      </c>
      <c r="K17" s="28">
        <v>10</v>
      </c>
      <c r="L17" s="41">
        <v>3.5</v>
      </c>
      <c r="M17" s="28">
        <v>0</v>
      </c>
      <c r="N17" s="29">
        <f t="shared" si="1"/>
        <v>0</v>
      </c>
      <c r="O17" s="28">
        <v>0</v>
      </c>
      <c r="P17" s="28">
        <v>0</v>
      </c>
      <c r="Q17" s="40">
        <f t="shared" si="2"/>
        <v>0</v>
      </c>
      <c r="R17" s="28">
        <v>12</v>
      </c>
    </row>
    <row r="18" spans="1:18" ht="23.25" customHeight="1" x14ac:dyDescent="0.2">
      <c r="A18" s="37" t="str">
        <f>IF('Employee Master'!B18="","",'Employee Master'!B18)</f>
        <v>CAS-IH_1051</v>
      </c>
      <c r="B18" s="37" t="str">
        <f>IF('Employee Master'!B18="","",'Employee Master'!C18)</f>
        <v>Ayushi</v>
      </c>
      <c r="C18" s="37" t="str">
        <f>IF('Employee Master'!B18="","",'Employee Master'!D18)</f>
        <v>In-house</v>
      </c>
      <c r="D18" s="37" t="str">
        <f>IF('Employee Master'!B18="","",'Employee Master'!E18)</f>
        <v>Asst. Controller</v>
      </c>
      <c r="E18" s="37" t="str">
        <f>IF('Employee Master'!B18="","",'Employee Master'!F18)</f>
        <v>Accounting, Business Tax</v>
      </c>
      <c r="F18" s="37" t="str">
        <f>IF('Employee Master'!B18="","",'Employee Master'!G18)</f>
        <v>--</v>
      </c>
      <c r="G18" s="38">
        <v>23</v>
      </c>
      <c r="H18" s="38">
        <v>23</v>
      </c>
      <c r="I18" s="39">
        <f t="shared" si="0"/>
        <v>0</v>
      </c>
      <c r="J18" s="40">
        <f>IF(A18="","",IF(H18=0,0,H18/(Settings!B6*12)))</f>
        <v>1.1979166666666667E-2</v>
      </c>
      <c r="K18" s="28">
        <v>3</v>
      </c>
      <c r="L18" s="41">
        <v>3.5</v>
      </c>
      <c r="M18" s="28">
        <v>0</v>
      </c>
      <c r="N18" s="29">
        <f t="shared" si="1"/>
        <v>0</v>
      </c>
      <c r="O18" s="28">
        <v>0</v>
      </c>
      <c r="P18" s="28">
        <v>0</v>
      </c>
      <c r="Q18" s="40">
        <f t="shared" si="2"/>
        <v>0</v>
      </c>
      <c r="R18" s="28">
        <v>12</v>
      </c>
    </row>
    <row r="19" spans="1:18" ht="15" customHeight="1" x14ac:dyDescent="0.2">
      <c r="A19" s="37" t="str">
        <f>IF('Employee Master'!B19="","",'Employee Master'!B19)</f>
        <v>CAS-IH_1065</v>
      </c>
      <c r="B19" s="37" t="str">
        <f>IF('Employee Master'!B19="","",'Employee Master'!C19)</f>
        <v>Shefali</v>
      </c>
      <c r="C19" s="37" t="str">
        <f>IF('Employee Master'!B19="","",'Employee Master'!D19)</f>
        <v>In-house</v>
      </c>
      <c r="D19" s="37" t="str">
        <f>IF('Employee Master'!B19="","",'Employee Master'!E19)</f>
        <v>Team Lead</v>
      </c>
      <c r="E19" s="37" t="str">
        <f>IF('Employee Master'!B19="","",'Employee Master'!F19)</f>
        <v>Accounting</v>
      </c>
      <c r="F19" s="37" t="str">
        <f>IF('Employee Master'!B19="","",'Employee Master'!G19)</f>
        <v>Nikita Shah</v>
      </c>
      <c r="G19" s="38">
        <v>105.5</v>
      </c>
      <c r="H19" s="38">
        <v>105.5</v>
      </c>
      <c r="I19" s="39">
        <f t="shared" si="0"/>
        <v>0</v>
      </c>
      <c r="J19" s="40">
        <f>IF(A19="","",IF(H19=0,0,H19/(Settings!B6*12)))</f>
        <v>5.4947916666666666E-2</v>
      </c>
      <c r="K19" s="28">
        <v>8</v>
      </c>
      <c r="L19" s="41">
        <v>3.5</v>
      </c>
      <c r="M19" s="28">
        <v>0</v>
      </c>
      <c r="N19" s="29">
        <f t="shared" si="1"/>
        <v>0</v>
      </c>
      <c r="O19" s="28">
        <v>0</v>
      </c>
      <c r="P19" s="28">
        <v>0</v>
      </c>
      <c r="Q19" s="40">
        <f t="shared" si="2"/>
        <v>0</v>
      </c>
      <c r="R19" s="28">
        <v>12</v>
      </c>
    </row>
    <row r="20" spans="1:18" ht="15" customHeight="1" x14ac:dyDescent="0.2">
      <c r="A20" s="37" t="str">
        <f>IF('Employee Master'!B20="","",'Employee Master'!B20)</f>
        <v>CAS-IH_1077</v>
      </c>
      <c r="B20" s="37" t="str">
        <f>IF('Employee Master'!B20="","",'Employee Master'!C20)</f>
        <v>Rashi</v>
      </c>
      <c r="C20" s="37" t="str">
        <f>IF('Employee Master'!B20="","",'Employee Master'!D20)</f>
        <v>In-house</v>
      </c>
      <c r="D20" s="37" t="str">
        <f>IF('Employee Master'!B20="","",'Employee Master'!E20)</f>
        <v>Asst. Manager</v>
      </c>
      <c r="E20" s="37" t="str">
        <f>IF('Employee Master'!B20="","",'Employee Master'!F20)</f>
        <v>HR</v>
      </c>
      <c r="F20" s="37" t="str">
        <f>IF('Employee Master'!B20="","",'Employee Master'!G20)</f>
        <v>Vinita Dagar</v>
      </c>
      <c r="G20" s="38">
        <v>0</v>
      </c>
      <c r="H20" s="38">
        <v>0</v>
      </c>
      <c r="I20" s="39">
        <f t="shared" si="0"/>
        <v>0</v>
      </c>
      <c r="J20" s="40">
        <f>IF(A20="","",IF(H20=0,0,H20/(Settings!B6*12)))</f>
        <v>0</v>
      </c>
      <c r="K20" s="28">
        <v>0</v>
      </c>
      <c r="L20" s="41">
        <v>3.5</v>
      </c>
      <c r="M20" s="28">
        <v>0</v>
      </c>
      <c r="N20" s="29">
        <f t="shared" si="1"/>
        <v>0</v>
      </c>
      <c r="O20" s="28">
        <v>0</v>
      </c>
      <c r="P20" s="28">
        <v>0</v>
      </c>
      <c r="Q20" s="40">
        <f t="shared" si="2"/>
        <v>0</v>
      </c>
      <c r="R20" s="28">
        <v>12</v>
      </c>
    </row>
    <row r="21" spans="1:18" ht="23.25" customHeight="1" x14ac:dyDescent="0.2">
      <c r="A21" s="37" t="str">
        <f>IF('Employee Master'!B21="","",'Employee Master'!B21)</f>
        <v>CAS-IH_1159</v>
      </c>
      <c r="B21" s="37" t="str">
        <f>IF('Employee Master'!B21="","",'Employee Master'!C21)</f>
        <v>Gaganjot</v>
      </c>
      <c r="C21" s="37" t="str">
        <f>IF('Employee Master'!B21="","",'Employee Master'!D21)</f>
        <v>In-house</v>
      </c>
      <c r="D21" s="37" t="str">
        <f>IF('Employee Master'!B21="","",'Employee Master'!E21)</f>
        <v>Asst. Team Lead</v>
      </c>
      <c r="E21" s="37" t="str">
        <f>IF('Employee Master'!B21="","",'Employee Master'!F21)</f>
        <v>Accounting, Business Tax</v>
      </c>
      <c r="F21" s="37" t="str">
        <f>IF('Employee Master'!B21="","",'Employee Master'!G21)</f>
        <v>Nikita Shah</v>
      </c>
      <c r="G21" s="38">
        <v>82.8</v>
      </c>
      <c r="H21" s="38">
        <v>82.8</v>
      </c>
      <c r="I21" s="39">
        <f t="shared" si="0"/>
        <v>0</v>
      </c>
      <c r="J21" s="40">
        <f>IF(A21="","",IF(H21=0,0,H21/(Settings!B6*12)))</f>
        <v>4.3124999999999997E-2</v>
      </c>
      <c r="K21" s="28">
        <v>5</v>
      </c>
      <c r="L21" s="41">
        <v>3.5</v>
      </c>
      <c r="M21" s="28">
        <v>0</v>
      </c>
      <c r="N21" s="29">
        <f t="shared" si="1"/>
        <v>0</v>
      </c>
      <c r="O21" s="28">
        <v>0</v>
      </c>
      <c r="P21" s="28">
        <v>0</v>
      </c>
      <c r="Q21" s="40">
        <f t="shared" si="2"/>
        <v>0</v>
      </c>
      <c r="R21" s="28">
        <v>12</v>
      </c>
    </row>
    <row r="22" spans="1:18" ht="15" customHeight="1" x14ac:dyDescent="0.2">
      <c r="A22" s="37" t="str">
        <f>IF('Employee Master'!B22="","",'Employee Master'!B22)</f>
        <v>CAS-IH_1005</v>
      </c>
      <c r="B22" s="37" t="str">
        <f>IF('Employee Master'!B22="","",'Employee Master'!C22)</f>
        <v>Robin</v>
      </c>
      <c r="C22" s="37" t="str">
        <f>IF('Employee Master'!B22="","",'Employee Master'!D22)</f>
        <v>In-house</v>
      </c>
      <c r="D22" s="37" t="str">
        <f>IF('Employee Master'!B22="","",'Employee Master'!E22)</f>
        <v>Sr. Associate</v>
      </c>
      <c r="E22" s="37" t="str">
        <f>IF('Employee Master'!B22="","",'Employee Master'!F22)</f>
        <v>Accounting</v>
      </c>
      <c r="F22" s="37" t="str">
        <f>IF('Employee Master'!B22="","",'Employee Master'!G22)</f>
        <v>Jyoti</v>
      </c>
      <c r="G22" s="38">
        <v>158.80000000000001</v>
      </c>
      <c r="H22" s="38">
        <v>158.80000000000001</v>
      </c>
      <c r="I22" s="39">
        <f t="shared" si="0"/>
        <v>0</v>
      </c>
      <c r="J22" s="40">
        <f>IF(A22="","",IF(H22=0,0,H22/(Settings!B6*12)))</f>
        <v>8.2708333333333342E-2</v>
      </c>
      <c r="K22" s="28">
        <v>5</v>
      </c>
      <c r="L22" s="41">
        <v>3.5</v>
      </c>
      <c r="M22" s="28">
        <v>0</v>
      </c>
      <c r="N22" s="29">
        <f t="shared" si="1"/>
        <v>0</v>
      </c>
      <c r="O22" s="28">
        <v>0</v>
      </c>
      <c r="P22" s="28">
        <v>0</v>
      </c>
      <c r="Q22" s="40">
        <f t="shared" si="2"/>
        <v>0</v>
      </c>
      <c r="R22" s="28">
        <v>12</v>
      </c>
    </row>
    <row r="23" spans="1:18" ht="34.5" customHeight="1" x14ac:dyDescent="0.2">
      <c r="A23" s="37" t="str">
        <f>IF('Employee Master'!B23="","",'Employee Master'!B23)</f>
        <v>CAS-IH_1038</v>
      </c>
      <c r="B23" s="37" t="str">
        <f>IF('Employee Master'!B23="","",'Employee Master'!C23)</f>
        <v>Nishu</v>
      </c>
      <c r="C23" s="37" t="str">
        <f>IF('Employee Master'!B23="","",'Employee Master'!D23)</f>
        <v>In-house</v>
      </c>
      <c r="D23" s="37" t="str">
        <f>IF('Employee Master'!B23="","",'Employee Master'!E23)</f>
        <v>Associate</v>
      </c>
      <c r="E23" s="37" t="str">
        <f>IF('Employee Master'!B23="","",'Employee Master'!F23)</f>
        <v>Accounting, Business Tax, VA</v>
      </c>
      <c r="F23" s="37" t="str">
        <f>IF('Employee Master'!B23="","",'Employee Master'!G23)</f>
        <v>Jyoti</v>
      </c>
      <c r="G23" s="38">
        <v>156.1</v>
      </c>
      <c r="H23" s="38">
        <v>156.1</v>
      </c>
      <c r="I23" s="39">
        <f t="shared" si="0"/>
        <v>0</v>
      </c>
      <c r="J23" s="40">
        <f>IF(A23="","",IF(H23=0,0,H23/(Settings!B6*12)))</f>
        <v>8.130208333333333E-2</v>
      </c>
      <c r="K23" s="28">
        <v>1</v>
      </c>
      <c r="L23" s="41">
        <v>3.5</v>
      </c>
      <c r="M23" s="28">
        <v>0</v>
      </c>
      <c r="N23" s="29">
        <f t="shared" si="1"/>
        <v>0</v>
      </c>
      <c r="O23" s="28">
        <v>0</v>
      </c>
      <c r="P23" s="28">
        <v>0</v>
      </c>
      <c r="Q23" s="40">
        <f t="shared" si="2"/>
        <v>0</v>
      </c>
      <c r="R23" s="28">
        <v>12</v>
      </c>
    </row>
    <row r="24" spans="1:18" ht="15" customHeight="1" x14ac:dyDescent="0.2">
      <c r="A24" s="37" t="str">
        <f>IF('Employee Master'!B24="","",'Employee Master'!B24)</f>
        <v>CAS-RT_2045</v>
      </c>
      <c r="B24" s="37" t="str">
        <f>IF('Employee Master'!B24="","",'Employee Master'!C24)</f>
        <v>Pinky</v>
      </c>
      <c r="C24" s="37" t="str">
        <f>IF('Employee Master'!B24="","",'Employee Master'!D24)</f>
        <v>Remote</v>
      </c>
      <c r="D24" s="37" t="str">
        <f>IF('Employee Master'!B24="","",'Employee Master'!E24)</f>
        <v>Manager</v>
      </c>
      <c r="E24" s="37" t="str">
        <f>IF('Employee Master'!B24="","",'Employee Master'!F24)</f>
        <v>Accounting</v>
      </c>
      <c r="F24" s="37" t="str">
        <f>IF('Employee Master'!B24="","",'Employee Master'!G24)</f>
        <v>Nikita Shah</v>
      </c>
      <c r="G24" s="38">
        <v>96.6</v>
      </c>
      <c r="H24" s="38">
        <v>96.6</v>
      </c>
      <c r="I24" s="39">
        <f t="shared" si="0"/>
        <v>0</v>
      </c>
      <c r="J24" s="40">
        <f>IF(A24="","",IF(H24=0,0,H24/(Settings!B6*12)))</f>
        <v>5.0312499999999996E-2</v>
      </c>
      <c r="K24" s="28">
        <v>1</v>
      </c>
      <c r="L24" s="41">
        <v>3.5</v>
      </c>
      <c r="M24" s="28">
        <v>0</v>
      </c>
      <c r="N24" s="29">
        <f t="shared" si="1"/>
        <v>0</v>
      </c>
      <c r="O24" s="28">
        <v>0</v>
      </c>
      <c r="P24" s="28">
        <v>0</v>
      </c>
      <c r="Q24" s="40">
        <f t="shared" si="2"/>
        <v>0</v>
      </c>
      <c r="R24" s="28">
        <v>12</v>
      </c>
    </row>
    <row r="25" spans="1:18" ht="23.25" customHeight="1" x14ac:dyDescent="0.2">
      <c r="A25" s="37" t="str">
        <f>IF('Employee Master'!B25="","",'Employee Master'!B25)</f>
        <v>CAS-IH_1056</v>
      </c>
      <c r="B25" s="37" t="str">
        <f>IF('Employee Master'!B25="","",'Employee Master'!C25)</f>
        <v>Preety</v>
      </c>
      <c r="C25" s="37" t="str">
        <f>IF('Employee Master'!B25="","",'Employee Master'!D25)</f>
        <v>In-house</v>
      </c>
      <c r="D25" s="37" t="str">
        <f>IF('Employee Master'!B25="","",'Employee Master'!E25)</f>
        <v>Team Lead</v>
      </c>
      <c r="E25" s="37" t="str">
        <f>IF('Employee Master'!B25="","",'Employee Master'!F25)</f>
        <v>Accounting, Business Tax</v>
      </c>
      <c r="F25" s="37" t="str">
        <f>IF('Employee Master'!B25="","",'Employee Master'!G25)</f>
        <v>Nikita Shah</v>
      </c>
      <c r="G25" s="38">
        <v>88.5</v>
      </c>
      <c r="H25" s="38">
        <v>88.5</v>
      </c>
      <c r="I25" s="39">
        <f t="shared" si="0"/>
        <v>0</v>
      </c>
      <c r="J25" s="40">
        <f>IF(A25="","",IF(H25=0,0,H25/(Settings!B6*12)))</f>
        <v>4.6093750000000003E-2</v>
      </c>
      <c r="K25" s="28">
        <v>8</v>
      </c>
      <c r="L25" s="41">
        <v>3.5</v>
      </c>
      <c r="M25" s="28">
        <v>0</v>
      </c>
      <c r="N25" s="29">
        <f t="shared" si="1"/>
        <v>0</v>
      </c>
      <c r="O25" s="28">
        <v>0</v>
      </c>
      <c r="P25" s="28">
        <v>0</v>
      </c>
      <c r="Q25" s="40">
        <f t="shared" si="2"/>
        <v>0</v>
      </c>
      <c r="R25" s="28">
        <v>12</v>
      </c>
    </row>
    <row r="26" spans="1:18" ht="15" customHeight="1" x14ac:dyDescent="0.2">
      <c r="A26" s="37" t="str">
        <f>IF('Employee Master'!B26="","",'Employee Master'!B26)</f>
        <v>CAS-RT_2063</v>
      </c>
      <c r="B26" s="37" t="str">
        <f>IF('Employee Master'!B26="","",'Employee Master'!C26)</f>
        <v>Urvashi</v>
      </c>
      <c r="C26" s="37" t="str">
        <f>IF('Employee Master'!B26="","",'Employee Master'!D26)</f>
        <v>Remote</v>
      </c>
      <c r="D26" s="37" t="str">
        <f>IF('Employee Master'!B26="","",'Employee Master'!E26)</f>
        <v>Associate</v>
      </c>
      <c r="E26" s="37" t="str">
        <f>IF('Employee Master'!B26="","",'Employee Master'!F26)</f>
        <v>Accounting</v>
      </c>
      <c r="F26" s="37" t="str">
        <f>IF('Employee Master'!B26="","",'Employee Master'!G26)</f>
        <v>Nikita Shah</v>
      </c>
      <c r="G26" s="38">
        <v>101.5</v>
      </c>
      <c r="H26" s="38">
        <v>101.5</v>
      </c>
      <c r="I26" s="39">
        <f t="shared" si="0"/>
        <v>0</v>
      </c>
      <c r="J26" s="40">
        <f>IF(A26="","",IF(H26=0,0,H26/(Settings!B6*12)))</f>
        <v>5.2864583333333333E-2</v>
      </c>
      <c r="K26" s="28">
        <v>1</v>
      </c>
      <c r="L26" s="41">
        <v>3.5</v>
      </c>
      <c r="M26" s="28">
        <v>0</v>
      </c>
      <c r="N26" s="29">
        <f t="shared" si="1"/>
        <v>0</v>
      </c>
      <c r="O26" s="28">
        <v>0</v>
      </c>
      <c r="P26" s="28">
        <v>0</v>
      </c>
      <c r="Q26" s="40">
        <f t="shared" si="2"/>
        <v>0</v>
      </c>
      <c r="R26" s="28">
        <v>12</v>
      </c>
    </row>
    <row r="27" spans="1:18" ht="15" customHeight="1" x14ac:dyDescent="0.2">
      <c r="A27" s="37" t="str">
        <f>IF('Employee Master'!B27="","",'Employee Master'!B27)</f>
        <v>CAS-IH_1046</v>
      </c>
      <c r="B27" s="37" t="str">
        <f>IF('Employee Master'!B27="","",'Employee Master'!C27)</f>
        <v>Melita</v>
      </c>
      <c r="C27" s="37" t="str">
        <f>IF('Employee Master'!B27="","",'Employee Master'!D27)</f>
        <v>In-house</v>
      </c>
      <c r="D27" s="37" t="str">
        <f>IF('Employee Master'!B27="","",'Employee Master'!E27)</f>
        <v>Team Lead</v>
      </c>
      <c r="E27" s="37" t="str">
        <f>IF('Employee Master'!B27="","",'Employee Master'!F27)</f>
        <v>Individual Tax</v>
      </c>
      <c r="F27" s="37" t="str">
        <f>IF('Employee Master'!B27="","",'Employee Master'!G27)</f>
        <v>Smriti Shah</v>
      </c>
      <c r="G27" s="38">
        <v>150.80000000000001</v>
      </c>
      <c r="H27" s="38">
        <v>150.80000000000001</v>
      </c>
      <c r="I27" s="39">
        <f t="shared" si="0"/>
        <v>0</v>
      </c>
      <c r="J27" s="40">
        <f>IF(A27="","",IF(H27=0,0,H27/(Settings!B6*12)))</f>
        <v>7.8541666666666676E-2</v>
      </c>
      <c r="K27" s="28">
        <v>7</v>
      </c>
      <c r="L27" s="41">
        <v>3.5</v>
      </c>
      <c r="M27" s="28">
        <v>0</v>
      </c>
      <c r="N27" s="29">
        <f t="shared" si="1"/>
        <v>0</v>
      </c>
      <c r="O27" s="28">
        <v>0</v>
      </c>
      <c r="P27" s="28">
        <v>0</v>
      </c>
      <c r="Q27" s="40">
        <f t="shared" si="2"/>
        <v>0</v>
      </c>
      <c r="R27" s="28">
        <v>12</v>
      </c>
    </row>
    <row r="28" spans="1:18" ht="15" customHeight="1" x14ac:dyDescent="0.2">
      <c r="A28" s="37" t="str">
        <f>IF('Employee Master'!B28="","",'Employee Master'!B28)</f>
        <v>CAS-RR_2077</v>
      </c>
      <c r="B28" s="37" t="str">
        <f>IF('Employee Master'!B28="","",'Employee Master'!C28)</f>
        <v>Bhawna</v>
      </c>
      <c r="C28" s="37" t="str">
        <f>IF('Employee Master'!B28="","",'Employee Master'!D28)</f>
        <v>Retainer</v>
      </c>
      <c r="D28" s="37" t="str">
        <f>IF('Employee Master'!B28="","",'Employee Master'!E28)</f>
        <v>Manager</v>
      </c>
      <c r="E28" s="37" t="str">
        <f>IF('Employee Master'!B28="","",'Employee Master'!F28)</f>
        <v>Accounting</v>
      </c>
      <c r="F28" s="37" t="str">
        <f>IF('Employee Master'!B28="","",'Employee Master'!G28)</f>
        <v>Jyoti</v>
      </c>
      <c r="G28" s="38">
        <v>162.4</v>
      </c>
      <c r="H28" s="38">
        <v>162.4</v>
      </c>
      <c r="I28" s="39">
        <f t="shared" si="0"/>
        <v>0</v>
      </c>
      <c r="J28" s="40">
        <f>IF(A28="","",IF(H28=0,0,H28/(Settings!B6*12)))</f>
        <v>8.458333333333333E-2</v>
      </c>
      <c r="K28" s="28">
        <v>2</v>
      </c>
      <c r="L28" s="41">
        <v>3.5</v>
      </c>
      <c r="M28" s="28">
        <v>0</v>
      </c>
      <c r="N28" s="29">
        <f t="shared" si="1"/>
        <v>0</v>
      </c>
      <c r="O28" s="28">
        <v>0</v>
      </c>
      <c r="P28" s="28">
        <v>0</v>
      </c>
      <c r="Q28" s="40">
        <f t="shared" si="2"/>
        <v>0</v>
      </c>
      <c r="R28" s="28">
        <v>12</v>
      </c>
    </row>
    <row r="29" spans="1:18" ht="23.25" customHeight="1" x14ac:dyDescent="0.2">
      <c r="A29" s="37" t="str">
        <f>IF('Employee Master'!B29="","",'Employee Master'!B29)</f>
        <v>CAS-RT_2078</v>
      </c>
      <c r="B29" s="37" t="str">
        <f>IF('Employee Master'!B29="","",'Employee Master'!C29)</f>
        <v>Anand</v>
      </c>
      <c r="C29" s="37" t="str">
        <f>IF('Employee Master'!B29="","",'Employee Master'!D29)</f>
        <v>Remote</v>
      </c>
      <c r="D29" s="37" t="str">
        <f>IF('Employee Master'!B29="","",'Employee Master'!E29)</f>
        <v>Associate</v>
      </c>
      <c r="E29" s="37" t="str">
        <f>IF('Employee Master'!B29="","",'Employee Master'!F29)</f>
        <v>Accounting</v>
      </c>
      <c r="F29" s="37" t="str">
        <f>IF('Employee Master'!B29="","",'Employee Master'!G29)</f>
        <v>Nikita Shah</v>
      </c>
      <c r="G29" s="38">
        <v>155.30000000000001</v>
      </c>
      <c r="H29" s="38">
        <v>155.30000000000001</v>
      </c>
      <c r="I29" s="39">
        <f t="shared" si="0"/>
        <v>0</v>
      </c>
      <c r="J29" s="40">
        <f>IF(A29="","",IF(H29=0,0,H29/(Settings!B6*12)))</f>
        <v>8.0885416666666668E-2</v>
      </c>
      <c r="K29" s="28">
        <v>2</v>
      </c>
      <c r="L29" s="41">
        <v>3.5</v>
      </c>
      <c r="M29" s="28">
        <v>0</v>
      </c>
      <c r="N29" s="29">
        <f t="shared" si="1"/>
        <v>0</v>
      </c>
      <c r="O29" s="28">
        <v>0</v>
      </c>
      <c r="P29" s="28">
        <v>0</v>
      </c>
      <c r="Q29" s="40">
        <f t="shared" si="2"/>
        <v>0</v>
      </c>
      <c r="R29" s="28">
        <v>12</v>
      </c>
    </row>
    <row r="30" spans="1:18" ht="15" customHeight="1" x14ac:dyDescent="0.2">
      <c r="A30" s="37" t="str">
        <f>IF('Employee Master'!B30="","",'Employee Master'!B30)</f>
        <v>CAS-RT_2102</v>
      </c>
      <c r="B30" s="37" t="str">
        <f>IF('Employee Master'!B30="","",'Employee Master'!C30)</f>
        <v>Shivani</v>
      </c>
      <c r="C30" s="37" t="str">
        <f>IF('Employee Master'!B30="","",'Employee Master'!D30)</f>
        <v>Remote</v>
      </c>
      <c r="D30" s="37" t="str">
        <f>IF('Employee Master'!B30="","",'Employee Master'!E30)</f>
        <v>Associate</v>
      </c>
      <c r="E30" s="37" t="str">
        <f>IF('Employee Master'!B30="","",'Employee Master'!F30)</f>
        <v>Accounting</v>
      </c>
      <c r="F30" s="37" t="str">
        <f>IF('Employee Master'!B30="","",'Employee Master'!G30)</f>
        <v>Nikita Shah</v>
      </c>
      <c r="G30" s="38">
        <v>55.9</v>
      </c>
      <c r="H30" s="38">
        <v>55.9</v>
      </c>
      <c r="I30" s="39">
        <f t="shared" si="0"/>
        <v>0</v>
      </c>
      <c r="J30" s="40">
        <f>IF(A30="","",IF(H30=0,0,H30/(Settings!B6*12)))</f>
        <v>2.9114583333333333E-2</v>
      </c>
      <c r="K30" s="28">
        <v>2</v>
      </c>
      <c r="L30" s="41">
        <v>3.5</v>
      </c>
      <c r="M30" s="28">
        <v>0</v>
      </c>
      <c r="N30" s="29">
        <f t="shared" si="1"/>
        <v>0</v>
      </c>
      <c r="O30" s="28">
        <v>0</v>
      </c>
      <c r="P30" s="28">
        <v>0</v>
      </c>
      <c r="Q30" s="40">
        <f t="shared" si="2"/>
        <v>0</v>
      </c>
      <c r="R30" s="28">
        <v>12</v>
      </c>
    </row>
    <row r="31" spans="1:18" ht="15" customHeight="1" x14ac:dyDescent="0.2">
      <c r="A31" s="37" t="str">
        <f>IF('Employee Master'!B31="","",'Employee Master'!B31)</f>
        <v>CAS-RT_2108</v>
      </c>
      <c r="B31" s="37" t="str">
        <f>IF('Employee Master'!B31="","",'Employee Master'!C31)</f>
        <v>Sreeja</v>
      </c>
      <c r="C31" s="37" t="str">
        <f>IF('Employee Master'!B31="","",'Employee Master'!D31)</f>
        <v>Remote</v>
      </c>
      <c r="D31" s="37" t="str">
        <f>IF('Employee Master'!B31="","",'Employee Master'!E31)</f>
        <v>Manager</v>
      </c>
      <c r="E31" s="37" t="str">
        <f>IF('Employee Master'!B31="","",'Employee Master'!F31)</f>
        <v>Accounting</v>
      </c>
      <c r="F31" s="37" t="str">
        <f>IF('Employee Master'!B31="","",'Employee Master'!G31)</f>
        <v>Nikita Shah</v>
      </c>
      <c r="G31" s="38">
        <v>105.4</v>
      </c>
      <c r="H31" s="38">
        <v>105.4</v>
      </c>
      <c r="I31" s="39">
        <f t="shared" si="0"/>
        <v>0</v>
      </c>
      <c r="J31" s="40">
        <f>IF(A31="","",IF(H31=0,0,H31/(Settings!B6*12)))</f>
        <v>5.4895833333333338E-2</v>
      </c>
      <c r="K31" s="28">
        <v>1</v>
      </c>
      <c r="L31" s="41">
        <v>3.5</v>
      </c>
      <c r="M31" s="28">
        <v>0</v>
      </c>
      <c r="N31" s="29">
        <f t="shared" si="1"/>
        <v>0</v>
      </c>
      <c r="O31" s="28">
        <v>0</v>
      </c>
      <c r="P31" s="28">
        <v>0</v>
      </c>
      <c r="Q31" s="40">
        <f t="shared" si="2"/>
        <v>0</v>
      </c>
      <c r="R31" s="28">
        <v>12</v>
      </c>
    </row>
    <row r="32" spans="1:18" ht="15" customHeight="1" x14ac:dyDescent="0.2">
      <c r="A32" s="37" t="str">
        <f>IF('Employee Master'!B32="","",'Employee Master'!B32)</f>
        <v>CAS-RT_2113</v>
      </c>
      <c r="B32" s="37" t="str">
        <f>IF('Employee Master'!B32="","",'Employee Master'!C32)</f>
        <v>Divya.M</v>
      </c>
      <c r="C32" s="37" t="str">
        <f>IF('Employee Master'!B32="","",'Employee Master'!D32)</f>
        <v>Remote</v>
      </c>
      <c r="D32" s="37" t="str">
        <f>IF('Employee Master'!B32="","",'Employee Master'!E32)</f>
        <v>Manager</v>
      </c>
      <c r="E32" s="37" t="str">
        <f>IF('Employee Master'!B32="","",'Employee Master'!F32)</f>
        <v>Accounting</v>
      </c>
      <c r="F32" s="37" t="str">
        <f>IF('Employee Master'!B32="","",'Employee Master'!G32)</f>
        <v>Nikita Shah</v>
      </c>
      <c r="G32" s="38">
        <v>98</v>
      </c>
      <c r="H32" s="38">
        <v>98</v>
      </c>
      <c r="I32" s="39">
        <f t="shared" si="0"/>
        <v>0</v>
      </c>
      <c r="J32" s="40">
        <f>IF(A32="","",IF(H32=0,0,H32/(Settings!B6*12)))</f>
        <v>5.1041666666666666E-2</v>
      </c>
      <c r="K32" s="28">
        <v>3</v>
      </c>
      <c r="L32" s="41">
        <v>3.5</v>
      </c>
      <c r="M32" s="28">
        <v>0</v>
      </c>
      <c r="N32" s="29">
        <f t="shared" si="1"/>
        <v>0</v>
      </c>
      <c r="O32" s="28">
        <v>0</v>
      </c>
      <c r="P32" s="28">
        <v>0</v>
      </c>
      <c r="Q32" s="40">
        <f t="shared" si="2"/>
        <v>0</v>
      </c>
      <c r="R32" s="28">
        <v>12</v>
      </c>
    </row>
    <row r="33" spans="1:18" ht="23.25" customHeight="1" x14ac:dyDescent="0.2">
      <c r="A33" s="37" t="str">
        <f>IF('Employee Master'!B33="","",'Employee Master'!B33)</f>
        <v>CAS-IH_1102</v>
      </c>
      <c r="B33" s="37" t="str">
        <f>IF('Employee Master'!B33="","",'Employee Master'!C33)</f>
        <v>Kritika</v>
      </c>
      <c r="C33" s="37" t="str">
        <f>IF('Employee Master'!B33="","",'Employee Master'!D33)</f>
        <v>In-house</v>
      </c>
      <c r="D33" s="37" t="str">
        <f>IF('Employee Master'!B33="","",'Employee Master'!E33)</f>
        <v>Manager</v>
      </c>
      <c r="E33" s="37" t="str">
        <f>IF('Employee Master'!B33="","",'Employee Master'!F33)</f>
        <v>FP&amp;A</v>
      </c>
      <c r="F33" s="37" t="str">
        <f>IF('Employee Master'!B33="","",'Employee Master'!G33)</f>
        <v>Sachi Mazumdar</v>
      </c>
      <c r="G33" s="38">
        <v>147</v>
      </c>
      <c r="H33" s="38">
        <v>147</v>
      </c>
      <c r="I33" s="39">
        <f t="shared" si="0"/>
        <v>0</v>
      </c>
      <c r="J33" s="40">
        <f>IF(A33="","",IF(H33=0,0,H33/(Settings!B6*12)))</f>
        <v>7.6562500000000006E-2</v>
      </c>
      <c r="K33" s="28">
        <v>1</v>
      </c>
      <c r="L33" s="41">
        <v>3.5</v>
      </c>
      <c r="M33" s="28">
        <v>0</v>
      </c>
      <c r="N33" s="29">
        <f t="shared" si="1"/>
        <v>0</v>
      </c>
      <c r="O33" s="28">
        <v>0</v>
      </c>
      <c r="P33" s="28">
        <v>0</v>
      </c>
      <c r="Q33" s="40">
        <f t="shared" si="2"/>
        <v>0</v>
      </c>
      <c r="R33" s="28">
        <v>12</v>
      </c>
    </row>
    <row r="34" spans="1:18" ht="15" customHeight="1" x14ac:dyDescent="0.2">
      <c r="A34" s="37" t="str">
        <f>IF('Employee Master'!B34="","",'Employee Master'!B34)</f>
        <v>CAS-IH_1061</v>
      </c>
      <c r="B34" s="37" t="str">
        <f>IF('Employee Master'!B34="","",'Employee Master'!C34)</f>
        <v>Abhilash</v>
      </c>
      <c r="C34" s="37" t="str">
        <f>IF('Employee Master'!B34="","",'Employee Master'!D34)</f>
        <v>In-house</v>
      </c>
      <c r="D34" s="37" t="str">
        <f>IF('Employee Master'!B34="","",'Employee Master'!E34)</f>
        <v>Sr. Associate</v>
      </c>
      <c r="E34" s="37" t="str">
        <f>IF('Employee Master'!B34="","",'Employee Master'!F34)</f>
        <v>Individual Tax</v>
      </c>
      <c r="F34" s="37" t="str">
        <f>IF('Employee Master'!B34="","",'Employee Master'!G34)</f>
        <v>Smriti Shah</v>
      </c>
      <c r="G34" s="38">
        <v>59.8</v>
      </c>
      <c r="H34" s="38">
        <v>59.8</v>
      </c>
      <c r="I34" s="39">
        <f t="shared" si="0"/>
        <v>0</v>
      </c>
      <c r="J34" s="40">
        <f>IF(A34="","",IF(H34=0,0,H34/(Settings!B6*12)))</f>
        <v>3.1145833333333331E-2</v>
      </c>
      <c r="K34" s="28">
        <v>5</v>
      </c>
      <c r="L34" s="41">
        <v>3.5</v>
      </c>
      <c r="M34" s="28">
        <v>0</v>
      </c>
      <c r="N34" s="29">
        <f t="shared" si="1"/>
        <v>0</v>
      </c>
      <c r="O34" s="28">
        <v>0</v>
      </c>
      <c r="P34" s="28">
        <v>0</v>
      </c>
      <c r="Q34" s="40">
        <f t="shared" si="2"/>
        <v>0</v>
      </c>
      <c r="R34" s="28">
        <v>12</v>
      </c>
    </row>
    <row r="35" spans="1:18" ht="23.25" customHeight="1" x14ac:dyDescent="0.2">
      <c r="A35" s="37" t="str">
        <f>IF('Employee Master'!B35="","",'Employee Master'!B35)</f>
        <v>CAS-IH_1108</v>
      </c>
      <c r="B35" s="37" t="str">
        <f>IF('Employee Master'!B35="","",'Employee Master'!C35)</f>
        <v>Kavita</v>
      </c>
      <c r="C35" s="37" t="str">
        <f>IF('Employee Master'!B35="","",'Employee Master'!D35)</f>
        <v>In-house</v>
      </c>
      <c r="D35" s="37" t="str">
        <f>IF('Employee Master'!B35="","",'Employee Master'!E35)</f>
        <v>Manager</v>
      </c>
      <c r="E35" s="37" t="str">
        <f>IF('Employee Master'!B35="","",'Employee Master'!F35)</f>
        <v>FP&amp;A</v>
      </c>
      <c r="F35" s="37" t="str">
        <f>IF('Employee Master'!B35="","",'Employee Master'!G35)</f>
        <v>Sachi Mazumdar</v>
      </c>
      <c r="G35" s="38">
        <v>48</v>
      </c>
      <c r="H35" s="38">
        <v>48</v>
      </c>
      <c r="I35" s="39">
        <f t="shared" si="0"/>
        <v>0</v>
      </c>
      <c r="J35" s="40">
        <f>IF(A35="","",IF(H35=0,0,H35/(Settings!B6*12)))</f>
        <v>2.5000000000000001E-2</v>
      </c>
      <c r="K35" s="28">
        <v>1</v>
      </c>
      <c r="L35" s="41">
        <v>3.5</v>
      </c>
      <c r="M35" s="28">
        <v>0</v>
      </c>
      <c r="N35" s="29">
        <f t="shared" si="1"/>
        <v>0</v>
      </c>
      <c r="O35" s="28">
        <v>0</v>
      </c>
      <c r="P35" s="28">
        <v>0</v>
      </c>
      <c r="Q35" s="40">
        <f t="shared" si="2"/>
        <v>0</v>
      </c>
      <c r="R35" s="28">
        <v>12</v>
      </c>
    </row>
    <row r="36" spans="1:18" ht="15" customHeight="1" x14ac:dyDescent="0.2">
      <c r="A36" s="37" t="str">
        <f>IF('Employee Master'!B36="","",'Employee Master'!B36)</f>
        <v>CAS-IH_1078</v>
      </c>
      <c r="B36" s="37" t="str">
        <f>IF('Employee Master'!B36="","",'Employee Master'!C36)</f>
        <v>Sakshi</v>
      </c>
      <c r="C36" s="37" t="str">
        <f>IF('Employee Master'!B36="","",'Employee Master'!D36)</f>
        <v>In-house</v>
      </c>
      <c r="D36" s="37" t="str">
        <f>IF('Employee Master'!B36="","",'Employee Master'!E36)</f>
        <v>Associate</v>
      </c>
      <c r="E36" s="37" t="str">
        <f>IF('Employee Master'!B36="","",'Employee Master'!F36)</f>
        <v>Accounting</v>
      </c>
      <c r="F36" s="37" t="str">
        <f>IF('Employee Master'!B36="","",'Employee Master'!G36)</f>
        <v>Nikita Shah</v>
      </c>
      <c r="G36" s="38">
        <v>135.19999999999999</v>
      </c>
      <c r="H36" s="38">
        <v>135.19999999999999</v>
      </c>
      <c r="I36" s="39">
        <f t="shared" ref="I36:I67" si="3">IF(A36="","",G36-H36)</f>
        <v>0</v>
      </c>
      <c r="J36" s="40">
        <f>IF(A36="","",IF(H36=0,0,H36/(Settings!B6*12)))</f>
        <v>7.0416666666666655E-2</v>
      </c>
      <c r="K36" s="28">
        <v>1</v>
      </c>
      <c r="L36" s="41">
        <v>3.5</v>
      </c>
      <c r="M36" s="28">
        <v>0</v>
      </c>
      <c r="N36" s="29">
        <f t="shared" ref="N36:N67" si="4">IF(A36="","",IF(H36=0,0,M36/H36))</f>
        <v>0</v>
      </c>
      <c r="O36" s="28">
        <v>0</v>
      </c>
      <c r="P36" s="28">
        <v>0</v>
      </c>
      <c r="Q36" s="40">
        <f t="shared" ref="Q36:Q67" si="5">IF(A36="","",IF(O36=0,0,1-P36/O36))</f>
        <v>0</v>
      </c>
      <c r="R36" s="28">
        <v>12</v>
      </c>
    </row>
    <row r="37" spans="1:18" ht="15" customHeight="1" x14ac:dyDescent="0.2">
      <c r="A37" s="37" t="str">
        <f>IF('Employee Master'!B37="","",'Employee Master'!B37)</f>
        <v>CAS-RR_2370</v>
      </c>
      <c r="B37" s="37" t="str">
        <f>IF('Employee Master'!B37="","",'Employee Master'!C37)</f>
        <v>Suhani</v>
      </c>
      <c r="C37" s="37" t="str">
        <f>IF('Employee Master'!B37="","",'Employee Master'!D37)</f>
        <v>Retainer</v>
      </c>
      <c r="D37" s="37" t="str">
        <f>IF('Employee Master'!B37="","",'Employee Master'!E37)</f>
        <v>Team Lead</v>
      </c>
      <c r="E37" s="37" t="str">
        <f>IF('Employee Master'!B37="","",'Employee Master'!F37)</f>
        <v>Accounting</v>
      </c>
      <c r="F37" s="37" t="str">
        <f>IF('Employee Master'!B37="","",'Employee Master'!G37)</f>
        <v>Ayushi</v>
      </c>
      <c r="G37" s="38">
        <v>165</v>
      </c>
      <c r="H37" s="38">
        <v>165</v>
      </c>
      <c r="I37" s="39">
        <f t="shared" si="3"/>
        <v>0</v>
      </c>
      <c r="J37" s="40">
        <f>IF(A37="","",IF(H37=0,0,H37/(Settings!B6*12)))</f>
        <v>8.59375E-2</v>
      </c>
      <c r="K37" s="28">
        <v>10</v>
      </c>
      <c r="L37" s="41">
        <v>3.5</v>
      </c>
      <c r="M37" s="28">
        <v>0</v>
      </c>
      <c r="N37" s="29">
        <f t="shared" si="4"/>
        <v>0</v>
      </c>
      <c r="O37" s="28">
        <v>0</v>
      </c>
      <c r="P37" s="28">
        <v>0</v>
      </c>
      <c r="Q37" s="40">
        <f t="shared" si="5"/>
        <v>0</v>
      </c>
      <c r="R37" s="28">
        <v>12</v>
      </c>
    </row>
    <row r="38" spans="1:18" ht="15" customHeight="1" x14ac:dyDescent="0.2">
      <c r="A38" s="37" t="str">
        <f>IF('Employee Master'!B38="","",'Employee Master'!B38)</f>
        <v>CAS-IH_1082</v>
      </c>
      <c r="B38" s="37" t="str">
        <f>IF('Employee Master'!B38="","",'Employee Master'!C38)</f>
        <v>Shradha</v>
      </c>
      <c r="C38" s="37" t="str">
        <f>IF('Employee Master'!B38="","",'Employee Master'!D38)</f>
        <v>In-house</v>
      </c>
      <c r="D38" s="37" t="str">
        <f>IF('Employee Master'!B38="","",'Employee Master'!E38)</f>
        <v>Sr. Associate</v>
      </c>
      <c r="E38" s="37" t="str">
        <f>IF('Employee Master'!B38="","",'Employee Master'!F38)</f>
        <v>Accounting</v>
      </c>
      <c r="F38" s="37" t="str">
        <f>IF('Employee Master'!B38="","",'Employee Master'!G38)</f>
        <v>Jyoti</v>
      </c>
      <c r="G38" s="38">
        <v>150.6</v>
      </c>
      <c r="H38" s="38">
        <v>150.6</v>
      </c>
      <c r="I38" s="39">
        <f t="shared" si="3"/>
        <v>0</v>
      </c>
      <c r="J38" s="40">
        <f>IF(A38="","",IF(H38=0,0,H38/(Settings!B6*12)))</f>
        <v>7.8437499999999993E-2</v>
      </c>
      <c r="K38" s="28">
        <v>2</v>
      </c>
      <c r="L38" s="41">
        <v>3.5</v>
      </c>
      <c r="M38" s="28">
        <v>0</v>
      </c>
      <c r="N38" s="29">
        <f t="shared" si="4"/>
        <v>0</v>
      </c>
      <c r="O38" s="28">
        <v>0</v>
      </c>
      <c r="P38" s="28">
        <v>0</v>
      </c>
      <c r="Q38" s="40">
        <f t="shared" si="5"/>
        <v>0</v>
      </c>
      <c r="R38" s="28">
        <v>12</v>
      </c>
    </row>
    <row r="39" spans="1:18" ht="23.25" customHeight="1" x14ac:dyDescent="0.2">
      <c r="A39" s="37" t="str">
        <f>IF('Employee Master'!B39="","",'Employee Master'!B39)</f>
        <v>CAS-IH_1146</v>
      </c>
      <c r="B39" s="37" t="str">
        <f>IF('Employee Master'!B39="","",'Employee Master'!C39)</f>
        <v>Ridhi.G</v>
      </c>
      <c r="C39" s="37" t="str">
        <f>IF('Employee Master'!B39="","",'Employee Master'!D39)</f>
        <v>In-house</v>
      </c>
      <c r="D39" s="37" t="str">
        <f>IF('Employee Master'!B39="","",'Employee Master'!E39)</f>
        <v>Asst. Team Lead</v>
      </c>
      <c r="E39" s="37" t="str">
        <f>IF('Employee Master'!B39="","",'Employee Master'!F39)</f>
        <v>Accounting, Business Tax</v>
      </c>
      <c r="F39" s="37" t="str">
        <f>IF('Employee Master'!B39="","",'Employee Master'!G39)</f>
        <v>Nikita Shah</v>
      </c>
      <c r="G39" s="38">
        <v>136</v>
      </c>
      <c r="H39" s="38">
        <v>136</v>
      </c>
      <c r="I39" s="39">
        <f t="shared" si="3"/>
        <v>0</v>
      </c>
      <c r="J39" s="40">
        <f>IF(A39="","",IF(H39=0,0,H39/(Settings!B6*12)))</f>
        <v>7.0833333333333331E-2</v>
      </c>
      <c r="K39" s="28">
        <v>4</v>
      </c>
      <c r="L39" s="41">
        <v>3.5</v>
      </c>
      <c r="M39" s="28">
        <v>0</v>
      </c>
      <c r="N39" s="29">
        <f t="shared" si="4"/>
        <v>0</v>
      </c>
      <c r="O39" s="28">
        <v>0</v>
      </c>
      <c r="P39" s="28">
        <v>0</v>
      </c>
      <c r="Q39" s="40">
        <f t="shared" si="5"/>
        <v>0</v>
      </c>
      <c r="R39" s="28">
        <v>12</v>
      </c>
    </row>
    <row r="40" spans="1:18" ht="15" customHeight="1" x14ac:dyDescent="0.2">
      <c r="A40" s="37" t="str">
        <f>IF('Employee Master'!B40="","",'Employee Master'!B40)</f>
        <v>CAS-IH_1160</v>
      </c>
      <c r="B40" s="37" t="str">
        <f>IF('Employee Master'!B40="","",'Employee Master'!C40)</f>
        <v>Bhairavi.M</v>
      </c>
      <c r="C40" s="37" t="str">
        <f>IF('Employee Master'!B40="","",'Employee Master'!D40)</f>
        <v>In-house</v>
      </c>
      <c r="D40" s="37" t="str">
        <f>IF('Employee Master'!B40="","",'Employee Master'!E40)</f>
        <v>Associate</v>
      </c>
      <c r="E40" s="37" t="str">
        <f>IF('Employee Master'!B40="","",'Employee Master'!F40)</f>
        <v>Accounting</v>
      </c>
      <c r="F40" s="37" t="str">
        <f>IF('Employee Master'!B40="","",'Employee Master'!G40)</f>
        <v>Ayushi</v>
      </c>
      <c r="G40" s="38">
        <v>110.1</v>
      </c>
      <c r="H40" s="38">
        <v>110.1</v>
      </c>
      <c r="I40" s="39">
        <f t="shared" si="3"/>
        <v>0</v>
      </c>
      <c r="J40" s="40">
        <f>IF(A40="","",IF(H40=0,0,H40/(Settings!B6*12)))</f>
        <v>5.7343749999999999E-2</v>
      </c>
      <c r="K40" s="28">
        <v>5</v>
      </c>
      <c r="L40" s="41">
        <v>3.5</v>
      </c>
      <c r="M40" s="28">
        <v>0</v>
      </c>
      <c r="N40" s="29">
        <f t="shared" si="4"/>
        <v>0</v>
      </c>
      <c r="O40" s="28">
        <v>0</v>
      </c>
      <c r="P40" s="28">
        <v>0</v>
      </c>
      <c r="Q40" s="40">
        <f t="shared" si="5"/>
        <v>0</v>
      </c>
      <c r="R40" s="28">
        <v>12</v>
      </c>
    </row>
    <row r="41" spans="1:18" ht="15" customHeight="1" x14ac:dyDescent="0.2">
      <c r="A41" s="37" t="str">
        <f>IF('Employee Master'!B41="","",'Employee Master'!B41)</f>
        <v>CAS-IH_1150</v>
      </c>
      <c r="B41" s="37" t="str">
        <f>IF('Employee Master'!B41="","",'Employee Master'!C41)</f>
        <v>Ujjwal.J</v>
      </c>
      <c r="C41" s="37" t="str">
        <f>IF('Employee Master'!B41="","",'Employee Master'!D41)</f>
        <v>In-house</v>
      </c>
      <c r="D41" s="37" t="str">
        <f>IF('Employee Master'!B41="","",'Employee Master'!E41)</f>
        <v>Associate</v>
      </c>
      <c r="E41" s="37" t="str">
        <f>IF('Employee Master'!B41="","",'Employee Master'!F41)</f>
        <v>Accounting, Business Tax</v>
      </c>
      <c r="F41" s="37" t="str">
        <f>IF('Employee Master'!B41="","",'Employee Master'!G41)</f>
        <v>Nikita Shah</v>
      </c>
      <c r="G41" s="38">
        <v>164.2</v>
      </c>
      <c r="H41" s="38">
        <v>164.2</v>
      </c>
      <c r="I41" s="39">
        <f t="shared" si="3"/>
        <v>0</v>
      </c>
      <c r="J41" s="40">
        <f>IF(A41="","",IF(H41=0,0,H41/(Settings!B6*12)))</f>
        <v>8.5520833333333324E-2</v>
      </c>
      <c r="K41" s="28">
        <v>2</v>
      </c>
      <c r="L41" s="41">
        <v>3.5</v>
      </c>
      <c r="M41" s="28">
        <v>0</v>
      </c>
      <c r="N41" s="29">
        <f t="shared" si="4"/>
        <v>0</v>
      </c>
      <c r="O41" s="28">
        <v>0</v>
      </c>
      <c r="P41" s="28">
        <v>0</v>
      </c>
      <c r="Q41" s="40">
        <f t="shared" si="5"/>
        <v>0</v>
      </c>
      <c r="R41" s="28">
        <v>12</v>
      </c>
    </row>
    <row r="42" spans="1:18" ht="23.25" customHeight="1" x14ac:dyDescent="0.2">
      <c r="A42" s="37" t="str">
        <f>IF('Employee Master'!B42="","",'Employee Master'!B42)</f>
        <v>CAS-RR_2253</v>
      </c>
      <c r="B42" s="37" t="str">
        <f>IF('Employee Master'!B42="","",'Employee Master'!C42)</f>
        <v>Sukhmeen.K</v>
      </c>
      <c r="C42" s="37" t="str">
        <f>IF('Employee Master'!B42="","",'Employee Master'!D42)</f>
        <v>Retainer</v>
      </c>
      <c r="D42" s="37" t="str">
        <f>IF('Employee Master'!B42="","",'Employee Master'!E42)</f>
        <v>Manager</v>
      </c>
      <c r="E42" s="37" t="str">
        <f>IF('Employee Master'!B42="","",'Employee Master'!F42)</f>
        <v>Accounting</v>
      </c>
      <c r="F42" s="37" t="str">
        <f>IF('Employee Master'!B42="","",'Employee Master'!G42)</f>
        <v>Ayushi</v>
      </c>
      <c r="G42" s="38">
        <v>131.19999999999999</v>
      </c>
      <c r="H42" s="38">
        <v>131.19999999999999</v>
      </c>
      <c r="I42" s="39">
        <f t="shared" si="3"/>
        <v>0</v>
      </c>
      <c r="J42" s="40">
        <f>IF(A42="","",IF(H42=0,0,H42/(Settings!B6*12)))</f>
        <v>6.8333333333333329E-2</v>
      </c>
      <c r="K42" s="28">
        <v>5</v>
      </c>
      <c r="L42" s="41">
        <v>3.5</v>
      </c>
      <c r="M42" s="28">
        <v>0</v>
      </c>
      <c r="N42" s="29">
        <f t="shared" si="4"/>
        <v>0</v>
      </c>
      <c r="O42" s="28">
        <v>0</v>
      </c>
      <c r="P42" s="28">
        <v>0</v>
      </c>
      <c r="Q42" s="40">
        <f t="shared" si="5"/>
        <v>0</v>
      </c>
      <c r="R42" s="28">
        <v>12</v>
      </c>
    </row>
    <row r="43" spans="1:18" ht="15" customHeight="1" x14ac:dyDescent="0.2">
      <c r="A43" s="37" t="str">
        <f>IF('Employee Master'!B43="","",'Employee Master'!B43)</f>
        <v>CAS-IH_1111</v>
      </c>
      <c r="B43" s="37" t="str">
        <f>IF('Employee Master'!B43="","",'Employee Master'!C43)</f>
        <v>Tanisha.J</v>
      </c>
      <c r="C43" s="37" t="str">
        <f>IF('Employee Master'!B43="","",'Employee Master'!D43)</f>
        <v>In-house</v>
      </c>
      <c r="D43" s="37" t="str">
        <f>IF('Employee Master'!B43="","",'Employee Master'!E43)</f>
        <v>Associate</v>
      </c>
      <c r="E43" s="37" t="str">
        <f>IF('Employee Master'!B43="","",'Employee Master'!F43)</f>
        <v>HR</v>
      </c>
      <c r="F43" s="37" t="str">
        <f>IF('Employee Master'!B43="","",'Employee Master'!G43)</f>
        <v>Vinita Dagar</v>
      </c>
      <c r="G43" s="38">
        <v>146.5</v>
      </c>
      <c r="H43" s="38">
        <v>146.5</v>
      </c>
      <c r="I43" s="39">
        <f t="shared" si="3"/>
        <v>0</v>
      </c>
      <c r="J43" s="40">
        <f>IF(A43="","",IF(H43=0,0,H43/(Settings!B6*12)))</f>
        <v>7.630208333333334E-2</v>
      </c>
      <c r="K43" s="28">
        <v>9</v>
      </c>
      <c r="L43" s="41">
        <v>3.5</v>
      </c>
      <c r="M43" s="28">
        <v>0</v>
      </c>
      <c r="N43" s="29">
        <f t="shared" si="4"/>
        <v>0</v>
      </c>
      <c r="O43" s="28">
        <v>0</v>
      </c>
      <c r="P43" s="28">
        <v>0</v>
      </c>
      <c r="Q43" s="40">
        <f t="shared" si="5"/>
        <v>0</v>
      </c>
      <c r="R43" s="28">
        <v>12</v>
      </c>
    </row>
    <row r="44" spans="1:18" ht="15" customHeight="1" x14ac:dyDescent="0.2">
      <c r="A44" s="37" t="str">
        <f>IF('Employee Master'!B44="","",'Employee Master'!B44)</f>
        <v>CAS-IH_1113</v>
      </c>
      <c r="B44" s="37" t="str">
        <f>IF('Employee Master'!B44="","",'Employee Master'!C44)</f>
        <v>Disha.M</v>
      </c>
      <c r="C44" s="37" t="str">
        <f>IF('Employee Master'!B44="","",'Employee Master'!D44)</f>
        <v>In-house</v>
      </c>
      <c r="D44" s="37" t="str">
        <f>IF('Employee Master'!B44="","",'Employee Master'!E44)</f>
        <v>Associate</v>
      </c>
      <c r="E44" s="37" t="str">
        <f>IF('Employee Master'!B44="","",'Employee Master'!F44)</f>
        <v>HR</v>
      </c>
      <c r="F44" s="37" t="str">
        <f>IF('Employee Master'!B44="","",'Employee Master'!G44)</f>
        <v>Vinita Dagar</v>
      </c>
      <c r="G44" s="38">
        <v>131</v>
      </c>
      <c r="H44" s="38">
        <v>131</v>
      </c>
      <c r="I44" s="39">
        <f t="shared" si="3"/>
        <v>0</v>
      </c>
      <c r="J44" s="40">
        <f>IF(A44="","",IF(H44=0,0,H44/(Settings!B6*12)))</f>
        <v>6.822916666666666E-2</v>
      </c>
      <c r="K44" s="28">
        <v>1</v>
      </c>
      <c r="L44" s="41">
        <v>3.5</v>
      </c>
      <c r="M44" s="28">
        <v>0</v>
      </c>
      <c r="N44" s="29">
        <f t="shared" si="4"/>
        <v>0</v>
      </c>
      <c r="O44" s="28">
        <v>0</v>
      </c>
      <c r="P44" s="28">
        <v>0</v>
      </c>
      <c r="Q44" s="40">
        <f t="shared" si="5"/>
        <v>0</v>
      </c>
      <c r="R44" s="28">
        <v>12</v>
      </c>
    </row>
    <row r="45" spans="1:18" ht="15" customHeight="1" x14ac:dyDescent="0.2">
      <c r="A45" s="37" t="str">
        <f>IF('Employee Master'!B45="","",'Employee Master'!B45)</f>
        <v>CAS-IH_1114</v>
      </c>
      <c r="B45" s="37" t="str">
        <f>IF('Employee Master'!B45="","",'Employee Master'!C45)</f>
        <v>Smriti.S</v>
      </c>
      <c r="C45" s="37" t="str">
        <f>IF('Employee Master'!B45="","",'Employee Master'!D45)</f>
        <v>In-house</v>
      </c>
      <c r="D45" s="37" t="str">
        <f>IF('Employee Master'!B45="","",'Employee Master'!E45)</f>
        <v>Controller</v>
      </c>
      <c r="E45" s="37" t="str">
        <f>IF('Employee Master'!B45="","",'Employee Master'!F45)</f>
        <v>Individual Tax</v>
      </c>
      <c r="F45" s="37" t="str">
        <f>IF('Employee Master'!B45="","",'Employee Master'!G45)</f>
        <v>--</v>
      </c>
      <c r="G45" s="38">
        <v>9</v>
      </c>
      <c r="H45" s="38">
        <v>9</v>
      </c>
      <c r="I45" s="39">
        <f t="shared" si="3"/>
        <v>0</v>
      </c>
      <c r="J45" s="40">
        <f>IF(A45="","",IF(H45=0,0,H45/(Settings!B6*12)))</f>
        <v>4.6874999999999998E-3</v>
      </c>
      <c r="K45" s="28">
        <v>1</v>
      </c>
      <c r="L45" s="41">
        <v>3.5</v>
      </c>
      <c r="M45" s="28">
        <v>0</v>
      </c>
      <c r="N45" s="29">
        <f t="shared" si="4"/>
        <v>0</v>
      </c>
      <c r="O45" s="28">
        <v>0</v>
      </c>
      <c r="P45" s="28">
        <v>0</v>
      </c>
      <c r="Q45" s="40">
        <f t="shared" si="5"/>
        <v>0</v>
      </c>
      <c r="R45" s="28">
        <v>12</v>
      </c>
    </row>
    <row r="46" spans="1:18" ht="15" customHeight="1" x14ac:dyDescent="0.2">
      <c r="A46" s="37" t="str">
        <f>IF('Employee Master'!B46="","",'Employee Master'!B46)</f>
        <v>CAS-RT_2283</v>
      </c>
      <c r="B46" s="37" t="str">
        <f>IF('Employee Master'!B46="","",'Employee Master'!C46)</f>
        <v>Muhammad.S</v>
      </c>
      <c r="C46" s="37" t="str">
        <f>IF('Employee Master'!B46="","",'Employee Master'!D46)</f>
        <v>Remote</v>
      </c>
      <c r="D46" s="37" t="str">
        <f>IF('Employee Master'!B46="","",'Employee Master'!E46)</f>
        <v>Associate</v>
      </c>
      <c r="E46" s="37" t="str">
        <f>IF('Employee Master'!B46="","",'Employee Master'!F46)</f>
        <v>Accounting</v>
      </c>
      <c r="F46" s="37" t="str">
        <f>IF('Employee Master'!B46="","",'Employee Master'!G46)</f>
        <v>Ayushi</v>
      </c>
      <c r="G46" s="38">
        <v>85.1</v>
      </c>
      <c r="H46" s="38">
        <v>87.1</v>
      </c>
      <c r="I46" s="39">
        <f t="shared" si="3"/>
        <v>-2</v>
      </c>
      <c r="J46" s="40">
        <f>IF(A46="","",IF(H46=0,0,H46/(Settings!B6*12)))</f>
        <v>4.5364583333333333E-2</v>
      </c>
      <c r="K46" s="28">
        <v>5</v>
      </c>
      <c r="L46" s="41">
        <v>3.5</v>
      </c>
      <c r="M46" s="28">
        <v>0</v>
      </c>
      <c r="N46" s="29">
        <f t="shared" si="4"/>
        <v>0</v>
      </c>
      <c r="O46" s="28">
        <v>0</v>
      </c>
      <c r="P46" s="28">
        <v>0</v>
      </c>
      <c r="Q46" s="40">
        <f t="shared" si="5"/>
        <v>0</v>
      </c>
      <c r="R46" s="28">
        <v>12</v>
      </c>
    </row>
    <row r="47" spans="1:18" ht="15" customHeight="1" x14ac:dyDescent="0.2">
      <c r="A47" s="37" t="str">
        <f>IF('Employee Master'!B47="","",'Employee Master'!B47)</f>
        <v>CAS-RT_2296</v>
      </c>
      <c r="B47" s="37" t="str">
        <f>IF('Employee Master'!B47="","",'Employee Master'!C47)</f>
        <v>Farheen.K</v>
      </c>
      <c r="C47" s="37" t="str">
        <f>IF('Employee Master'!B47="","",'Employee Master'!D47)</f>
        <v>Remote</v>
      </c>
      <c r="D47" s="37" t="str">
        <f>IF('Employee Master'!B47="","",'Employee Master'!E47)</f>
        <v>Asst. Team Lead</v>
      </c>
      <c r="E47" s="37" t="str">
        <f>IF('Employee Master'!B47="","",'Employee Master'!F47)</f>
        <v>Accounting</v>
      </c>
      <c r="F47" s="37" t="str">
        <f>IF('Employee Master'!B47="","",'Employee Master'!G47)</f>
        <v>Sukhmeen.K</v>
      </c>
      <c r="G47" s="38">
        <v>173</v>
      </c>
      <c r="H47" s="38">
        <v>173</v>
      </c>
      <c r="I47" s="39">
        <f t="shared" si="3"/>
        <v>0</v>
      </c>
      <c r="J47" s="40">
        <f>IF(A47="","",IF(H47=0,0,H47/(Settings!B6*12)))</f>
        <v>9.0104166666666666E-2</v>
      </c>
      <c r="K47" s="28">
        <v>7</v>
      </c>
      <c r="L47" s="41">
        <v>3.5</v>
      </c>
      <c r="M47" s="28">
        <v>0</v>
      </c>
      <c r="N47" s="29">
        <f t="shared" si="4"/>
        <v>0</v>
      </c>
      <c r="O47" s="28">
        <v>0</v>
      </c>
      <c r="P47" s="28">
        <v>0</v>
      </c>
      <c r="Q47" s="40">
        <f t="shared" si="5"/>
        <v>0</v>
      </c>
      <c r="R47" s="28">
        <v>12</v>
      </c>
    </row>
    <row r="48" spans="1:18" ht="15" customHeight="1" x14ac:dyDescent="0.2">
      <c r="A48" s="37" t="str">
        <f>IF('Employee Master'!B48="","",'Employee Master'!B48)</f>
        <v>CAS-IH_1120</v>
      </c>
      <c r="B48" s="37" t="str">
        <f>IF('Employee Master'!B48="","",'Employee Master'!C48)</f>
        <v>Vaibhav.A</v>
      </c>
      <c r="C48" s="37" t="str">
        <f>IF('Employee Master'!B48="","",'Employee Master'!D48)</f>
        <v>In-house</v>
      </c>
      <c r="D48" s="37" t="str">
        <f>IF('Employee Master'!B48="","",'Employee Master'!E48)</f>
        <v>Manager</v>
      </c>
      <c r="E48" s="37" t="str">
        <f>IF('Employee Master'!B48="","",'Employee Master'!F48)</f>
        <v>FP&amp;A</v>
      </c>
      <c r="F48" s="37" t="str">
        <f>IF('Employee Master'!B48="","",'Employee Master'!G48)</f>
        <v>Sachi Mazumdar</v>
      </c>
      <c r="G48" s="38">
        <v>159.30000000000001</v>
      </c>
      <c r="H48" s="38">
        <v>159.30000000000001</v>
      </c>
      <c r="I48" s="39">
        <f t="shared" si="3"/>
        <v>0</v>
      </c>
      <c r="J48" s="40">
        <f>IF(A48="","",IF(H48=0,0,H48/(Settings!B6*12)))</f>
        <v>8.2968750000000008E-2</v>
      </c>
      <c r="K48" s="28">
        <v>7</v>
      </c>
      <c r="L48" s="41">
        <v>3.5</v>
      </c>
      <c r="M48" s="28">
        <v>0</v>
      </c>
      <c r="N48" s="29">
        <f t="shared" si="4"/>
        <v>0</v>
      </c>
      <c r="O48" s="28">
        <v>0</v>
      </c>
      <c r="P48" s="28">
        <v>0</v>
      </c>
      <c r="Q48" s="40">
        <f t="shared" si="5"/>
        <v>0</v>
      </c>
      <c r="R48" s="28">
        <v>12</v>
      </c>
    </row>
    <row r="49" spans="1:18" ht="23.25" customHeight="1" x14ac:dyDescent="0.2">
      <c r="A49" s="37" t="str">
        <f>IF('Employee Master'!B49="","",'Employee Master'!B49)</f>
        <v>CAS-IH_1123</v>
      </c>
      <c r="B49" s="37" t="str">
        <f>IF('Employee Master'!B49="","",'Employee Master'!C49)</f>
        <v>Shikha.A</v>
      </c>
      <c r="C49" s="37" t="str">
        <f>IF('Employee Master'!B49="","",'Employee Master'!D49)</f>
        <v>In-house</v>
      </c>
      <c r="D49" s="37" t="str">
        <f>IF('Employee Master'!B49="","",'Employee Master'!E49)</f>
        <v>Asst. Team Lead</v>
      </c>
      <c r="E49" s="37" t="str">
        <f>IF('Employee Master'!B49="","",'Employee Master'!F49)</f>
        <v>Individual Tax</v>
      </c>
      <c r="F49" s="37" t="str">
        <f>IF('Employee Master'!B49="","",'Employee Master'!G49)</f>
        <v>Smriti Shah</v>
      </c>
      <c r="G49" s="38">
        <v>185</v>
      </c>
      <c r="H49" s="38">
        <v>185</v>
      </c>
      <c r="I49" s="39">
        <f t="shared" si="3"/>
        <v>0</v>
      </c>
      <c r="J49" s="40">
        <f>IF(A49="","",IF(H49=0,0,H49/(Settings!B6*12)))</f>
        <v>9.6354166666666671E-2</v>
      </c>
      <c r="K49" s="28">
        <v>1</v>
      </c>
      <c r="L49" s="41">
        <v>3.5</v>
      </c>
      <c r="M49" s="28">
        <v>0</v>
      </c>
      <c r="N49" s="29">
        <f t="shared" si="4"/>
        <v>0</v>
      </c>
      <c r="O49" s="28">
        <v>0</v>
      </c>
      <c r="P49" s="28">
        <v>0</v>
      </c>
      <c r="Q49" s="40">
        <f t="shared" si="5"/>
        <v>0</v>
      </c>
      <c r="R49" s="28">
        <v>12</v>
      </c>
    </row>
    <row r="50" spans="1:18" ht="15" customHeight="1" x14ac:dyDescent="0.2">
      <c r="A50" s="37" t="str">
        <f>IF('Employee Master'!B50="","",'Employee Master'!B50)</f>
        <v>CAS-IH_1124</v>
      </c>
      <c r="B50" s="37" t="str">
        <f>IF('Employee Master'!B50="","",'Employee Master'!C50)</f>
        <v>Rupesh.A</v>
      </c>
      <c r="C50" s="37" t="str">
        <f>IF('Employee Master'!B50="","",'Employee Master'!D50)</f>
        <v>In-house</v>
      </c>
      <c r="D50" s="37" t="str">
        <f>IF('Employee Master'!B50="","",'Employee Master'!E50)</f>
        <v>Sr. Manager</v>
      </c>
      <c r="E50" s="37" t="str">
        <f>IF('Employee Master'!B50="","",'Employee Master'!F50)</f>
        <v>FP&amp;A</v>
      </c>
      <c r="F50" s="37" t="str">
        <f>IF('Employee Master'!B50="","",'Employee Master'!G50)</f>
        <v>Sachi Mazumdar</v>
      </c>
      <c r="G50" s="38">
        <v>176</v>
      </c>
      <c r="H50" s="38">
        <v>176</v>
      </c>
      <c r="I50" s="39">
        <f t="shared" si="3"/>
        <v>0</v>
      </c>
      <c r="J50" s="40">
        <f>IF(A50="","",IF(H50=0,0,H50/(Settings!B6*12)))</f>
        <v>9.166666666666666E-2</v>
      </c>
      <c r="K50" s="28">
        <v>7</v>
      </c>
      <c r="L50" s="41">
        <v>3.5</v>
      </c>
      <c r="M50" s="28">
        <v>0</v>
      </c>
      <c r="N50" s="29">
        <f t="shared" si="4"/>
        <v>0</v>
      </c>
      <c r="O50" s="28">
        <v>0</v>
      </c>
      <c r="P50" s="28">
        <v>0</v>
      </c>
      <c r="Q50" s="40">
        <f t="shared" si="5"/>
        <v>0</v>
      </c>
      <c r="R50" s="28">
        <v>12</v>
      </c>
    </row>
    <row r="51" spans="1:18" ht="23.25" customHeight="1" x14ac:dyDescent="0.2">
      <c r="A51" s="37" t="str">
        <f>IF('Employee Master'!B51="","",'Employee Master'!B51)</f>
        <v>CAS-IH_1126</v>
      </c>
      <c r="B51" s="37" t="str">
        <f>IF('Employee Master'!B51="","",'Employee Master'!C51)</f>
        <v>Deepika.B</v>
      </c>
      <c r="C51" s="37" t="str">
        <f>IF('Employee Master'!B51="","",'Employee Master'!D51)</f>
        <v>In-house</v>
      </c>
      <c r="D51" s="37" t="str">
        <f>IF('Employee Master'!B51="","",'Employee Master'!E51)</f>
        <v>Associate</v>
      </c>
      <c r="E51" s="37" t="str">
        <f>IF('Employee Master'!B51="","",'Employee Master'!F51)</f>
        <v>Individual Tax</v>
      </c>
      <c r="F51" s="37" t="str">
        <f>IF('Employee Master'!B51="","",'Employee Master'!G51)</f>
        <v>Smriti Shah</v>
      </c>
      <c r="G51" s="38">
        <v>0</v>
      </c>
      <c r="H51" s="38">
        <v>0</v>
      </c>
      <c r="I51" s="39">
        <f t="shared" si="3"/>
        <v>0</v>
      </c>
      <c r="J51" s="40">
        <f>IF(A51="","",IF(H51=0,0,H51/(Settings!B6*12)))</f>
        <v>0</v>
      </c>
      <c r="K51" s="28">
        <v>0</v>
      </c>
      <c r="L51" s="41">
        <v>3.5</v>
      </c>
      <c r="M51" s="28">
        <v>0</v>
      </c>
      <c r="N51" s="29">
        <f t="shared" si="4"/>
        <v>0</v>
      </c>
      <c r="O51" s="28">
        <v>0</v>
      </c>
      <c r="P51" s="28">
        <v>0</v>
      </c>
      <c r="Q51" s="40">
        <f t="shared" si="5"/>
        <v>0</v>
      </c>
      <c r="R51" s="28">
        <v>12</v>
      </c>
    </row>
    <row r="52" spans="1:18" ht="15" customHeight="1" x14ac:dyDescent="0.2">
      <c r="A52" s="37" t="str">
        <f>IF('Employee Master'!B52="","",'Employee Master'!B52)</f>
        <v>CAS-IH_1127</v>
      </c>
      <c r="B52" s="37" t="str">
        <f>IF('Employee Master'!B52="","",'Employee Master'!C52)</f>
        <v>Vandana.M</v>
      </c>
      <c r="C52" s="37" t="str">
        <f>IF('Employee Master'!B52="","",'Employee Master'!D52)</f>
        <v>In-house</v>
      </c>
      <c r="D52" s="37" t="str">
        <f>IF('Employee Master'!B52="","",'Employee Master'!E52)</f>
        <v>Associate</v>
      </c>
      <c r="E52" s="37" t="str">
        <f>IF('Employee Master'!B52="","",'Employee Master'!F52)</f>
        <v>Individual Tax</v>
      </c>
      <c r="F52" s="37" t="str">
        <f>IF('Employee Master'!B52="","",'Employee Master'!G52)</f>
        <v>Smriti Shah</v>
      </c>
      <c r="G52" s="38">
        <v>106.9</v>
      </c>
      <c r="H52" s="38">
        <v>106.9</v>
      </c>
      <c r="I52" s="39">
        <f t="shared" si="3"/>
        <v>0</v>
      </c>
      <c r="J52" s="40">
        <f>IF(A52="","",IF(H52=0,0,H52/(Settings!B6*12)))</f>
        <v>5.5677083333333335E-2</v>
      </c>
      <c r="K52" s="28">
        <v>5</v>
      </c>
      <c r="L52" s="41">
        <v>3.5</v>
      </c>
      <c r="M52" s="28">
        <v>0</v>
      </c>
      <c r="N52" s="29">
        <f t="shared" si="4"/>
        <v>0</v>
      </c>
      <c r="O52" s="28">
        <v>0</v>
      </c>
      <c r="P52" s="28">
        <v>0</v>
      </c>
      <c r="Q52" s="40">
        <f t="shared" si="5"/>
        <v>0</v>
      </c>
      <c r="R52" s="28">
        <v>12</v>
      </c>
    </row>
    <row r="53" spans="1:18" ht="15" customHeight="1" x14ac:dyDescent="0.2">
      <c r="A53" s="37" t="str">
        <f>IF('Employee Master'!B53="","",'Employee Master'!B53)</f>
        <v>CAS-RT_2319</v>
      </c>
      <c r="B53" s="37" t="str">
        <f>IF('Employee Master'!B53="","",'Employee Master'!C53)</f>
        <v>Shikha.AG</v>
      </c>
      <c r="C53" s="37" t="str">
        <f>IF('Employee Master'!B53="","",'Employee Master'!D53)</f>
        <v>Remote</v>
      </c>
      <c r="D53" s="37" t="str">
        <f>IF('Employee Master'!B53="","",'Employee Master'!E53)</f>
        <v>Asst. Team Lead</v>
      </c>
      <c r="E53" s="37" t="str">
        <f>IF('Employee Master'!B53="","",'Employee Master'!F53)</f>
        <v>Accounting</v>
      </c>
      <c r="F53" s="37" t="str">
        <f>IF('Employee Master'!B53="","",'Employee Master'!G53)</f>
        <v>Ayushi</v>
      </c>
      <c r="G53" s="38">
        <v>65.099999999999994</v>
      </c>
      <c r="H53" s="38">
        <v>65.099999999999994</v>
      </c>
      <c r="I53" s="39">
        <f t="shared" si="3"/>
        <v>0</v>
      </c>
      <c r="J53" s="40">
        <f>IF(A53="","",IF(H53=0,0,H53/(Settings!B6*12)))</f>
        <v>3.3906249999999999E-2</v>
      </c>
      <c r="K53" s="28">
        <v>5</v>
      </c>
      <c r="L53" s="41">
        <v>3.5</v>
      </c>
      <c r="M53" s="28">
        <v>0</v>
      </c>
      <c r="N53" s="29">
        <f t="shared" si="4"/>
        <v>0</v>
      </c>
      <c r="O53" s="28">
        <v>0</v>
      </c>
      <c r="P53" s="28">
        <v>0</v>
      </c>
      <c r="Q53" s="40">
        <f t="shared" si="5"/>
        <v>0</v>
      </c>
      <c r="R53" s="28">
        <v>12</v>
      </c>
    </row>
    <row r="54" spans="1:18" ht="15" customHeight="1" x14ac:dyDescent="0.2">
      <c r="A54" s="37" t="str">
        <f>IF('Employee Master'!B54="","",'Employee Master'!B54)</f>
        <v>CAS-RT_2324</v>
      </c>
      <c r="B54" s="37" t="str">
        <f>IF('Employee Master'!B54="","",'Employee Master'!C54)</f>
        <v>Falguni.M</v>
      </c>
      <c r="C54" s="37" t="str">
        <f>IF('Employee Master'!B54="","",'Employee Master'!D54)</f>
        <v>Remote</v>
      </c>
      <c r="D54" s="37" t="str">
        <f>IF('Employee Master'!B54="","",'Employee Master'!E54)</f>
        <v>Manager</v>
      </c>
      <c r="E54" s="37" t="str">
        <f>IF('Employee Master'!B54="","",'Employee Master'!F54)</f>
        <v>Business Tax</v>
      </c>
      <c r="F54" s="37" t="str">
        <f>IF('Employee Master'!B54="","",'Employee Master'!G54)</f>
        <v>Jyoti</v>
      </c>
      <c r="G54" s="38">
        <v>78.400000000000006</v>
      </c>
      <c r="H54" s="38">
        <v>78.400000000000006</v>
      </c>
      <c r="I54" s="39">
        <f t="shared" si="3"/>
        <v>0</v>
      </c>
      <c r="J54" s="40">
        <f>IF(A54="","",IF(H54=0,0,H54/(Settings!B6*12)))</f>
        <v>4.083333333333334E-2</v>
      </c>
      <c r="K54" s="28">
        <v>4</v>
      </c>
      <c r="L54" s="41">
        <v>3.5</v>
      </c>
      <c r="M54" s="28">
        <v>0</v>
      </c>
      <c r="N54" s="29">
        <f t="shared" si="4"/>
        <v>0</v>
      </c>
      <c r="O54" s="28">
        <v>0</v>
      </c>
      <c r="P54" s="28">
        <v>0</v>
      </c>
      <c r="Q54" s="40">
        <f t="shared" si="5"/>
        <v>0</v>
      </c>
      <c r="R54" s="28">
        <v>12</v>
      </c>
    </row>
    <row r="55" spans="1:18" ht="15" customHeight="1" x14ac:dyDescent="0.2">
      <c r="A55" s="37" t="str">
        <f>IF('Employee Master'!B55="","",'Employee Master'!B55)</f>
        <v>CAS-RT_2332</v>
      </c>
      <c r="B55" s="37" t="str">
        <f>IF('Employee Master'!B55="","",'Employee Master'!C55)</f>
        <v>Saumil.M</v>
      </c>
      <c r="C55" s="37" t="str">
        <f>IF('Employee Master'!B55="","",'Employee Master'!D55)</f>
        <v>Remote</v>
      </c>
      <c r="D55" s="37" t="str">
        <f>IF('Employee Master'!B55="","",'Employee Master'!E55)</f>
        <v>Associate</v>
      </c>
      <c r="E55" s="37" t="str">
        <f>IF('Employee Master'!B55="","",'Employee Master'!F55)</f>
        <v>Accounting</v>
      </c>
      <c r="F55" s="37" t="str">
        <f>IF('Employee Master'!B55="","",'Employee Master'!G55)</f>
        <v>Ayushi</v>
      </c>
      <c r="G55" s="38">
        <v>80.900000000000006</v>
      </c>
      <c r="H55" s="38">
        <v>80.900000000000006</v>
      </c>
      <c r="I55" s="39">
        <f t="shared" si="3"/>
        <v>0</v>
      </c>
      <c r="J55" s="40">
        <f>IF(A55="","",IF(H55=0,0,H55/(Settings!B6*12)))</f>
        <v>4.2135416666666668E-2</v>
      </c>
      <c r="K55" s="28">
        <v>6</v>
      </c>
      <c r="L55" s="41">
        <v>3.5</v>
      </c>
      <c r="M55" s="28">
        <v>0</v>
      </c>
      <c r="N55" s="29">
        <f t="shared" si="4"/>
        <v>0</v>
      </c>
      <c r="O55" s="28">
        <v>0</v>
      </c>
      <c r="P55" s="28">
        <v>0</v>
      </c>
      <c r="Q55" s="40">
        <f t="shared" si="5"/>
        <v>0</v>
      </c>
      <c r="R55" s="28">
        <v>12</v>
      </c>
    </row>
    <row r="56" spans="1:18" ht="15" customHeight="1" x14ac:dyDescent="0.2">
      <c r="A56" s="37" t="str">
        <f>IF('Employee Master'!B56="","",'Employee Master'!B56)</f>
        <v>CAS-RT_2335</v>
      </c>
      <c r="B56" s="37" t="str">
        <f>IF('Employee Master'!B56="","",'Employee Master'!C56)</f>
        <v>Seemu.A</v>
      </c>
      <c r="C56" s="37" t="str">
        <f>IF('Employee Master'!B56="","",'Employee Master'!D56)</f>
        <v>Remote</v>
      </c>
      <c r="D56" s="37" t="str">
        <f>IF('Employee Master'!B56="","",'Employee Master'!E56)</f>
        <v>Associate</v>
      </c>
      <c r="E56" s="37" t="str">
        <f>IF('Employee Master'!B56="","",'Employee Master'!F56)</f>
        <v>Accounting</v>
      </c>
      <c r="F56" s="37" t="str">
        <f>IF('Employee Master'!B56="","",'Employee Master'!G56)</f>
        <v>Nikita Shah</v>
      </c>
      <c r="G56" s="38">
        <v>59.6</v>
      </c>
      <c r="H56" s="38">
        <v>59.6</v>
      </c>
      <c r="I56" s="39">
        <f t="shared" si="3"/>
        <v>0</v>
      </c>
      <c r="J56" s="40">
        <f>IF(A56="","",IF(H56=0,0,H56/(Settings!B6*12)))</f>
        <v>3.1041666666666669E-2</v>
      </c>
      <c r="K56" s="28">
        <v>2</v>
      </c>
      <c r="L56" s="41">
        <v>3.5</v>
      </c>
      <c r="M56" s="28">
        <v>0</v>
      </c>
      <c r="N56" s="29">
        <f t="shared" si="4"/>
        <v>0</v>
      </c>
      <c r="O56" s="28">
        <v>0</v>
      </c>
      <c r="P56" s="28">
        <v>0</v>
      </c>
      <c r="Q56" s="40">
        <f t="shared" si="5"/>
        <v>0</v>
      </c>
      <c r="R56" s="28">
        <v>12</v>
      </c>
    </row>
    <row r="57" spans="1:18" ht="15" customHeight="1" x14ac:dyDescent="0.2">
      <c r="A57" s="37" t="str">
        <f>IF('Employee Master'!B57="","",'Employee Master'!B57)</f>
        <v>CAS-RT_2340</v>
      </c>
      <c r="B57" s="37" t="str">
        <f>IF('Employee Master'!B57="","",'Employee Master'!C57)</f>
        <v>Kanica.P</v>
      </c>
      <c r="C57" s="37" t="str">
        <f>IF('Employee Master'!B57="","",'Employee Master'!D57)</f>
        <v>Remote</v>
      </c>
      <c r="D57" s="37" t="str">
        <f>IF('Employee Master'!B57="","",'Employee Master'!E57)</f>
        <v>Sr. Associate</v>
      </c>
      <c r="E57" s="37" t="str">
        <f>IF('Employee Master'!B57="","",'Employee Master'!F57)</f>
        <v>Accounting</v>
      </c>
      <c r="F57" s="37" t="str">
        <f>IF('Employee Master'!B57="","",'Employee Master'!G57)</f>
        <v>Nikita Shah</v>
      </c>
      <c r="G57" s="38">
        <v>73.2</v>
      </c>
      <c r="H57" s="38">
        <v>73.2</v>
      </c>
      <c r="I57" s="39">
        <f t="shared" si="3"/>
        <v>0</v>
      </c>
      <c r="J57" s="40">
        <f>IF(A57="","",IF(H57=0,0,H57/(Settings!B6*12)))</f>
        <v>3.8124999999999999E-2</v>
      </c>
      <c r="K57" s="28">
        <v>7</v>
      </c>
      <c r="L57" s="41">
        <v>3.5</v>
      </c>
      <c r="M57" s="28">
        <v>0</v>
      </c>
      <c r="N57" s="29">
        <f t="shared" si="4"/>
        <v>0</v>
      </c>
      <c r="O57" s="28">
        <v>0</v>
      </c>
      <c r="P57" s="28">
        <v>0</v>
      </c>
      <c r="Q57" s="40">
        <f t="shared" si="5"/>
        <v>0</v>
      </c>
      <c r="R57" s="28">
        <v>12</v>
      </c>
    </row>
    <row r="58" spans="1:18" ht="15" customHeight="1" x14ac:dyDescent="0.2">
      <c r="A58" s="37" t="str">
        <f>IF('Employee Master'!B58="","",'Employee Master'!B58)</f>
        <v>CAS-IH_1137</v>
      </c>
      <c r="B58" s="37" t="str">
        <f>IF('Employee Master'!B58="","",'Employee Master'!C58)</f>
        <v>Ammie</v>
      </c>
      <c r="C58" s="37" t="str">
        <f>IF('Employee Master'!B58="","",'Employee Master'!D58)</f>
        <v>In-house</v>
      </c>
      <c r="D58" s="37" t="str">
        <f>IF('Employee Master'!B58="","",'Employee Master'!E58)</f>
        <v>Sr. Controller</v>
      </c>
      <c r="E58" s="37" t="str">
        <f>IF('Employee Master'!B58="","",'Employee Master'!F58)</f>
        <v>Individual Tax, Business Tax</v>
      </c>
      <c r="F58" s="37" t="str">
        <f>IF('Employee Master'!B58="","",'Employee Master'!G58)</f>
        <v>--</v>
      </c>
      <c r="G58" s="38">
        <v>146.5</v>
      </c>
      <c r="H58" s="38">
        <v>146.5</v>
      </c>
      <c r="I58" s="39">
        <f t="shared" si="3"/>
        <v>0</v>
      </c>
      <c r="J58" s="40">
        <f>IF(A58="","",IF(H58=0,0,H58/(Settings!B6*12)))</f>
        <v>7.630208333333334E-2</v>
      </c>
      <c r="K58" s="28">
        <v>3</v>
      </c>
      <c r="L58" s="41">
        <v>3.5</v>
      </c>
      <c r="M58" s="28">
        <v>0</v>
      </c>
      <c r="N58" s="29">
        <f t="shared" si="4"/>
        <v>0</v>
      </c>
      <c r="O58" s="28">
        <v>0</v>
      </c>
      <c r="P58" s="28">
        <v>0</v>
      </c>
      <c r="Q58" s="40">
        <f t="shared" si="5"/>
        <v>0</v>
      </c>
      <c r="R58" s="28">
        <v>12</v>
      </c>
    </row>
    <row r="59" spans="1:18" ht="23.25" customHeight="1" x14ac:dyDescent="0.2">
      <c r="A59" s="37" t="str">
        <f>IF('Employee Master'!B59="","",'Employee Master'!B59)</f>
        <v>CAS-RT_2349</v>
      </c>
      <c r="B59" s="37" t="str">
        <f>IF('Employee Master'!B59="","",'Employee Master'!C59)</f>
        <v>Pranjali.M</v>
      </c>
      <c r="C59" s="37" t="str">
        <f>IF('Employee Master'!B59="","",'Employee Master'!D59)</f>
        <v>Remote</v>
      </c>
      <c r="D59" s="37" t="str">
        <f>IF('Employee Master'!B59="","",'Employee Master'!E59)</f>
        <v>Associate</v>
      </c>
      <c r="E59" s="37" t="str">
        <f>IF('Employee Master'!B59="","",'Employee Master'!F59)</f>
        <v>Accounting</v>
      </c>
      <c r="F59" s="37" t="str">
        <f>IF('Employee Master'!B59="","",'Employee Master'!G59)</f>
        <v>Ayushi</v>
      </c>
      <c r="G59" s="38">
        <v>153</v>
      </c>
      <c r="H59" s="38">
        <v>154.5</v>
      </c>
      <c r="I59" s="39">
        <f t="shared" si="3"/>
        <v>-1.5</v>
      </c>
      <c r="J59" s="40">
        <f>IF(A59="","",IF(H59=0,0,H59/(Settings!B6*12)))</f>
        <v>8.0468750000000006E-2</v>
      </c>
      <c r="K59" s="28">
        <v>3</v>
      </c>
      <c r="L59" s="41">
        <v>3.5</v>
      </c>
      <c r="M59" s="28">
        <v>0</v>
      </c>
      <c r="N59" s="29">
        <f t="shared" si="4"/>
        <v>0</v>
      </c>
      <c r="O59" s="28">
        <v>0</v>
      </c>
      <c r="P59" s="28">
        <v>0</v>
      </c>
      <c r="Q59" s="40">
        <f t="shared" si="5"/>
        <v>0</v>
      </c>
      <c r="R59" s="28">
        <v>12</v>
      </c>
    </row>
    <row r="60" spans="1:18" ht="15" customHeight="1" x14ac:dyDescent="0.2">
      <c r="A60" s="37" t="str">
        <f>IF('Employee Master'!B60="","",'Employee Master'!B60)</f>
        <v>CAS-RT_2351</v>
      </c>
      <c r="B60" s="37" t="str">
        <f>IF('Employee Master'!B60="","",'Employee Master'!C60)</f>
        <v>Shikha.S</v>
      </c>
      <c r="C60" s="37" t="str">
        <f>IF('Employee Master'!B60="","",'Employee Master'!D60)</f>
        <v>Remote</v>
      </c>
      <c r="D60" s="37" t="str">
        <f>IF('Employee Master'!B60="","",'Employee Master'!E60)</f>
        <v>Associate</v>
      </c>
      <c r="E60" s="37" t="str">
        <f>IF('Employee Master'!B60="","",'Employee Master'!F60)</f>
        <v>Accounting</v>
      </c>
      <c r="F60" s="37" t="str">
        <f>IF('Employee Master'!B60="","",'Employee Master'!G60)</f>
        <v>Nikita Shah</v>
      </c>
      <c r="G60" s="38">
        <v>87.8</v>
      </c>
      <c r="H60" s="38">
        <v>87.8</v>
      </c>
      <c r="I60" s="39">
        <f t="shared" si="3"/>
        <v>0</v>
      </c>
      <c r="J60" s="40">
        <f>IF(A60="","",IF(H60=0,0,H60/(Settings!B6*12)))</f>
        <v>4.5729166666666668E-2</v>
      </c>
      <c r="K60" s="28">
        <v>3</v>
      </c>
      <c r="L60" s="41">
        <v>3.5</v>
      </c>
      <c r="M60" s="28">
        <v>0</v>
      </c>
      <c r="N60" s="29">
        <f t="shared" si="4"/>
        <v>0</v>
      </c>
      <c r="O60" s="28">
        <v>0</v>
      </c>
      <c r="P60" s="28">
        <v>0</v>
      </c>
      <c r="Q60" s="40">
        <f t="shared" si="5"/>
        <v>0</v>
      </c>
      <c r="R60" s="28">
        <v>12</v>
      </c>
    </row>
    <row r="61" spans="1:18" ht="15" customHeight="1" x14ac:dyDescent="0.2">
      <c r="A61" s="37" t="str">
        <f>IF('Employee Master'!B61="","",'Employee Master'!B61)</f>
        <v>CAS-RT_2359</v>
      </c>
      <c r="B61" s="37" t="str">
        <f>IF('Employee Master'!B61="","",'Employee Master'!C61)</f>
        <v>Rutu.G</v>
      </c>
      <c r="C61" s="37" t="str">
        <f>IF('Employee Master'!B61="","",'Employee Master'!D61)</f>
        <v>Remote</v>
      </c>
      <c r="D61" s="37" t="str">
        <f>IF('Employee Master'!B61="","",'Employee Master'!E61)</f>
        <v>Associate</v>
      </c>
      <c r="E61" s="37" t="str">
        <f>IF('Employee Master'!B61="","",'Employee Master'!F61)</f>
        <v>Accounting</v>
      </c>
      <c r="F61" s="37" t="str">
        <f>IF('Employee Master'!B61="","",'Employee Master'!G61)</f>
        <v>Nikita Shah</v>
      </c>
      <c r="G61" s="38">
        <v>161.6</v>
      </c>
      <c r="H61" s="38">
        <v>161.6</v>
      </c>
      <c r="I61" s="39">
        <f t="shared" si="3"/>
        <v>0</v>
      </c>
      <c r="J61" s="40">
        <f>IF(A61="","",IF(H61=0,0,H61/(Settings!B6*12)))</f>
        <v>8.4166666666666667E-2</v>
      </c>
      <c r="K61" s="28">
        <v>3</v>
      </c>
      <c r="L61" s="41">
        <v>3.5</v>
      </c>
      <c r="M61" s="28">
        <v>0</v>
      </c>
      <c r="N61" s="29">
        <f t="shared" si="4"/>
        <v>0</v>
      </c>
      <c r="O61" s="28">
        <v>0</v>
      </c>
      <c r="P61" s="28">
        <v>0</v>
      </c>
      <c r="Q61" s="40">
        <f t="shared" si="5"/>
        <v>0</v>
      </c>
      <c r="R61" s="28">
        <v>12</v>
      </c>
    </row>
    <row r="62" spans="1:18" ht="15" customHeight="1" x14ac:dyDescent="0.2">
      <c r="A62" s="37" t="str">
        <f>IF('Employee Master'!B62="","",'Employee Master'!B62)</f>
        <v>CAS-IH_1003</v>
      </c>
      <c r="B62" s="37" t="str">
        <f>IF('Employee Master'!B62="","",'Employee Master'!C62)</f>
        <v>Sachi</v>
      </c>
      <c r="C62" s="37" t="str">
        <f>IF('Employee Master'!B62="","",'Employee Master'!D62)</f>
        <v>In-house</v>
      </c>
      <c r="D62" s="37" t="str">
        <f>IF('Employee Master'!B62="","",'Employee Master'!E62)</f>
        <v>Coo</v>
      </c>
      <c r="E62" s="37" t="str">
        <f>IF('Employee Master'!B62="","",'Employee Master'!F62)</f>
        <v>FP&amp;A</v>
      </c>
      <c r="F62" s="37" t="str">
        <f>IF('Employee Master'!B62="","",'Employee Master'!G62)</f>
        <v>--</v>
      </c>
      <c r="G62" s="38">
        <v>125.7</v>
      </c>
      <c r="H62" s="38">
        <v>125.7</v>
      </c>
      <c r="I62" s="39">
        <f t="shared" si="3"/>
        <v>0</v>
      </c>
      <c r="J62" s="40">
        <f>IF(A62="","",IF(H62=0,0,H62/(Settings!B6*12)))</f>
        <v>6.5468750000000006E-2</v>
      </c>
      <c r="K62" s="28">
        <v>5</v>
      </c>
      <c r="L62" s="41">
        <v>3.5</v>
      </c>
      <c r="M62" s="28">
        <v>0</v>
      </c>
      <c r="N62" s="29">
        <f t="shared" si="4"/>
        <v>0</v>
      </c>
      <c r="O62" s="28">
        <v>0</v>
      </c>
      <c r="P62" s="28">
        <v>0</v>
      </c>
      <c r="Q62" s="40">
        <f t="shared" si="5"/>
        <v>0</v>
      </c>
      <c r="R62" s="28">
        <v>12</v>
      </c>
    </row>
    <row r="63" spans="1:18" ht="15" customHeight="1" x14ac:dyDescent="0.2">
      <c r="A63" s="37" t="str">
        <f>IF('Employee Master'!B63="","",'Employee Master'!B63)</f>
        <v>CAS-RR_2374</v>
      </c>
      <c r="B63" s="37" t="str">
        <f>IF('Employee Master'!B63="","",'Employee Master'!C63)</f>
        <v>Aishwarya.V</v>
      </c>
      <c r="C63" s="37" t="str">
        <f>IF('Employee Master'!B63="","",'Employee Master'!D63)</f>
        <v>Remote</v>
      </c>
      <c r="D63" s="37" t="str">
        <f>IF('Employee Master'!B63="","",'Employee Master'!E63)</f>
        <v>Asst. Team Lead</v>
      </c>
      <c r="E63" s="37" t="str">
        <f>IF('Employee Master'!B63="","",'Employee Master'!F63)</f>
        <v>Accounting</v>
      </c>
      <c r="F63" s="37" t="str">
        <f>IF('Employee Master'!B63="","",'Employee Master'!G63)</f>
        <v>Jasleen.D</v>
      </c>
      <c r="G63" s="38">
        <v>0</v>
      </c>
      <c r="H63" s="38">
        <v>0</v>
      </c>
      <c r="I63" s="39">
        <f t="shared" si="3"/>
        <v>0</v>
      </c>
      <c r="J63" s="40">
        <f>IF(A63="","",IF(H63=0,0,H63/(Settings!B6*12)))</f>
        <v>0</v>
      </c>
      <c r="K63" s="28">
        <v>0</v>
      </c>
      <c r="L63" s="41">
        <v>3.5</v>
      </c>
      <c r="M63" s="28">
        <v>0</v>
      </c>
      <c r="N63" s="29">
        <f t="shared" si="4"/>
        <v>0</v>
      </c>
      <c r="O63" s="28">
        <v>0</v>
      </c>
      <c r="P63" s="28">
        <v>0</v>
      </c>
      <c r="Q63" s="40">
        <f t="shared" si="5"/>
        <v>0</v>
      </c>
      <c r="R63" s="28">
        <v>12</v>
      </c>
    </row>
    <row r="64" spans="1:18" ht="15" customHeight="1" x14ac:dyDescent="0.2">
      <c r="A64" s="37" t="str">
        <f>IF('Employee Master'!B64="","",'Employee Master'!B64)</f>
        <v>CAS-RT_2367</v>
      </c>
      <c r="B64" s="37" t="str">
        <f>IF('Employee Master'!B64="","",'Employee Master'!C64)</f>
        <v>Tejas.P</v>
      </c>
      <c r="C64" s="37" t="str">
        <f>IF('Employee Master'!B64="","",'Employee Master'!D64)</f>
        <v>Remote</v>
      </c>
      <c r="D64" s="37" t="str">
        <f>IF('Employee Master'!B64="","",'Employee Master'!E64)</f>
        <v>Sr. Associate</v>
      </c>
      <c r="E64" s="37" t="str">
        <f>IF('Employee Master'!B64="","",'Employee Master'!F64)</f>
        <v>Accounting</v>
      </c>
      <c r="F64" s="37" t="str">
        <f>IF('Employee Master'!B64="","",'Employee Master'!G64)</f>
        <v>Jasleen.D</v>
      </c>
      <c r="G64" s="38">
        <v>153.5</v>
      </c>
      <c r="H64" s="38">
        <v>153.5</v>
      </c>
      <c r="I64" s="39">
        <f t="shared" si="3"/>
        <v>0</v>
      </c>
      <c r="J64" s="40">
        <f>IF(A64="","",IF(H64=0,0,H64/(Settings!B6*12)))</f>
        <v>7.994791666666666E-2</v>
      </c>
      <c r="K64" s="28">
        <v>2</v>
      </c>
      <c r="L64" s="41">
        <v>3.5</v>
      </c>
      <c r="M64" s="28">
        <v>0</v>
      </c>
      <c r="N64" s="29">
        <f t="shared" si="4"/>
        <v>0</v>
      </c>
      <c r="O64" s="28">
        <v>0</v>
      </c>
      <c r="P64" s="28">
        <v>0</v>
      </c>
      <c r="Q64" s="40">
        <f t="shared" si="5"/>
        <v>0</v>
      </c>
      <c r="R64" s="28">
        <v>12</v>
      </c>
    </row>
    <row r="65" spans="1:18" ht="15" customHeight="1" x14ac:dyDescent="0.2">
      <c r="A65" s="37" t="str">
        <f>IF('Employee Master'!B65="","",'Employee Master'!B65)</f>
        <v>CAS-RT_2361</v>
      </c>
      <c r="B65" s="37" t="str">
        <f>IF('Employee Master'!B65="","",'Employee Master'!C65)</f>
        <v>Priyam.B</v>
      </c>
      <c r="C65" s="37" t="str">
        <f>IF('Employee Master'!B65="","",'Employee Master'!D65)</f>
        <v>Remote</v>
      </c>
      <c r="D65" s="37" t="str">
        <f>IF('Employee Master'!B65="","",'Employee Master'!E65)</f>
        <v>Asst. Team Lead</v>
      </c>
      <c r="E65" s="37" t="str">
        <f>IF('Employee Master'!B65="","",'Employee Master'!F65)</f>
        <v>Accounting</v>
      </c>
      <c r="F65" s="37" t="str">
        <f>IF('Employee Master'!B65="","",'Employee Master'!G65)</f>
        <v>Nikita Shah</v>
      </c>
      <c r="G65" s="38">
        <v>182.9</v>
      </c>
      <c r="H65" s="38">
        <v>182.9</v>
      </c>
      <c r="I65" s="39">
        <f t="shared" si="3"/>
        <v>0</v>
      </c>
      <c r="J65" s="40">
        <f>IF(A65="","",IF(H65=0,0,H65/(Settings!B6*12)))</f>
        <v>9.5260416666666667E-2</v>
      </c>
      <c r="K65" s="28">
        <v>3</v>
      </c>
      <c r="L65" s="41">
        <v>3.5</v>
      </c>
      <c r="M65" s="28">
        <v>0</v>
      </c>
      <c r="N65" s="29">
        <f t="shared" si="4"/>
        <v>0</v>
      </c>
      <c r="O65" s="28">
        <v>0</v>
      </c>
      <c r="P65" s="28">
        <v>0</v>
      </c>
      <c r="Q65" s="40">
        <f t="shared" si="5"/>
        <v>0</v>
      </c>
      <c r="R65" s="28">
        <v>12</v>
      </c>
    </row>
    <row r="66" spans="1:18" ht="15" customHeight="1" x14ac:dyDescent="0.2">
      <c r="A66" s="37" t="str">
        <f>IF('Employee Master'!B66="","",'Employee Master'!B66)</f>
        <v>CAS-IH_1151</v>
      </c>
      <c r="B66" s="37" t="str">
        <f>IF('Employee Master'!B66="","",'Employee Master'!C66)</f>
        <v>Jaya.L</v>
      </c>
      <c r="C66" s="37" t="str">
        <f>IF('Employee Master'!B66="","",'Employee Master'!D66)</f>
        <v>In-house</v>
      </c>
      <c r="D66" s="37" t="str">
        <f>IF('Employee Master'!B66="","",'Employee Master'!E66)</f>
        <v>Asst. Team Lead</v>
      </c>
      <c r="E66" s="37" t="str">
        <f>IF('Employee Master'!B66="","",'Employee Master'!F66)</f>
        <v>Accounting, L&amp;D</v>
      </c>
      <c r="F66" s="37" t="str">
        <f>IF('Employee Master'!B66="","",'Employee Master'!G66)</f>
        <v>Sarah</v>
      </c>
      <c r="G66" s="38">
        <v>80</v>
      </c>
      <c r="H66" s="38">
        <v>80</v>
      </c>
      <c r="I66" s="39">
        <f t="shared" si="3"/>
        <v>0</v>
      </c>
      <c r="J66" s="40">
        <f>IF(A66="","",IF(H66=0,0,H66/(Settings!B6*12)))</f>
        <v>4.1666666666666664E-2</v>
      </c>
      <c r="K66" s="28">
        <v>5</v>
      </c>
      <c r="L66" s="41">
        <v>3.5</v>
      </c>
      <c r="M66" s="28">
        <v>0</v>
      </c>
      <c r="N66" s="29">
        <f t="shared" si="4"/>
        <v>0</v>
      </c>
      <c r="O66" s="28">
        <v>0</v>
      </c>
      <c r="P66" s="28">
        <v>0</v>
      </c>
      <c r="Q66" s="40">
        <f t="shared" si="5"/>
        <v>0</v>
      </c>
      <c r="R66" s="28">
        <v>12</v>
      </c>
    </row>
    <row r="67" spans="1:18" ht="15" customHeight="1" x14ac:dyDescent="0.2">
      <c r="A67" s="37" t="str">
        <f>IF('Employee Master'!B67="","",'Employee Master'!B67)</f>
        <v>CAS-RT_2369</v>
      </c>
      <c r="B67" s="37" t="str">
        <f>IF('Employee Master'!B67="","",'Employee Master'!C67)</f>
        <v>Ayushi.B</v>
      </c>
      <c r="C67" s="37" t="str">
        <f>IF('Employee Master'!B67="","",'Employee Master'!D67)</f>
        <v>Remote</v>
      </c>
      <c r="D67" s="37" t="str">
        <f>IF('Employee Master'!B67="","",'Employee Master'!E67)</f>
        <v>Associate</v>
      </c>
      <c r="E67" s="37" t="str">
        <f>IF('Employee Master'!B67="","",'Employee Master'!F67)</f>
        <v>Accounting</v>
      </c>
      <c r="F67" s="37" t="str">
        <f>IF('Employee Master'!B67="","",'Employee Master'!G67)</f>
        <v>Jyoti</v>
      </c>
      <c r="G67" s="38">
        <v>177.3</v>
      </c>
      <c r="H67" s="38">
        <v>177.3</v>
      </c>
      <c r="I67" s="39">
        <f t="shared" si="3"/>
        <v>0</v>
      </c>
      <c r="J67" s="40">
        <f>IF(A67="","",IF(H67=0,0,H67/(Settings!B6*12)))</f>
        <v>9.2343750000000002E-2</v>
      </c>
      <c r="K67" s="28">
        <v>1</v>
      </c>
      <c r="L67" s="41">
        <v>3.5</v>
      </c>
      <c r="M67" s="28">
        <v>0</v>
      </c>
      <c r="N67" s="29">
        <f t="shared" si="4"/>
        <v>0</v>
      </c>
      <c r="O67" s="28">
        <v>0</v>
      </c>
      <c r="P67" s="28">
        <v>0</v>
      </c>
      <c r="Q67" s="40">
        <f t="shared" si="5"/>
        <v>0</v>
      </c>
      <c r="R67" s="28">
        <v>12</v>
      </c>
    </row>
    <row r="68" spans="1:18" ht="15" customHeight="1" x14ac:dyDescent="0.2">
      <c r="A68" s="37" t="str">
        <f>IF('Employee Master'!B68="","",'Employee Master'!B68)</f>
        <v>CAS-IH_1144</v>
      </c>
      <c r="B68" s="37" t="str">
        <f>IF('Employee Master'!B68="","",'Employee Master'!C68)</f>
        <v>Akanksha.V</v>
      </c>
      <c r="C68" s="37" t="str">
        <f>IF('Employee Master'!B68="","",'Employee Master'!D68)</f>
        <v>In-house</v>
      </c>
      <c r="D68" s="37" t="str">
        <f>IF('Employee Master'!B68="","",'Employee Master'!E68)</f>
        <v>Associate</v>
      </c>
      <c r="E68" s="37" t="str">
        <f>IF('Employee Master'!B68="","",'Employee Master'!F68)</f>
        <v>HR</v>
      </c>
      <c r="F68" s="37" t="str">
        <f>IF('Employee Master'!B68="","",'Employee Master'!G68)</f>
        <v>Vinita Dagar</v>
      </c>
      <c r="G68" s="38">
        <v>163.1</v>
      </c>
      <c r="H68" s="38">
        <v>163.1</v>
      </c>
      <c r="I68" s="39">
        <f t="shared" ref="I68:I99" si="6">IF(A68="","",G68-H68)</f>
        <v>0</v>
      </c>
      <c r="J68" s="40">
        <f>IF(A68="","",IF(H68=0,0,H68/(Settings!B6*12)))</f>
        <v>8.4947916666666665E-2</v>
      </c>
      <c r="K68" s="28">
        <v>2</v>
      </c>
      <c r="L68" s="41">
        <v>3.5</v>
      </c>
      <c r="M68" s="28">
        <v>0</v>
      </c>
      <c r="N68" s="29">
        <f t="shared" ref="N68:N99" si="7">IF(A68="","",IF(H68=0,0,M68/H68))</f>
        <v>0</v>
      </c>
      <c r="O68" s="28">
        <v>0</v>
      </c>
      <c r="P68" s="28">
        <v>0</v>
      </c>
      <c r="Q68" s="40">
        <f t="shared" ref="Q68:Q99" si="8">IF(A68="","",IF(O68=0,0,1-P68/O68))</f>
        <v>0</v>
      </c>
      <c r="R68" s="28">
        <v>12</v>
      </c>
    </row>
    <row r="69" spans="1:18" ht="15" customHeight="1" x14ac:dyDescent="0.2">
      <c r="A69" s="37" t="str">
        <f>IF('Employee Master'!B69="","",'Employee Master'!B69)</f>
        <v>CAS-RT_2372</v>
      </c>
      <c r="B69" s="37" t="str">
        <f>IF('Employee Master'!B69="","",'Employee Master'!C69)</f>
        <v>Teja.R</v>
      </c>
      <c r="C69" s="37" t="str">
        <f>IF('Employee Master'!B69="","",'Employee Master'!D69)</f>
        <v>Remote</v>
      </c>
      <c r="D69" s="37" t="str">
        <f>IF('Employee Master'!B69="","",'Employee Master'!E69)</f>
        <v>Associate</v>
      </c>
      <c r="E69" s="37" t="str">
        <f>IF('Employee Master'!B69="","",'Employee Master'!F69)</f>
        <v>Accounting</v>
      </c>
      <c r="F69" s="37" t="str">
        <f>IF('Employee Master'!B69="","",'Employee Master'!G69)</f>
        <v>Nikita Shah</v>
      </c>
      <c r="G69" s="38">
        <v>56</v>
      </c>
      <c r="H69" s="38">
        <v>56</v>
      </c>
      <c r="I69" s="39">
        <f t="shared" si="6"/>
        <v>0</v>
      </c>
      <c r="J69" s="40">
        <f>IF(A69="","",IF(H69=0,0,H69/(Settings!B6*12)))</f>
        <v>2.9166666666666667E-2</v>
      </c>
      <c r="K69" s="28">
        <v>1</v>
      </c>
      <c r="L69" s="41">
        <v>3.5</v>
      </c>
      <c r="M69" s="28">
        <v>0</v>
      </c>
      <c r="N69" s="29">
        <f t="shared" si="7"/>
        <v>0</v>
      </c>
      <c r="O69" s="28">
        <v>0</v>
      </c>
      <c r="P69" s="28">
        <v>0</v>
      </c>
      <c r="Q69" s="40">
        <f t="shared" si="8"/>
        <v>0</v>
      </c>
      <c r="R69" s="28">
        <v>12</v>
      </c>
    </row>
    <row r="70" spans="1:18" ht="15" customHeight="1" x14ac:dyDescent="0.2">
      <c r="A70" s="37" t="str">
        <f>IF('Employee Master'!B70="","",'Employee Master'!B70)</f>
        <v>CAS-RT_2373</v>
      </c>
      <c r="B70" s="37" t="str">
        <f>IF('Employee Master'!B70="","",'Employee Master'!C70)</f>
        <v>Upasana</v>
      </c>
      <c r="C70" s="37" t="str">
        <f>IF('Employee Master'!B70="","",'Employee Master'!D70)</f>
        <v>Remote</v>
      </c>
      <c r="D70" s="37" t="str">
        <f>IF('Employee Master'!B70="","",'Employee Master'!E70)</f>
        <v>Sr. Associate</v>
      </c>
      <c r="E70" s="37" t="str">
        <f>IF('Employee Master'!B70="","",'Employee Master'!F70)</f>
        <v>Accounting</v>
      </c>
      <c r="F70" s="37" t="str">
        <f>IF('Employee Master'!B70="","",'Employee Master'!G70)</f>
        <v>Jyoti</v>
      </c>
      <c r="G70" s="38">
        <v>157.9</v>
      </c>
      <c r="H70" s="38">
        <v>157.9</v>
      </c>
      <c r="I70" s="39">
        <f t="shared" si="6"/>
        <v>0</v>
      </c>
      <c r="J70" s="40">
        <f>IF(A70="","",IF(H70=0,0,H70/(Settings!B6*12)))</f>
        <v>8.2239583333333338E-2</v>
      </c>
      <c r="K70" s="28">
        <v>2</v>
      </c>
      <c r="L70" s="41">
        <v>3.5</v>
      </c>
      <c r="M70" s="28">
        <v>0</v>
      </c>
      <c r="N70" s="29">
        <f t="shared" si="7"/>
        <v>0</v>
      </c>
      <c r="O70" s="28">
        <v>0</v>
      </c>
      <c r="P70" s="28">
        <v>0</v>
      </c>
      <c r="Q70" s="40">
        <f t="shared" si="8"/>
        <v>0</v>
      </c>
      <c r="R70" s="28">
        <v>12</v>
      </c>
    </row>
    <row r="71" spans="1:18" ht="15" customHeight="1" x14ac:dyDescent="0.2">
      <c r="A71" s="37" t="str">
        <f>IF('Employee Master'!B71="","",'Employee Master'!B71)</f>
        <v>CAS-RT_2374</v>
      </c>
      <c r="B71" s="37" t="str">
        <f>IF('Employee Master'!B71="","",'Employee Master'!C71)</f>
        <v>Scarlett.C</v>
      </c>
      <c r="C71" s="37" t="str">
        <f>IF('Employee Master'!B71="","",'Employee Master'!D71)</f>
        <v>Remote</v>
      </c>
      <c r="D71" s="37" t="str">
        <f>IF('Employee Master'!B71="","",'Employee Master'!E71)</f>
        <v>Sr. Associate</v>
      </c>
      <c r="E71" s="37" t="str">
        <f>IF('Employee Master'!B71="","",'Employee Master'!F71)</f>
        <v>Accounting</v>
      </c>
      <c r="F71" s="37" t="str">
        <f>IF('Employee Master'!B71="","",'Employee Master'!G71)</f>
        <v>Jasleen.D</v>
      </c>
      <c r="G71" s="38">
        <v>80.900000000000006</v>
      </c>
      <c r="H71" s="38">
        <v>80.900000000000006</v>
      </c>
      <c r="I71" s="39">
        <f t="shared" si="6"/>
        <v>0</v>
      </c>
      <c r="J71" s="40">
        <f>IF(A71="","",IF(H71=0,0,H71/(Settings!B6*12)))</f>
        <v>4.2135416666666668E-2</v>
      </c>
      <c r="K71" s="28">
        <v>3</v>
      </c>
      <c r="L71" s="41">
        <v>3.5</v>
      </c>
      <c r="M71" s="28">
        <v>0</v>
      </c>
      <c r="N71" s="29">
        <f t="shared" si="7"/>
        <v>0</v>
      </c>
      <c r="O71" s="28">
        <v>0</v>
      </c>
      <c r="P71" s="28">
        <v>0</v>
      </c>
      <c r="Q71" s="40">
        <f t="shared" si="8"/>
        <v>0</v>
      </c>
      <c r="R71" s="28">
        <v>12</v>
      </c>
    </row>
    <row r="72" spans="1:18" ht="15" customHeight="1" x14ac:dyDescent="0.2">
      <c r="A72" s="37" t="str">
        <f>IF('Employee Master'!B72="","",'Employee Master'!B72)</f>
        <v>CAS-IH_1148</v>
      </c>
      <c r="B72" s="37" t="str">
        <f>IF('Employee Master'!B72="","",'Employee Master'!C72)</f>
        <v>Alan</v>
      </c>
      <c r="C72" s="37" t="str">
        <f>IF('Employee Master'!B72="","",'Employee Master'!D72)</f>
        <v>In-house</v>
      </c>
      <c r="D72" s="37" t="str">
        <f>IF('Employee Master'!B72="","",'Employee Master'!E72)</f>
        <v>Project Manager (S/W)</v>
      </c>
      <c r="E72" s="37" t="str">
        <f>IF('Employee Master'!B72="","",'Employee Master'!F72)</f>
        <v>IT</v>
      </c>
      <c r="F72" s="37" t="str">
        <f>IF('Employee Master'!B72="","",'Employee Master'!G72)</f>
        <v>--</v>
      </c>
      <c r="G72" s="38">
        <v>180.4</v>
      </c>
      <c r="H72" s="38">
        <v>180.2</v>
      </c>
      <c r="I72" s="39">
        <f t="shared" si="6"/>
        <v>0.20000000000001705</v>
      </c>
      <c r="J72" s="40">
        <f>IF(A72="","",IF(H72=0,0,H72/(Settings!B6*12)))</f>
        <v>9.3854166666666655E-2</v>
      </c>
      <c r="K72" s="28">
        <v>2</v>
      </c>
      <c r="L72" s="41">
        <v>3.5</v>
      </c>
      <c r="M72" s="28">
        <v>0</v>
      </c>
      <c r="N72" s="29">
        <f t="shared" si="7"/>
        <v>0</v>
      </c>
      <c r="O72" s="28">
        <v>0</v>
      </c>
      <c r="P72" s="28">
        <v>0</v>
      </c>
      <c r="Q72" s="40">
        <f t="shared" si="8"/>
        <v>0</v>
      </c>
      <c r="R72" s="28">
        <v>12</v>
      </c>
    </row>
    <row r="73" spans="1:18" ht="23.25" customHeight="1" x14ac:dyDescent="0.2">
      <c r="A73" s="37" t="str">
        <f>IF('Employee Master'!B73="","",'Employee Master'!B73)</f>
        <v>CAS-RT_2375</v>
      </c>
      <c r="B73" s="37" t="str">
        <f>IF('Employee Master'!B73="","",'Employee Master'!C73)</f>
        <v>Farheen.F</v>
      </c>
      <c r="C73" s="37" t="str">
        <f>IF('Employee Master'!B73="","",'Employee Master'!D73)</f>
        <v>Remote</v>
      </c>
      <c r="D73" s="37" t="str">
        <f>IF('Employee Master'!B73="","",'Employee Master'!E73)</f>
        <v>Associate</v>
      </c>
      <c r="E73" s="37" t="str">
        <f>IF('Employee Master'!B73="","",'Employee Master'!F73)</f>
        <v>Accounting</v>
      </c>
      <c r="F73" s="37" t="str">
        <f>IF('Employee Master'!B73="","",'Employee Master'!G73)</f>
        <v>Jasleen.D</v>
      </c>
      <c r="G73" s="38">
        <v>0</v>
      </c>
      <c r="H73" s="38">
        <v>0</v>
      </c>
      <c r="I73" s="39">
        <f t="shared" si="6"/>
        <v>0</v>
      </c>
      <c r="J73" s="40">
        <f>IF(A73="","",IF(H73=0,0,H73/(Settings!B6*12)))</f>
        <v>0</v>
      </c>
      <c r="K73" s="28">
        <v>0</v>
      </c>
      <c r="L73" s="41">
        <v>3.5</v>
      </c>
      <c r="M73" s="28">
        <v>0</v>
      </c>
      <c r="N73" s="29">
        <f t="shared" si="7"/>
        <v>0</v>
      </c>
      <c r="O73" s="28">
        <v>0</v>
      </c>
      <c r="P73" s="28">
        <v>0</v>
      </c>
      <c r="Q73" s="40">
        <f t="shared" si="8"/>
        <v>0</v>
      </c>
      <c r="R73" s="28">
        <v>12</v>
      </c>
    </row>
    <row r="74" spans="1:18" ht="15" customHeight="1" x14ac:dyDescent="0.2">
      <c r="A74" s="37" t="str">
        <f>IF('Employee Master'!B74="","",'Employee Master'!B74)</f>
        <v>CAS-RT_2376</v>
      </c>
      <c r="B74" s="37" t="str">
        <f>IF('Employee Master'!B74="","",'Employee Master'!C74)</f>
        <v>Megha.J</v>
      </c>
      <c r="C74" s="37" t="str">
        <f>IF('Employee Master'!B74="","",'Employee Master'!D74)</f>
        <v>Remote</v>
      </c>
      <c r="D74" s="37" t="str">
        <f>IF('Employee Master'!B74="","",'Employee Master'!E74)</f>
        <v>Associate</v>
      </c>
      <c r="E74" s="37" t="str">
        <f>IF('Employee Master'!B74="","",'Employee Master'!F74)</f>
        <v>Accounting</v>
      </c>
      <c r="F74" s="37" t="str">
        <f>IF('Employee Master'!B74="","",'Employee Master'!G74)</f>
        <v>Jasleen.D</v>
      </c>
      <c r="G74" s="38">
        <v>158</v>
      </c>
      <c r="H74" s="38">
        <v>158</v>
      </c>
      <c r="I74" s="39">
        <f t="shared" si="6"/>
        <v>0</v>
      </c>
      <c r="J74" s="40">
        <f>IF(A74="","",IF(H74=0,0,H74/(Settings!B6*12)))</f>
        <v>8.2291666666666666E-2</v>
      </c>
      <c r="K74" s="28">
        <v>2</v>
      </c>
      <c r="L74" s="41">
        <v>3.5</v>
      </c>
      <c r="M74" s="28">
        <v>0</v>
      </c>
      <c r="N74" s="29">
        <f t="shared" si="7"/>
        <v>0</v>
      </c>
      <c r="O74" s="28">
        <v>0</v>
      </c>
      <c r="P74" s="28">
        <v>0</v>
      </c>
      <c r="Q74" s="40">
        <f t="shared" si="8"/>
        <v>0</v>
      </c>
      <c r="R74" s="28">
        <v>12</v>
      </c>
    </row>
    <row r="75" spans="1:18" ht="15" customHeight="1" x14ac:dyDescent="0.2">
      <c r="A75" s="37" t="str">
        <f>IF('Employee Master'!B75="","",'Employee Master'!B75)</f>
        <v>CAS-IH_1161</v>
      </c>
      <c r="B75" s="37" t="str">
        <f>IF('Employee Master'!B75="","",'Employee Master'!C75)</f>
        <v>Prachi.G</v>
      </c>
      <c r="C75" s="37" t="str">
        <f>IF('Employee Master'!B75="","",'Employee Master'!D75)</f>
        <v>In-house</v>
      </c>
      <c r="D75" s="37" t="str">
        <f>IF('Employee Master'!B75="","",'Employee Master'!E75)</f>
        <v>Sr. Manager</v>
      </c>
      <c r="E75" s="37" t="str">
        <f>IF('Employee Master'!B75="","",'Employee Master'!F75)</f>
        <v>FP&amp;A</v>
      </c>
      <c r="F75" s="37" t="str">
        <f>IF('Employee Master'!B75="","",'Employee Master'!G75)</f>
        <v>Sachi Mazumdar</v>
      </c>
      <c r="G75" s="38">
        <v>161.19999999999999</v>
      </c>
      <c r="H75" s="38">
        <v>161.19999999999999</v>
      </c>
      <c r="I75" s="39">
        <f t="shared" si="6"/>
        <v>0</v>
      </c>
      <c r="J75" s="40">
        <f>IF(A75="","",IF(H75=0,0,H75/(Settings!B6*12)))</f>
        <v>8.3958333333333329E-2</v>
      </c>
      <c r="K75" s="28">
        <v>2</v>
      </c>
      <c r="L75" s="41">
        <v>3.5</v>
      </c>
      <c r="M75" s="28">
        <v>0</v>
      </c>
      <c r="N75" s="29">
        <f t="shared" si="7"/>
        <v>0</v>
      </c>
      <c r="O75" s="28">
        <v>0</v>
      </c>
      <c r="P75" s="28">
        <v>0</v>
      </c>
      <c r="Q75" s="40">
        <f t="shared" si="8"/>
        <v>0</v>
      </c>
      <c r="R75" s="28">
        <v>12</v>
      </c>
    </row>
    <row r="76" spans="1:18" ht="23.25" customHeight="1" x14ac:dyDescent="0.2">
      <c r="A76" s="37" t="str">
        <f>IF('Employee Master'!B76="","",'Employee Master'!B76)</f>
        <v>CAS-RT_2382</v>
      </c>
      <c r="B76" s="37" t="str">
        <f>IF('Employee Master'!B76="","",'Employee Master'!C76)</f>
        <v>Itee.S</v>
      </c>
      <c r="C76" s="37" t="str">
        <f>IF('Employee Master'!B76="","",'Employee Master'!D76)</f>
        <v>Remote</v>
      </c>
      <c r="D76" s="37" t="str">
        <f>IF('Employee Master'!B76="","",'Employee Master'!E76)</f>
        <v>Associate</v>
      </c>
      <c r="E76" s="37" t="str">
        <f>IF('Employee Master'!B76="","",'Employee Master'!F76)</f>
        <v>Accounting</v>
      </c>
      <c r="F76" s="37" t="str">
        <f>IF('Employee Master'!B76="","",'Employee Master'!G76)</f>
        <v>Ayushi</v>
      </c>
      <c r="G76" s="38">
        <v>198</v>
      </c>
      <c r="H76" s="38">
        <v>198</v>
      </c>
      <c r="I76" s="39">
        <f t="shared" si="6"/>
        <v>0</v>
      </c>
      <c r="J76" s="40">
        <f>IF(A76="","",IF(H76=0,0,H76/(Settings!B6*12)))</f>
        <v>0.10312499999999999</v>
      </c>
      <c r="K76" s="28">
        <v>1</v>
      </c>
      <c r="L76" s="41">
        <v>3.5</v>
      </c>
      <c r="M76" s="28">
        <v>0</v>
      </c>
      <c r="N76" s="29">
        <f t="shared" si="7"/>
        <v>0</v>
      </c>
      <c r="O76" s="28">
        <v>0</v>
      </c>
      <c r="P76" s="28">
        <v>0</v>
      </c>
      <c r="Q76" s="40">
        <f t="shared" si="8"/>
        <v>0</v>
      </c>
      <c r="R76" s="28">
        <v>12</v>
      </c>
    </row>
    <row r="77" spans="1:18" ht="15" customHeight="1" x14ac:dyDescent="0.2">
      <c r="A77" s="37" t="str">
        <f>IF('Employee Master'!B77="","",'Employee Master'!B77)</f>
        <v>CAS-RT_2383</v>
      </c>
      <c r="B77" s="37" t="str">
        <f>IF('Employee Master'!B77="","",'Employee Master'!C77)</f>
        <v>Anushka.G</v>
      </c>
      <c r="C77" s="37" t="str">
        <f>IF('Employee Master'!B77="","",'Employee Master'!D77)</f>
        <v>Remote</v>
      </c>
      <c r="D77" s="37" t="str">
        <f>IF('Employee Master'!B77="","",'Employee Master'!E77)</f>
        <v>Associate</v>
      </c>
      <c r="E77" s="37" t="str">
        <f>IF('Employee Master'!B77="","",'Employee Master'!F77)</f>
        <v>L&amp;D</v>
      </c>
      <c r="F77" s="37" t="str">
        <f>IF('Employee Master'!B77="","",'Employee Master'!G77)</f>
        <v>Nikita Shah</v>
      </c>
      <c r="G77" s="38">
        <v>166.8</v>
      </c>
      <c r="H77" s="38">
        <v>166.8</v>
      </c>
      <c r="I77" s="39">
        <f t="shared" si="6"/>
        <v>0</v>
      </c>
      <c r="J77" s="40">
        <f>IF(A77="","",IF(H77=0,0,H77/(Settings!B6*12)))</f>
        <v>8.6875000000000008E-2</v>
      </c>
      <c r="K77" s="28">
        <v>5</v>
      </c>
      <c r="L77" s="41">
        <v>3.5</v>
      </c>
      <c r="M77" s="28">
        <v>0</v>
      </c>
      <c r="N77" s="29">
        <f t="shared" si="7"/>
        <v>0</v>
      </c>
      <c r="O77" s="28">
        <v>0</v>
      </c>
      <c r="P77" s="28">
        <v>0</v>
      </c>
      <c r="Q77" s="40">
        <f t="shared" si="8"/>
        <v>0</v>
      </c>
      <c r="R77" s="28">
        <v>12</v>
      </c>
    </row>
    <row r="78" spans="1:18" ht="23.25" customHeight="1" x14ac:dyDescent="0.2">
      <c r="A78" s="37" t="str">
        <f>IF('Employee Master'!B78="","",'Employee Master'!B78)</f>
        <v>CAS-RT_2384</v>
      </c>
      <c r="B78" s="37" t="str">
        <f>IF('Employee Master'!B78="","",'Employee Master'!C78)</f>
        <v>Priyanka.M</v>
      </c>
      <c r="C78" s="37" t="str">
        <f>IF('Employee Master'!B78="","",'Employee Master'!D78)</f>
        <v>Remote</v>
      </c>
      <c r="D78" s="37" t="str">
        <f>IF('Employee Master'!B78="","",'Employee Master'!E78)</f>
        <v>Asst. Team Lead</v>
      </c>
      <c r="E78" s="37" t="str">
        <f>IF('Employee Master'!B78="","",'Employee Master'!F78)</f>
        <v>Accounting</v>
      </c>
      <c r="F78" s="37" t="str">
        <f>IF('Employee Master'!B78="","",'Employee Master'!G78)</f>
        <v>Ayushi</v>
      </c>
      <c r="G78" s="38">
        <v>166</v>
      </c>
      <c r="H78" s="38">
        <v>166</v>
      </c>
      <c r="I78" s="39">
        <f t="shared" si="6"/>
        <v>0</v>
      </c>
      <c r="J78" s="40">
        <f>IF(A78="","",IF(H78=0,0,H78/(Settings!B6*12)))</f>
        <v>8.6458333333333331E-2</v>
      </c>
      <c r="K78" s="28">
        <v>1</v>
      </c>
      <c r="L78" s="41">
        <v>3.5</v>
      </c>
      <c r="M78" s="28">
        <v>0</v>
      </c>
      <c r="N78" s="29">
        <f t="shared" si="7"/>
        <v>0</v>
      </c>
      <c r="O78" s="28">
        <v>0</v>
      </c>
      <c r="P78" s="28">
        <v>0</v>
      </c>
      <c r="Q78" s="40">
        <f t="shared" si="8"/>
        <v>0</v>
      </c>
      <c r="R78" s="28">
        <v>12</v>
      </c>
    </row>
    <row r="79" spans="1:18" ht="15" customHeight="1" x14ac:dyDescent="0.2">
      <c r="A79" s="37" t="str">
        <f>IF('Employee Master'!B79="","",'Employee Master'!B79)</f>
        <v>CAS-RT_2385</v>
      </c>
      <c r="B79" s="37" t="str">
        <f>IF('Employee Master'!B79="","",'Employee Master'!C79)</f>
        <v>Raj.B</v>
      </c>
      <c r="C79" s="37" t="str">
        <f>IF('Employee Master'!B79="","",'Employee Master'!D79)</f>
        <v>Remote</v>
      </c>
      <c r="D79" s="37" t="str">
        <f>IF('Employee Master'!B79="","",'Employee Master'!E79)</f>
        <v>Sr. Associate</v>
      </c>
      <c r="E79" s="37" t="str">
        <f>IF('Employee Master'!B79="","",'Employee Master'!F79)</f>
        <v>Accounting</v>
      </c>
      <c r="F79" s="37" t="str">
        <f>IF('Employee Master'!B79="","",'Employee Master'!G79)</f>
        <v>Nikita Shah</v>
      </c>
      <c r="G79" s="38">
        <v>158.19999999999999</v>
      </c>
      <c r="H79" s="38">
        <v>158.19999999999999</v>
      </c>
      <c r="I79" s="39">
        <f t="shared" si="6"/>
        <v>0</v>
      </c>
      <c r="J79" s="40">
        <f>IF(A79="","",IF(H79=0,0,H79/(Settings!B6*12)))</f>
        <v>8.2395833333333321E-2</v>
      </c>
      <c r="K79" s="28">
        <v>3</v>
      </c>
      <c r="L79" s="41">
        <v>3.5</v>
      </c>
      <c r="M79" s="28">
        <v>0</v>
      </c>
      <c r="N79" s="29">
        <f t="shared" si="7"/>
        <v>0</v>
      </c>
      <c r="O79" s="28">
        <v>0</v>
      </c>
      <c r="P79" s="28">
        <v>0</v>
      </c>
      <c r="Q79" s="40">
        <f t="shared" si="8"/>
        <v>0</v>
      </c>
      <c r="R79" s="28">
        <v>12</v>
      </c>
    </row>
    <row r="80" spans="1:18" ht="15" customHeight="1" x14ac:dyDescent="0.2">
      <c r="A80" s="37" t="str">
        <f>IF('Employee Master'!B80="","",'Employee Master'!B80)</f>
        <v>CAS-RT_2386</v>
      </c>
      <c r="B80" s="37" t="str">
        <f>IF('Employee Master'!B80="","",'Employee Master'!C80)</f>
        <v>Chhavi.S</v>
      </c>
      <c r="C80" s="37" t="str">
        <f>IF('Employee Master'!B80="","",'Employee Master'!D80)</f>
        <v>Remote</v>
      </c>
      <c r="D80" s="37" t="str">
        <f>IF('Employee Master'!B80="","",'Employee Master'!E80)</f>
        <v>Sr. Associate</v>
      </c>
      <c r="E80" s="37" t="str">
        <f>IF('Employee Master'!B80="","",'Employee Master'!F80)</f>
        <v>Accounting, VA</v>
      </c>
      <c r="F80" s="37" t="str">
        <f>IF('Employee Master'!B80="","",'Employee Master'!G80)</f>
        <v>Nikita Shah</v>
      </c>
      <c r="G80" s="38">
        <v>164.3</v>
      </c>
      <c r="H80" s="38">
        <v>164.3</v>
      </c>
      <c r="I80" s="39">
        <f t="shared" si="6"/>
        <v>0</v>
      </c>
      <c r="J80" s="40">
        <f>IF(A80="","",IF(H80=0,0,H80/(Settings!B6*12)))</f>
        <v>8.5572916666666679E-2</v>
      </c>
      <c r="K80" s="28">
        <v>4</v>
      </c>
      <c r="L80" s="41">
        <v>3.5</v>
      </c>
      <c r="M80" s="28">
        <v>0</v>
      </c>
      <c r="N80" s="29">
        <f t="shared" si="7"/>
        <v>0</v>
      </c>
      <c r="O80" s="28">
        <v>0</v>
      </c>
      <c r="P80" s="28">
        <v>0</v>
      </c>
      <c r="Q80" s="40">
        <f t="shared" si="8"/>
        <v>0</v>
      </c>
      <c r="R80" s="28">
        <v>12</v>
      </c>
    </row>
    <row r="81" spans="1:18" ht="15" customHeight="1" x14ac:dyDescent="0.2">
      <c r="A81" s="37" t="str">
        <f>IF('Employee Master'!B81="","",'Employee Master'!B81)</f>
        <v>CAS-RT_2390</v>
      </c>
      <c r="B81" s="37" t="str">
        <f>IF('Employee Master'!B81="","",'Employee Master'!C81)</f>
        <v>Surbhi.A</v>
      </c>
      <c r="C81" s="37" t="str">
        <f>IF('Employee Master'!B81="","",'Employee Master'!D81)</f>
        <v>Remote</v>
      </c>
      <c r="D81" s="37" t="str">
        <f>IF('Employee Master'!B81="","",'Employee Master'!E81)</f>
        <v>Asst. Team Lead</v>
      </c>
      <c r="E81" s="37" t="str">
        <f>IF('Employee Master'!B81="","",'Employee Master'!F81)</f>
        <v>Accounting</v>
      </c>
      <c r="F81" s="37" t="str">
        <f>IF('Employee Master'!B81="","",'Employee Master'!G81)</f>
        <v>Jasleen.D</v>
      </c>
      <c r="G81" s="38">
        <v>115.1</v>
      </c>
      <c r="H81" s="38">
        <v>115.1</v>
      </c>
      <c r="I81" s="39">
        <f t="shared" si="6"/>
        <v>0</v>
      </c>
      <c r="J81" s="40">
        <f>IF(A81="","",IF(H81=0,0,H81/(Settings!B6*12)))</f>
        <v>5.9947916666666663E-2</v>
      </c>
      <c r="K81" s="28">
        <v>4</v>
      </c>
      <c r="L81" s="41">
        <v>3.5</v>
      </c>
      <c r="M81" s="28">
        <v>0</v>
      </c>
      <c r="N81" s="29">
        <f t="shared" si="7"/>
        <v>0</v>
      </c>
      <c r="O81" s="28">
        <v>0</v>
      </c>
      <c r="P81" s="28">
        <v>0</v>
      </c>
      <c r="Q81" s="40">
        <f t="shared" si="8"/>
        <v>0</v>
      </c>
      <c r="R81" s="28">
        <v>12</v>
      </c>
    </row>
    <row r="82" spans="1:18" ht="15" customHeight="1" x14ac:dyDescent="0.2">
      <c r="A82" s="37" t="str">
        <f>IF('Employee Master'!B82="","",'Employee Master'!B82)</f>
        <v>CAS-IH_1165</v>
      </c>
      <c r="B82" s="37" t="str">
        <f>IF('Employee Master'!B82="","",'Employee Master'!C82)</f>
        <v>Jatin.S</v>
      </c>
      <c r="C82" s="37" t="str">
        <f>IF('Employee Master'!B82="","",'Employee Master'!D82)</f>
        <v>In-house</v>
      </c>
      <c r="D82" s="37" t="str">
        <f>IF('Employee Master'!B82="","",'Employee Master'!E82)</f>
        <v>Sr. Manager</v>
      </c>
      <c r="E82" s="37" t="str">
        <f>IF('Employee Master'!B82="","",'Employee Master'!F82)</f>
        <v>FP&amp;A</v>
      </c>
      <c r="F82" s="37" t="str">
        <f>IF('Employee Master'!B82="","",'Employee Master'!G82)</f>
        <v>Sachi Mazumdar</v>
      </c>
      <c r="G82" s="38">
        <v>158.5</v>
      </c>
      <c r="H82" s="38">
        <v>158.5</v>
      </c>
      <c r="I82" s="39">
        <f t="shared" si="6"/>
        <v>0</v>
      </c>
      <c r="J82" s="40">
        <f>IF(A82="","",IF(H82=0,0,H82/(Settings!B6*12)))</f>
        <v>8.2552083333333331E-2</v>
      </c>
      <c r="K82" s="28">
        <v>6</v>
      </c>
      <c r="L82" s="41">
        <v>3.5</v>
      </c>
      <c r="M82" s="28">
        <v>0</v>
      </c>
      <c r="N82" s="29">
        <f t="shared" si="7"/>
        <v>0</v>
      </c>
      <c r="O82" s="28">
        <v>0</v>
      </c>
      <c r="P82" s="28">
        <v>0</v>
      </c>
      <c r="Q82" s="40">
        <f t="shared" si="8"/>
        <v>0</v>
      </c>
      <c r="R82" s="28">
        <v>12</v>
      </c>
    </row>
    <row r="83" spans="1:18" ht="23.25" customHeight="1" x14ac:dyDescent="0.2">
      <c r="A83" s="37" t="str">
        <f>IF('Employee Master'!B83="","",'Employee Master'!B83)</f>
        <v>CASUS-IH_002</v>
      </c>
      <c r="B83" s="37" t="str">
        <f>IF('Employee Master'!B83="","",'Employee Master'!C83)</f>
        <v>Angela</v>
      </c>
      <c r="C83" s="37" t="str">
        <f>IF('Employee Master'!B83="","",'Employee Master'!D83)</f>
        <v>In-house</v>
      </c>
      <c r="D83" s="37" t="str">
        <f>IF('Employee Master'!B83="","",'Employee Master'!E83)</f>
        <v>Controller</v>
      </c>
      <c r="E83" s="37" t="str">
        <f>IF('Employee Master'!B83="","",'Employee Master'!F83)</f>
        <v>Marketing</v>
      </c>
      <c r="F83" s="37" t="str">
        <f>IF('Employee Master'!B83="","",'Employee Master'!G83)</f>
        <v>--</v>
      </c>
      <c r="G83" s="38">
        <v>177</v>
      </c>
      <c r="H83" s="38">
        <v>177</v>
      </c>
      <c r="I83" s="39">
        <f t="shared" si="6"/>
        <v>0</v>
      </c>
      <c r="J83" s="40">
        <f>IF(A83="","",IF(H83=0,0,H83/(Settings!B6*12)))</f>
        <v>9.2187500000000006E-2</v>
      </c>
      <c r="K83" s="28">
        <v>1</v>
      </c>
      <c r="L83" s="41">
        <v>3.5</v>
      </c>
      <c r="M83" s="28">
        <v>0</v>
      </c>
      <c r="N83" s="29">
        <f t="shared" si="7"/>
        <v>0</v>
      </c>
      <c r="O83" s="28">
        <v>0</v>
      </c>
      <c r="P83" s="28">
        <v>0</v>
      </c>
      <c r="Q83" s="40">
        <f t="shared" si="8"/>
        <v>0</v>
      </c>
      <c r="R83" s="28">
        <v>12</v>
      </c>
    </row>
    <row r="84" spans="1:18" ht="15" customHeight="1" x14ac:dyDescent="0.2">
      <c r="A84" s="37" t="str">
        <f>IF('Employee Master'!B84="","",'Employee Master'!B84)</f>
        <v>CAS-RT_2392</v>
      </c>
      <c r="B84" s="37" t="str">
        <f>IF('Employee Master'!B84="","",'Employee Master'!C84)</f>
        <v>Harsh.G</v>
      </c>
      <c r="C84" s="37" t="str">
        <f>IF('Employee Master'!B84="","",'Employee Master'!D84)</f>
        <v>Remote</v>
      </c>
      <c r="D84" s="37" t="str">
        <f>IF('Employee Master'!B84="","",'Employee Master'!E84)</f>
        <v>Sr. Associate</v>
      </c>
      <c r="E84" s="37" t="str">
        <f>IF('Employee Master'!B84="","",'Employee Master'!F84)</f>
        <v>Accounting</v>
      </c>
      <c r="F84" s="37" t="str">
        <f>IF('Employee Master'!B84="","",'Employee Master'!G84)</f>
        <v>Ayushi</v>
      </c>
      <c r="G84" s="38">
        <v>0</v>
      </c>
      <c r="H84" s="38">
        <v>0</v>
      </c>
      <c r="I84" s="39">
        <f t="shared" si="6"/>
        <v>0</v>
      </c>
      <c r="J84" s="40">
        <f>IF(A84="","",IF(H84=0,0,H84/(Settings!B6*12)))</f>
        <v>0</v>
      </c>
      <c r="K84" s="28">
        <v>0</v>
      </c>
      <c r="L84" s="41">
        <v>3.5</v>
      </c>
      <c r="M84" s="28">
        <v>0</v>
      </c>
      <c r="N84" s="29">
        <f t="shared" si="7"/>
        <v>0</v>
      </c>
      <c r="O84" s="28">
        <v>0</v>
      </c>
      <c r="P84" s="28">
        <v>0</v>
      </c>
      <c r="Q84" s="40">
        <f t="shared" si="8"/>
        <v>0</v>
      </c>
      <c r="R84" s="28">
        <v>12</v>
      </c>
    </row>
    <row r="85" spans="1:18" ht="15" customHeight="1" x14ac:dyDescent="0.2">
      <c r="A85" s="37" t="str">
        <f>IF('Employee Master'!B85="","",'Employee Master'!B85)</f>
        <v>CAS-IH_1166</v>
      </c>
      <c r="B85" s="37" t="str">
        <f>IF('Employee Master'!B85="","",'Employee Master'!C85)</f>
        <v>Namya.S</v>
      </c>
      <c r="C85" s="37" t="str">
        <f>IF('Employee Master'!B85="","",'Employee Master'!D85)</f>
        <v>In-house</v>
      </c>
      <c r="D85" s="37" t="str">
        <f>IF('Employee Master'!B85="","",'Employee Master'!E85)</f>
        <v>Asst. Team Lead</v>
      </c>
      <c r="E85" s="37" t="str">
        <f>IF('Employee Master'!B85="","",'Employee Master'!F85)</f>
        <v>Accounting</v>
      </c>
      <c r="F85" s="37" t="str">
        <f>IF('Employee Master'!B85="","",'Employee Master'!G85)</f>
        <v>Jasleen.D</v>
      </c>
      <c r="G85" s="38">
        <v>60</v>
      </c>
      <c r="H85" s="38">
        <v>60</v>
      </c>
      <c r="I85" s="39">
        <f t="shared" si="6"/>
        <v>0</v>
      </c>
      <c r="J85" s="40">
        <f>IF(A85="","",IF(H85=0,0,H85/(Settings!B6*12)))</f>
        <v>3.125E-2</v>
      </c>
      <c r="K85" s="28">
        <v>4</v>
      </c>
      <c r="L85" s="41">
        <v>3.5</v>
      </c>
      <c r="M85" s="28">
        <v>0</v>
      </c>
      <c r="N85" s="29">
        <f t="shared" si="7"/>
        <v>0</v>
      </c>
      <c r="O85" s="28">
        <v>0</v>
      </c>
      <c r="P85" s="28">
        <v>0</v>
      </c>
      <c r="Q85" s="40">
        <f t="shared" si="8"/>
        <v>0</v>
      </c>
      <c r="R85" s="28">
        <v>12</v>
      </c>
    </row>
    <row r="86" spans="1:18" ht="15" customHeight="1" x14ac:dyDescent="0.2">
      <c r="A86" s="37" t="str">
        <f>IF('Employee Master'!B86="","",'Employee Master'!B86)</f>
        <v>CAS-RT_2393</v>
      </c>
      <c r="B86" s="37" t="str">
        <f>IF('Employee Master'!B86="","",'Employee Master'!C86)</f>
        <v>Kashish.B</v>
      </c>
      <c r="C86" s="37" t="str">
        <f>IF('Employee Master'!B86="","",'Employee Master'!D86)</f>
        <v>Remote</v>
      </c>
      <c r="D86" s="37" t="str">
        <f>IF('Employee Master'!B86="","",'Employee Master'!E86)</f>
        <v>Sr. Associate</v>
      </c>
      <c r="E86" s="37" t="str">
        <f>IF('Employee Master'!B86="","",'Employee Master'!F86)</f>
        <v>Accounting</v>
      </c>
      <c r="F86" s="37" t="str">
        <f>IF('Employee Master'!B86="","",'Employee Master'!G86)</f>
        <v>Nikita Shah</v>
      </c>
      <c r="G86" s="38">
        <v>161.1</v>
      </c>
      <c r="H86" s="38">
        <v>161.1</v>
      </c>
      <c r="I86" s="39">
        <f t="shared" si="6"/>
        <v>0</v>
      </c>
      <c r="J86" s="40">
        <f>IF(A86="","",IF(H86=0,0,H86/(Settings!B6*12)))</f>
        <v>8.3906250000000002E-2</v>
      </c>
      <c r="K86" s="28">
        <v>5</v>
      </c>
      <c r="L86" s="41">
        <v>3.5</v>
      </c>
      <c r="M86" s="28">
        <v>0</v>
      </c>
      <c r="N86" s="29">
        <f t="shared" si="7"/>
        <v>0</v>
      </c>
      <c r="O86" s="28">
        <v>0</v>
      </c>
      <c r="P86" s="28">
        <v>0</v>
      </c>
      <c r="Q86" s="40">
        <f t="shared" si="8"/>
        <v>0</v>
      </c>
      <c r="R86" s="28">
        <v>12</v>
      </c>
    </row>
    <row r="87" spans="1:18" ht="15" customHeight="1" x14ac:dyDescent="0.2">
      <c r="A87" s="37" t="str">
        <f>IF('Employee Master'!B87="","",'Employee Master'!B87)</f>
        <v>CAS-RT_2396</v>
      </c>
      <c r="B87" s="37" t="str">
        <f>IF('Employee Master'!B87="","",'Employee Master'!C87)</f>
        <v>Amishi.S</v>
      </c>
      <c r="C87" s="37" t="str">
        <f>IF('Employee Master'!B87="","",'Employee Master'!D87)</f>
        <v>Remote</v>
      </c>
      <c r="D87" s="37" t="str">
        <f>IF('Employee Master'!B87="","",'Employee Master'!E87)</f>
        <v>Sr. Associate</v>
      </c>
      <c r="E87" s="37" t="str">
        <f>IF('Employee Master'!B87="","",'Employee Master'!F87)</f>
        <v>Accounting</v>
      </c>
      <c r="F87" s="37" t="str">
        <f>IF('Employee Master'!B87="","",'Employee Master'!G87)</f>
        <v>Jasleen.D</v>
      </c>
      <c r="G87" s="38">
        <v>163.19999999999999</v>
      </c>
      <c r="H87" s="38">
        <v>163.19999999999999</v>
      </c>
      <c r="I87" s="39">
        <f t="shared" si="6"/>
        <v>0</v>
      </c>
      <c r="J87" s="40">
        <f>IF(A87="","",IF(H87=0,0,H87/(Settings!B6*12)))</f>
        <v>8.4999999999999992E-2</v>
      </c>
      <c r="K87" s="28">
        <v>3</v>
      </c>
      <c r="L87" s="41">
        <v>3.5</v>
      </c>
      <c r="M87" s="28">
        <v>0</v>
      </c>
      <c r="N87" s="29">
        <f t="shared" si="7"/>
        <v>0</v>
      </c>
      <c r="O87" s="28">
        <v>0</v>
      </c>
      <c r="P87" s="28">
        <v>0</v>
      </c>
      <c r="Q87" s="40">
        <f t="shared" si="8"/>
        <v>0</v>
      </c>
      <c r="R87" s="28">
        <v>12</v>
      </c>
    </row>
    <row r="88" spans="1:18" ht="15" customHeight="1" x14ac:dyDescent="0.2">
      <c r="A88" s="37" t="str">
        <f>IF('Employee Master'!B88="","",'Employee Master'!B88)</f>
        <v>CAS-RR_2372</v>
      </c>
      <c r="B88" s="37" t="str">
        <f>IF('Employee Master'!B88="","",'Employee Master'!C88)</f>
        <v>Harsh.V</v>
      </c>
      <c r="C88" s="37" t="str">
        <f>IF('Employee Master'!B88="","",'Employee Master'!D88)</f>
        <v>Remote</v>
      </c>
      <c r="D88" s="37" t="str">
        <f>IF('Employee Master'!B88="","",'Employee Master'!E88)</f>
        <v>Associate</v>
      </c>
      <c r="E88" s="37" t="str">
        <f>IF('Employee Master'!B88="","",'Employee Master'!F88)</f>
        <v>Accounting</v>
      </c>
      <c r="F88" s="37" t="str">
        <f>IF('Employee Master'!B88="","",'Employee Master'!G88)</f>
        <v>Jyoti</v>
      </c>
      <c r="G88" s="38">
        <v>78.7</v>
      </c>
      <c r="H88" s="38">
        <v>78.7</v>
      </c>
      <c r="I88" s="39">
        <f t="shared" si="6"/>
        <v>0</v>
      </c>
      <c r="J88" s="40">
        <f>IF(A88="","",IF(H88=0,0,H88/(Settings!B6*12)))</f>
        <v>4.0989583333333336E-2</v>
      </c>
      <c r="K88" s="28">
        <v>3</v>
      </c>
      <c r="L88" s="41">
        <v>3.5</v>
      </c>
      <c r="M88" s="28">
        <v>0</v>
      </c>
      <c r="N88" s="29">
        <f t="shared" si="7"/>
        <v>0</v>
      </c>
      <c r="O88" s="28">
        <v>0</v>
      </c>
      <c r="P88" s="28">
        <v>0</v>
      </c>
      <c r="Q88" s="40">
        <f t="shared" si="8"/>
        <v>0</v>
      </c>
      <c r="R88" s="28">
        <v>12</v>
      </c>
    </row>
    <row r="89" spans="1:18" ht="15" customHeight="1" x14ac:dyDescent="0.2">
      <c r="A89" s="37">
        <f>IF('Employee Master'!B89="","",'Employee Master'!B89)</f>
        <v>209</v>
      </c>
      <c r="B89" s="37" t="str">
        <f>IF('Employee Master'!B89="","",'Employee Master'!C89)</f>
        <v>Ash</v>
      </c>
      <c r="C89" s="37" t="str">
        <f>IF('Employee Master'!B89="","",'Employee Master'!D89)</f>
        <v>Remote</v>
      </c>
      <c r="D89" s="37" t="str">
        <f>IF('Employee Master'!B89="","",'Employee Master'!E89)</f>
        <v>Controller</v>
      </c>
      <c r="E89" s="37" t="str">
        <f>IF('Employee Master'!B89="","",'Employee Master'!F89)</f>
        <v>IT</v>
      </c>
      <c r="F89" s="37" t="str">
        <f>IF('Employee Master'!B89="","",'Employee Master'!G89)</f>
        <v>--</v>
      </c>
      <c r="G89" s="38">
        <v>169.2</v>
      </c>
      <c r="H89" s="38">
        <v>169.2</v>
      </c>
      <c r="I89" s="39">
        <f t="shared" si="6"/>
        <v>0</v>
      </c>
      <c r="J89" s="40">
        <f>IF(A89="","",IF(H89=0,0,H89/(Settings!B6*12)))</f>
        <v>8.8124999999999995E-2</v>
      </c>
      <c r="K89" s="28">
        <v>2</v>
      </c>
      <c r="L89" s="41">
        <v>3.5</v>
      </c>
      <c r="M89" s="28">
        <v>0</v>
      </c>
      <c r="N89" s="29">
        <f t="shared" si="7"/>
        <v>0</v>
      </c>
      <c r="O89" s="28">
        <v>0</v>
      </c>
      <c r="P89" s="28">
        <v>0</v>
      </c>
      <c r="Q89" s="40">
        <f t="shared" si="8"/>
        <v>0</v>
      </c>
      <c r="R89" s="28">
        <v>12</v>
      </c>
    </row>
    <row r="90" spans="1:18" ht="15" customHeight="1" x14ac:dyDescent="0.2">
      <c r="A90" s="37" t="str">
        <f>IF('Employee Master'!B90="","",'Employee Master'!B90)</f>
        <v>CASCFO-IH-004</v>
      </c>
      <c r="B90" s="37" t="str">
        <f>IF('Employee Master'!B90="","",'Employee Master'!C90)</f>
        <v>Anshika.B</v>
      </c>
      <c r="C90" s="37" t="str">
        <f>IF('Employee Master'!B90="","",'Employee Master'!D90)</f>
        <v>In-house</v>
      </c>
      <c r="D90" s="37" t="str">
        <f>IF('Employee Master'!B90="","",'Employee Master'!E90)</f>
        <v>Associate</v>
      </c>
      <c r="E90" s="37" t="str">
        <f>IF('Employee Master'!B90="","",'Employee Master'!F90)</f>
        <v>HR</v>
      </c>
      <c r="F90" s="37" t="str">
        <f>IF('Employee Master'!B90="","",'Employee Master'!G90)</f>
        <v>Vinita Dagar</v>
      </c>
      <c r="G90" s="38">
        <v>107.5</v>
      </c>
      <c r="H90" s="38">
        <v>102.5</v>
      </c>
      <c r="I90" s="39">
        <f t="shared" si="6"/>
        <v>5</v>
      </c>
      <c r="J90" s="40">
        <f>IF(A90="","",IF(H90=0,0,H90/(Settings!B6*12)))</f>
        <v>5.3385416666666664E-2</v>
      </c>
      <c r="K90" s="28">
        <v>4</v>
      </c>
      <c r="L90" s="41">
        <v>3.5</v>
      </c>
      <c r="M90" s="28">
        <v>0</v>
      </c>
      <c r="N90" s="29">
        <f t="shared" si="7"/>
        <v>0</v>
      </c>
      <c r="O90" s="28">
        <v>0</v>
      </c>
      <c r="P90" s="28">
        <v>0</v>
      </c>
      <c r="Q90" s="40">
        <f t="shared" si="8"/>
        <v>0</v>
      </c>
      <c r="R90" s="28">
        <v>12</v>
      </c>
    </row>
    <row r="91" spans="1:18" ht="15" customHeight="1" x14ac:dyDescent="0.2">
      <c r="A91" s="37" t="str">
        <f>IF('Employee Master'!B91="","",'Employee Master'!B91)</f>
        <v>CASCFO-IH-005</v>
      </c>
      <c r="B91" s="37" t="str">
        <f>IF('Employee Master'!B91="","",'Employee Master'!C91)</f>
        <v>Deepak</v>
      </c>
      <c r="C91" s="37" t="str">
        <f>IF('Employee Master'!B91="","",'Employee Master'!D91)</f>
        <v>In-house</v>
      </c>
      <c r="D91" s="37" t="str">
        <f>IF('Employee Master'!B91="","",'Employee Master'!E91)</f>
        <v>Sr. Associate</v>
      </c>
      <c r="E91" s="37" t="str">
        <f>IF('Employee Master'!B91="","",'Employee Master'!F91)</f>
        <v>HR</v>
      </c>
      <c r="F91" s="37" t="str">
        <f>IF('Employee Master'!B91="","",'Employee Master'!G91)</f>
        <v>Vinita Dagar</v>
      </c>
      <c r="G91" s="38">
        <v>0</v>
      </c>
      <c r="H91" s="38">
        <v>0</v>
      </c>
      <c r="I91" s="39">
        <f t="shared" si="6"/>
        <v>0</v>
      </c>
      <c r="J91" s="40">
        <f>IF(A91="","",IF(H91=0,0,H91/(Settings!B6*12)))</f>
        <v>0</v>
      </c>
      <c r="K91" s="28">
        <v>0</v>
      </c>
      <c r="L91" s="41">
        <v>3.5</v>
      </c>
      <c r="M91" s="28">
        <v>0</v>
      </c>
      <c r="N91" s="29">
        <f t="shared" si="7"/>
        <v>0</v>
      </c>
      <c r="O91" s="28">
        <v>0</v>
      </c>
      <c r="P91" s="28">
        <v>0</v>
      </c>
      <c r="Q91" s="40">
        <f t="shared" si="8"/>
        <v>0</v>
      </c>
      <c r="R91" s="28">
        <v>12</v>
      </c>
    </row>
    <row r="92" spans="1:18" ht="23.25" customHeight="1" x14ac:dyDescent="0.2">
      <c r="A92" s="37" t="str">
        <f>IF('Employee Master'!B92="","",'Employee Master'!B92)</f>
        <v>CAS-RT_2401</v>
      </c>
      <c r="B92" s="37" t="str">
        <f>IF('Employee Master'!B92="","",'Employee Master'!C92)</f>
        <v>Simran.</v>
      </c>
      <c r="C92" s="37" t="str">
        <f>IF('Employee Master'!B92="","",'Employee Master'!D92)</f>
        <v>Remote</v>
      </c>
      <c r="D92" s="37" t="str">
        <f>IF('Employee Master'!B92="","",'Employee Master'!E92)</f>
        <v>Sr. Associate</v>
      </c>
      <c r="E92" s="37" t="str">
        <f>IF('Employee Master'!B92="","",'Employee Master'!F92)</f>
        <v>Accounting</v>
      </c>
      <c r="F92" s="37" t="str">
        <f>IF('Employee Master'!B92="","",'Employee Master'!G92)</f>
        <v>Nikita Shah</v>
      </c>
      <c r="G92" s="38">
        <v>150</v>
      </c>
      <c r="H92" s="38">
        <v>150</v>
      </c>
      <c r="I92" s="39">
        <f t="shared" si="6"/>
        <v>0</v>
      </c>
      <c r="J92" s="40">
        <f>IF(A92="","",IF(H92=0,0,H92/(Settings!B6*12)))</f>
        <v>7.8125E-2</v>
      </c>
      <c r="K92" s="28">
        <v>1</v>
      </c>
      <c r="L92" s="41">
        <v>3.5</v>
      </c>
      <c r="M92" s="28">
        <v>0</v>
      </c>
      <c r="N92" s="29">
        <f t="shared" si="7"/>
        <v>0</v>
      </c>
      <c r="O92" s="28">
        <v>0</v>
      </c>
      <c r="P92" s="28">
        <v>0</v>
      </c>
      <c r="Q92" s="40">
        <f t="shared" si="8"/>
        <v>0</v>
      </c>
      <c r="R92" s="28">
        <v>12</v>
      </c>
    </row>
    <row r="93" spans="1:18" ht="23.25" customHeight="1" x14ac:dyDescent="0.2">
      <c r="A93" s="37" t="str">
        <f>IF('Employee Master'!B93="","",'Employee Master'!B93)</f>
        <v>CASUS-IH_003</v>
      </c>
      <c r="B93" s="37" t="str">
        <f>IF('Employee Master'!B93="","",'Employee Master'!C93)</f>
        <v>Marta</v>
      </c>
      <c r="C93" s="37" t="str">
        <f>IF('Employee Master'!B93="","",'Employee Master'!D93)</f>
        <v>Remote</v>
      </c>
      <c r="D93" s="37" t="str">
        <f>IF('Employee Master'!B93="","",'Employee Master'!E93)</f>
        <v>Associate</v>
      </c>
      <c r="E93" s="37" t="str">
        <f>IF('Employee Master'!B93="","",'Employee Master'!F93)</f>
        <v>Marketing</v>
      </c>
      <c r="F93" s="37" t="str">
        <f>IF('Employee Master'!B93="","",'Employee Master'!G93)</f>
        <v>Angela</v>
      </c>
      <c r="G93" s="38">
        <v>0</v>
      </c>
      <c r="H93" s="38">
        <v>0</v>
      </c>
      <c r="I93" s="39">
        <f t="shared" si="6"/>
        <v>0</v>
      </c>
      <c r="J93" s="40">
        <f>IF(A93="","",IF(H93=0,0,H93/(Settings!B6*12)))</f>
        <v>0</v>
      </c>
      <c r="K93" s="28">
        <v>0</v>
      </c>
      <c r="L93" s="41">
        <v>3.5</v>
      </c>
      <c r="M93" s="28">
        <v>0</v>
      </c>
      <c r="N93" s="29">
        <f t="shared" si="7"/>
        <v>0</v>
      </c>
      <c r="O93" s="28">
        <v>0</v>
      </c>
      <c r="P93" s="28">
        <v>0</v>
      </c>
      <c r="Q93" s="40">
        <f t="shared" si="8"/>
        <v>0</v>
      </c>
      <c r="R93" s="28">
        <v>12</v>
      </c>
    </row>
    <row r="94" spans="1:18" ht="15" customHeight="1" x14ac:dyDescent="0.2">
      <c r="A94" s="37" t="str">
        <f>IF('Employee Master'!B94="","",'Employee Master'!B94)</f>
        <v>CAS-IH_1170</v>
      </c>
      <c r="B94" s="37" t="str">
        <f>IF('Employee Master'!B94="","",'Employee Master'!C94)</f>
        <v>Sakshi.M</v>
      </c>
      <c r="C94" s="37" t="str">
        <f>IF('Employee Master'!B94="","",'Employee Master'!D94)</f>
        <v>Remote</v>
      </c>
      <c r="D94" s="37" t="str">
        <f>IF('Employee Master'!B94="","",'Employee Master'!E94)</f>
        <v>Manager</v>
      </c>
      <c r="E94" s="37" t="str">
        <f>IF('Employee Master'!B94="","",'Employee Master'!F94)</f>
        <v>FP&amp;A</v>
      </c>
      <c r="F94" s="37" t="str">
        <f>IF('Employee Master'!B94="","",'Employee Master'!G94)</f>
        <v>Prachi Guglani</v>
      </c>
      <c r="G94" s="38">
        <v>44.8</v>
      </c>
      <c r="H94" s="38">
        <v>44.8</v>
      </c>
      <c r="I94" s="39">
        <f t="shared" si="6"/>
        <v>0</v>
      </c>
      <c r="J94" s="40">
        <f>IF(A94="","",IF(H94=0,0,H94/(Settings!B6*12)))</f>
        <v>2.3333333333333331E-2</v>
      </c>
      <c r="K94" s="28">
        <v>3</v>
      </c>
      <c r="L94" s="41">
        <v>3.5</v>
      </c>
      <c r="M94" s="28">
        <v>0</v>
      </c>
      <c r="N94" s="29">
        <f t="shared" si="7"/>
        <v>0</v>
      </c>
      <c r="O94" s="28">
        <v>0</v>
      </c>
      <c r="P94" s="28">
        <v>0</v>
      </c>
      <c r="Q94" s="40">
        <f t="shared" si="8"/>
        <v>0</v>
      </c>
      <c r="R94" s="28">
        <v>12</v>
      </c>
    </row>
    <row r="95" spans="1:18" ht="15" customHeight="1" x14ac:dyDescent="0.2">
      <c r="A95" s="37" t="str">
        <f>IF('Employee Master'!B95="","",'Employee Master'!B95)</f>
        <v>CASCFO****</v>
      </c>
      <c r="B95" s="37" t="str">
        <f>IF('Employee Master'!B95="","",'Employee Master'!C95)</f>
        <v>Tracey.G</v>
      </c>
      <c r="C95" s="37" t="str">
        <f>IF('Employee Master'!B95="","",'Employee Master'!D95)</f>
        <v>Remote</v>
      </c>
      <c r="D95" s="37" t="str">
        <f>IF('Employee Master'!B95="","",'Employee Master'!E95)</f>
        <v>Coo</v>
      </c>
      <c r="E95" s="37" t="str">
        <f>IF('Employee Master'!B95="","",'Employee Master'!F95)</f>
        <v>Accounting, Individual Tax, Business Tax, VA</v>
      </c>
      <c r="F95" s="37" t="str">
        <f>IF('Employee Master'!B95="","",'Employee Master'!G95)</f>
        <v>--</v>
      </c>
      <c r="G95" s="38">
        <v>175.3</v>
      </c>
      <c r="H95" s="38">
        <v>175.3</v>
      </c>
      <c r="I95" s="39">
        <f t="shared" si="6"/>
        <v>0</v>
      </c>
      <c r="J95" s="40">
        <f>IF(A95="","",IF(H95=0,0,H95/(Settings!B6*12)))</f>
        <v>9.1302083333333339E-2</v>
      </c>
      <c r="K95" s="28">
        <v>5</v>
      </c>
      <c r="L95" s="41">
        <v>3.5</v>
      </c>
      <c r="M95" s="28">
        <v>0</v>
      </c>
      <c r="N95" s="29">
        <f t="shared" si="7"/>
        <v>0</v>
      </c>
      <c r="O95" s="28">
        <v>0</v>
      </c>
      <c r="P95" s="28">
        <v>0</v>
      </c>
      <c r="Q95" s="40">
        <f t="shared" si="8"/>
        <v>0</v>
      </c>
      <c r="R95" s="28">
        <v>12</v>
      </c>
    </row>
    <row r="96" spans="1:18" ht="15" customHeight="1" x14ac:dyDescent="0.2">
      <c r="A96" s="37" t="str">
        <f>IF('Employee Master'!B96="","",'Employee Master'!B96)</f>
        <v>CAS-IH_1171</v>
      </c>
      <c r="B96" s="37" t="str">
        <f>IF('Employee Master'!B96="","",'Employee Master'!C96)</f>
        <v>Khushboo.S</v>
      </c>
      <c r="C96" s="37" t="str">
        <f>IF('Employee Master'!B96="","",'Employee Master'!D96)</f>
        <v>In-house</v>
      </c>
      <c r="D96" s="37" t="str">
        <f>IF('Employee Master'!B96="","",'Employee Master'!E96)</f>
        <v>Manager</v>
      </c>
      <c r="E96" s="37" t="str">
        <f>IF('Employee Master'!B96="","",'Employee Master'!F96)</f>
        <v>Accounting</v>
      </c>
      <c r="F96" s="37" t="str">
        <f>IF('Employee Master'!B96="","",'Employee Master'!G96)</f>
        <v>Jasleen.D</v>
      </c>
      <c r="G96" s="38">
        <v>16</v>
      </c>
      <c r="H96" s="38">
        <v>16</v>
      </c>
      <c r="I96" s="39">
        <f t="shared" si="6"/>
        <v>0</v>
      </c>
      <c r="J96" s="40">
        <f>IF(A96="","",IF(H96=0,0,H96/(Settings!B6*12)))</f>
        <v>8.3333333333333332E-3</v>
      </c>
      <c r="K96" s="28">
        <v>1</v>
      </c>
      <c r="L96" s="41">
        <v>3.5</v>
      </c>
      <c r="M96" s="28">
        <v>0</v>
      </c>
      <c r="N96" s="29">
        <f t="shared" si="7"/>
        <v>0</v>
      </c>
      <c r="O96" s="28">
        <v>0</v>
      </c>
      <c r="P96" s="28">
        <v>0</v>
      </c>
      <c r="Q96" s="40">
        <f t="shared" si="8"/>
        <v>0</v>
      </c>
      <c r="R96" s="28">
        <v>12</v>
      </c>
    </row>
    <row r="97" spans="1:18" ht="23.25" customHeight="1" x14ac:dyDescent="0.2">
      <c r="A97" s="37" t="str">
        <f>IF('Employee Master'!B97="","",'Employee Master'!B97)</f>
        <v>CAS-RT_2402</v>
      </c>
      <c r="B97" s="37" t="str">
        <f>IF('Employee Master'!B97="","",'Employee Master'!C97)</f>
        <v>Prerna.G</v>
      </c>
      <c r="C97" s="37" t="str">
        <f>IF('Employee Master'!B97="","",'Employee Master'!D97)</f>
        <v>Remote</v>
      </c>
      <c r="D97" s="37" t="str">
        <f>IF('Employee Master'!B97="","",'Employee Master'!E97)</f>
        <v>Manager</v>
      </c>
      <c r="E97" s="37" t="str">
        <f>IF('Employee Master'!B97="","",'Employee Master'!F97)</f>
        <v>Accounting</v>
      </c>
      <c r="F97" s="37" t="str">
        <f>IF('Employee Master'!B97="","",'Employee Master'!G97)</f>
        <v>Ayushi</v>
      </c>
      <c r="G97" s="38">
        <v>167</v>
      </c>
      <c r="H97" s="38">
        <v>167</v>
      </c>
      <c r="I97" s="39">
        <f t="shared" si="6"/>
        <v>0</v>
      </c>
      <c r="J97" s="40">
        <f>IF(A97="","",IF(H97=0,0,H97/(Settings!B6*12)))</f>
        <v>8.6979166666666663E-2</v>
      </c>
      <c r="K97" s="28">
        <v>1</v>
      </c>
      <c r="L97" s="41">
        <v>3.5</v>
      </c>
      <c r="M97" s="28">
        <v>0</v>
      </c>
      <c r="N97" s="29">
        <f t="shared" si="7"/>
        <v>0</v>
      </c>
      <c r="O97" s="28">
        <v>0</v>
      </c>
      <c r="P97" s="28">
        <v>0</v>
      </c>
      <c r="Q97" s="40">
        <f t="shared" si="8"/>
        <v>0</v>
      </c>
      <c r="R97" s="28">
        <v>12</v>
      </c>
    </row>
    <row r="98" spans="1:18" ht="45.75" customHeight="1" x14ac:dyDescent="0.2">
      <c r="A98" s="37" t="str">
        <f>IF('Employee Master'!B98="","",'Employee Master'!B98)</f>
        <v>CASCFO-IH-007</v>
      </c>
      <c r="B98" s="37" t="str">
        <f>IF('Employee Master'!B98="","",'Employee Master'!C98)</f>
        <v>Monika.M</v>
      </c>
      <c r="C98" s="37" t="str">
        <f>IF('Employee Master'!B98="","",'Employee Master'!D98)</f>
        <v>In-house</v>
      </c>
      <c r="D98" s="37" t="str">
        <f>IF('Employee Master'!B98="","",'Employee Master'!E98)</f>
        <v>Manager</v>
      </c>
      <c r="E98" s="37" t="str">
        <f>IF('Employee Master'!B98="","",'Employee Master'!F98)</f>
        <v>HR</v>
      </c>
      <c r="F98" s="37" t="str">
        <f>IF('Employee Master'!B98="","",'Employee Master'!G98)</f>
        <v>Vinita Dagar</v>
      </c>
      <c r="G98" s="38">
        <v>0</v>
      </c>
      <c r="H98" s="38">
        <v>0</v>
      </c>
      <c r="I98" s="39">
        <f t="shared" si="6"/>
        <v>0</v>
      </c>
      <c r="J98" s="40">
        <f>IF(A98="","",IF(H98=0,0,H98/(Settings!B6*12)))</f>
        <v>0</v>
      </c>
      <c r="K98" s="28">
        <v>0</v>
      </c>
      <c r="L98" s="41">
        <v>3.5</v>
      </c>
      <c r="M98" s="28">
        <v>0</v>
      </c>
      <c r="N98" s="29">
        <f t="shared" si="7"/>
        <v>0</v>
      </c>
      <c r="O98" s="28">
        <v>0</v>
      </c>
      <c r="P98" s="28">
        <v>0</v>
      </c>
      <c r="Q98" s="40">
        <f t="shared" si="8"/>
        <v>0</v>
      </c>
      <c r="R98" s="28">
        <v>12</v>
      </c>
    </row>
    <row r="99" spans="1:18" ht="15" customHeight="1" x14ac:dyDescent="0.2">
      <c r="A99" s="37" t="str">
        <f>IF('Employee Master'!B99="","",'Employee Master'!B99)</f>
        <v>CAS-RT_2403</v>
      </c>
      <c r="B99" s="37" t="str">
        <f>IF('Employee Master'!B99="","",'Employee Master'!C99)</f>
        <v>Richa.A</v>
      </c>
      <c r="C99" s="37" t="str">
        <f>IF('Employee Master'!B99="","",'Employee Master'!D99)</f>
        <v>Remote</v>
      </c>
      <c r="D99" s="37" t="str">
        <f>IF('Employee Master'!B99="","",'Employee Master'!E99)</f>
        <v>Sr. Associate</v>
      </c>
      <c r="E99" s="37" t="str">
        <f>IF('Employee Master'!B99="","",'Employee Master'!F99)</f>
        <v>Accounting</v>
      </c>
      <c r="F99" s="37" t="str">
        <f>IF('Employee Master'!B99="","",'Employee Master'!G99)</f>
        <v>Ayushi</v>
      </c>
      <c r="G99" s="38">
        <v>184.3</v>
      </c>
      <c r="H99" s="38">
        <v>184.3</v>
      </c>
      <c r="I99" s="39">
        <f t="shared" si="6"/>
        <v>0</v>
      </c>
      <c r="J99" s="40">
        <f>IF(A99="","",IF(H99=0,0,H99/(Settings!B6*12)))</f>
        <v>9.5989583333333336E-2</v>
      </c>
      <c r="K99" s="28">
        <v>2</v>
      </c>
      <c r="L99" s="41">
        <v>3.5</v>
      </c>
      <c r="M99" s="28">
        <v>0</v>
      </c>
      <c r="N99" s="29">
        <f t="shared" si="7"/>
        <v>0</v>
      </c>
      <c r="O99" s="28">
        <v>0</v>
      </c>
      <c r="P99" s="28">
        <v>0</v>
      </c>
      <c r="Q99" s="40">
        <f t="shared" si="8"/>
        <v>0</v>
      </c>
      <c r="R99" s="28">
        <v>12</v>
      </c>
    </row>
    <row r="100" spans="1:18" ht="15" customHeight="1" x14ac:dyDescent="0.2">
      <c r="A100" s="37" t="str">
        <f>IF('Employee Master'!B100="","",'Employee Master'!B100)</f>
        <v>CASUS-IH_004</v>
      </c>
      <c r="B100" s="37" t="str">
        <f>IF('Employee Master'!B100="","",'Employee Master'!C100)</f>
        <v>brandon</v>
      </c>
      <c r="C100" s="37" t="str">
        <f>IF('Employee Master'!B100="","",'Employee Master'!D100)</f>
        <v>Remote</v>
      </c>
      <c r="D100" s="37" t="str">
        <f>IF('Employee Master'!B100="","",'Employee Master'!E100)</f>
        <v>Marketing</v>
      </c>
      <c r="E100" s="37" t="str">
        <f>IF('Employee Master'!B100="","",'Employee Master'!F100)</f>
        <v>Marketing</v>
      </c>
      <c r="F100" s="37" t="str">
        <f>IF('Employee Master'!B100="","",'Employee Master'!G100)</f>
        <v>Angela</v>
      </c>
      <c r="G100" s="38">
        <v>173.8</v>
      </c>
      <c r="H100" s="38">
        <v>173.8</v>
      </c>
      <c r="I100" s="39">
        <f t="shared" ref="I100:I131" si="9">IF(A100="","",G100-H100)</f>
        <v>0</v>
      </c>
      <c r="J100" s="40">
        <f>IF(A100="","",IF(H100=0,0,H100/(Settings!B6*12)))</f>
        <v>9.0520833333333342E-2</v>
      </c>
      <c r="K100" s="28">
        <v>6</v>
      </c>
      <c r="L100" s="41">
        <v>3.5</v>
      </c>
      <c r="M100" s="28">
        <v>0</v>
      </c>
      <c r="N100" s="29">
        <f t="shared" ref="N100:N131" si="10">IF(A100="","",IF(H100=0,0,M100/H100))</f>
        <v>0</v>
      </c>
      <c r="O100" s="28">
        <v>0</v>
      </c>
      <c r="P100" s="28">
        <v>0</v>
      </c>
      <c r="Q100" s="40">
        <f t="shared" ref="Q100:Q131" si="11">IF(A100="","",IF(O100=0,0,1-P100/O100))</f>
        <v>0</v>
      </c>
      <c r="R100" s="28">
        <v>12</v>
      </c>
    </row>
    <row r="101" spans="1:18" ht="23.25" customHeight="1" x14ac:dyDescent="0.2">
      <c r="A101" s="37" t="str">
        <f>IF('Employee Master'!B101="","",'Employee Master'!B101)</f>
        <v>CAS-RT_2404</v>
      </c>
      <c r="B101" s="37" t="str">
        <f>IF('Employee Master'!B101="","",'Employee Master'!C101)</f>
        <v>Ankita.S</v>
      </c>
      <c r="C101" s="37" t="str">
        <f>IF('Employee Master'!B101="","",'Employee Master'!D101)</f>
        <v>Remote</v>
      </c>
      <c r="D101" s="37" t="str">
        <f>IF('Employee Master'!B101="","",'Employee Master'!E101)</f>
        <v>Sr. Associate</v>
      </c>
      <c r="E101" s="37" t="str">
        <f>IF('Employee Master'!B101="","",'Employee Master'!F101)</f>
        <v>Accounting</v>
      </c>
      <c r="F101" s="37" t="str">
        <f>IF('Employee Master'!B101="","",'Employee Master'!G101)</f>
        <v>Nikita Shah</v>
      </c>
      <c r="G101" s="38">
        <v>136.5</v>
      </c>
      <c r="H101" s="38">
        <v>136.5</v>
      </c>
      <c r="I101" s="39">
        <f t="shared" si="9"/>
        <v>0</v>
      </c>
      <c r="J101" s="40">
        <f>IF(A101="","",IF(H101=0,0,H101/(Settings!B6*12)))</f>
        <v>7.1093749999999997E-2</v>
      </c>
      <c r="K101" s="28">
        <v>1</v>
      </c>
      <c r="L101" s="41">
        <v>3.5</v>
      </c>
      <c r="M101" s="28">
        <v>0</v>
      </c>
      <c r="N101" s="29">
        <f t="shared" si="10"/>
        <v>0</v>
      </c>
      <c r="O101" s="28">
        <v>0</v>
      </c>
      <c r="P101" s="28">
        <v>0</v>
      </c>
      <c r="Q101" s="40">
        <f t="shared" si="11"/>
        <v>0</v>
      </c>
      <c r="R101" s="28">
        <v>12</v>
      </c>
    </row>
    <row r="102" spans="1:18" ht="15" customHeight="1" x14ac:dyDescent="0.2">
      <c r="A102" s="37" t="str">
        <f>IF('Employee Master'!B102="","",'Employee Master'!B102)</f>
        <v>CAS-RT_2406</v>
      </c>
      <c r="B102" s="37" t="str">
        <f>IF('Employee Master'!B102="","",'Employee Master'!C102)</f>
        <v>Garima.B</v>
      </c>
      <c r="C102" s="37" t="str">
        <f>IF('Employee Master'!B102="","",'Employee Master'!D102)</f>
        <v>Remote</v>
      </c>
      <c r="D102" s="37" t="str">
        <f>IF('Employee Master'!B102="","",'Employee Master'!E102)</f>
        <v>Asst. Team Lead</v>
      </c>
      <c r="E102" s="37" t="str">
        <f>IF('Employee Master'!B102="","",'Employee Master'!F102)</f>
        <v>Accounting</v>
      </c>
      <c r="F102" s="37" t="str">
        <f>IF('Employee Master'!B102="","",'Employee Master'!G102)</f>
        <v>Nikita Shah</v>
      </c>
      <c r="G102" s="38">
        <v>169.5</v>
      </c>
      <c r="H102" s="38">
        <v>169.5</v>
      </c>
      <c r="I102" s="39">
        <f t="shared" si="9"/>
        <v>0</v>
      </c>
      <c r="J102" s="40">
        <f>IF(A102="","",IF(H102=0,0,H102/(Settings!B6*12)))</f>
        <v>8.8281250000000006E-2</v>
      </c>
      <c r="K102" s="28">
        <v>6</v>
      </c>
      <c r="L102" s="41">
        <v>3.5</v>
      </c>
      <c r="M102" s="28">
        <v>0</v>
      </c>
      <c r="N102" s="29">
        <f t="shared" si="10"/>
        <v>0</v>
      </c>
      <c r="O102" s="28">
        <v>0</v>
      </c>
      <c r="P102" s="28">
        <v>0</v>
      </c>
      <c r="Q102" s="40">
        <f t="shared" si="11"/>
        <v>0</v>
      </c>
      <c r="R102" s="28">
        <v>12</v>
      </c>
    </row>
    <row r="103" spans="1:18" ht="15" customHeight="1" x14ac:dyDescent="0.2">
      <c r="A103" s="37" t="str">
        <f>IF('Employee Master'!B103="","",'Employee Master'!B103)</f>
        <v>CAS-RT_2407</v>
      </c>
      <c r="B103" s="37" t="str">
        <f>IF('Employee Master'!B103="","",'Employee Master'!C103)</f>
        <v>Priyanka.P</v>
      </c>
      <c r="C103" s="37" t="str">
        <f>IF('Employee Master'!B103="","",'Employee Master'!D103)</f>
        <v>Remote</v>
      </c>
      <c r="D103" s="37" t="str">
        <f>IF('Employee Master'!B103="","",'Employee Master'!E103)</f>
        <v>Sr. Associate</v>
      </c>
      <c r="E103" s="37" t="str">
        <f>IF('Employee Master'!B103="","",'Employee Master'!F103)</f>
        <v>Accounting</v>
      </c>
      <c r="F103" s="37" t="str">
        <f>IF('Employee Master'!B103="","",'Employee Master'!G103)</f>
        <v>Nikita Shah</v>
      </c>
      <c r="G103" s="38">
        <v>0</v>
      </c>
      <c r="H103" s="38">
        <v>0</v>
      </c>
      <c r="I103" s="39">
        <f t="shared" si="9"/>
        <v>0</v>
      </c>
      <c r="J103" s="40">
        <f>IF(A103="","",IF(H103=0,0,H103/(Settings!B6*12)))</f>
        <v>0</v>
      </c>
      <c r="K103" s="28">
        <v>0</v>
      </c>
      <c r="L103" s="41">
        <v>3.5</v>
      </c>
      <c r="M103" s="28">
        <v>0</v>
      </c>
      <c r="N103" s="29">
        <f t="shared" si="10"/>
        <v>0</v>
      </c>
      <c r="O103" s="28">
        <v>0</v>
      </c>
      <c r="P103" s="28">
        <v>0</v>
      </c>
      <c r="Q103" s="40">
        <f t="shared" si="11"/>
        <v>0</v>
      </c>
      <c r="R103" s="28">
        <v>12</v>
      </c>
    </row>
    <row r="104" spans="1:18" ht="15" customHeight="1" x14ac:dyDescent="0.2">
      <c r="A104" s="37" t="str">
        <f>IF('Employee Master'!B104="","",'Employee Master'!B104)</f>
        <v>CAS-RT_2408</v>
      </c>
      <c r="B104" s="37" t="str">
        <f>IF('Employee Master'!B104="","",'Employee Master'!C104)</f>
        <v>Jyoti.U</v>
      </c>
      <c r="C104" s="37" t="str">
        <f>IF('Employee Master'!B104="","",'Employee Master'!D104)</f>
        <v>Remote</v>
      </c>
      <c r="D104" s="37" t="str">
        <f>IF('Employee Master'!B104="","",'Employee Master'!E104)</f>
        <v>Sr. Associate</v>
      </c>
      <c r="E104" s="37" t="str">
        <f>IF('Employee Master'!B104="","",'Employee Master'!F104)</f>
        <v>Accounting</v>
      </c>
      <c r="F104" s="37" t="str">
        <f>IF('Employee Master'!B104="","",'Employee Master'!G104)</f>
        <v>Jasleen.D</v>
      </c>
      <c r="G104" s="38">
        <v>49.9</v>
      </c>
      <c r="H104" s="38">
        <v>49.9</v>
      </c>
      <c r="I104" s="39">
        <f t="shared" si="9"/>
        <v>0</v>
      </c>
      <c r="J104" s="40">
        <f>IF(A104="","",IF(H104=0,0,H104/(Settings!B6*12)))</f>
        <v>2.5989583333333333E-2</v>
      </c>
      <c r="K104" s="28">
        <v>5</v>
      </c>
      <c r="L104" s="41">
        <v>3.5</v>
      </c>
      <c r="M104" s="28">
        <v>0</v>
      </c>
      <c r="N104" s="29">
        <f t="shared" si="10"/>
        <v>0</v>
      </c>
      <c r="O104" s="28">
        <v>0</v>
      </c>
      <c r="P104" s="28">
        <v>0</v>
      </c>
      <c r="Q104" s="40">
        <f t="shared" si="11"/>
        <v>0</v>
      </c>
      <c r="R104" s="28">
        <v>12</v>
      </c>
    </row>
    <row r="105" spans="1:18" ht="15" customHeight="1" x14ac:dyDescent="0.2">
      <c r="A105" s="37" t="str">
        <f>IF('Employee Master'!B105="","",'Employee Master'!B105)</f>
        <v>CAS-RT_2409</v>
      </c>
      <c r="B105" s="37" t="str">
        <f>IF('Employee Master'!B105="","",'Employee Master'!C105)</f>
        <v>Rajvi.S</v>
      </c>
      <c r="C105" s="37" t="str">
        <f>IF('Employee Master'!B105="","",'Employee Master'!D105)</f>
        <v>Remote</v>
      </c>
      <c r="D105" s="37" t="str">
        <f>IF('Employee Master'!B105="","",'Employee Master'!E105)</f>
        <v>Sr. Associate</v>
      </c>
      <c r="E105" s="37" t="str">
        <f>IF('Employee Master'!B105="","",'Employee Master'!F105)</f>
        <v>Accounting</v>
      </c>
      <c r="F105" s="37" t="str">
        <f>IF('Employee Master'!B105="","",'Employee Master'!G105)</f>
        <v>Jasleen.D</v>
      </c>
      <c r="G105" s="38">
        <v>49.1</v>
      </c>
      <c r="H105" s="38">
        <v>49.1</v>
      </c>
      <c r="I105" s="39">
        <f t="shared" si="9"/>
        <v>0</v>
      </c>
      <c r="J105" s="40">
        <f>IF(A105="","",IF(H105=0,0,H105/(Settings!B6*12)))</f>
        <v>2.5572916666666667E-2</v>
      </c>
      <c r="K105" s="28">
        <v>3</v>
      </c>
      <c r="L105" s="41">
        <v>3.5</v>
      </c>
      <c r="M105" s="28">
        <v>0</v>
      </c>
      <c r="N105" s="29">
        <f t="shared" si="10"/>
        <v>0</v>
      </c>
      <c r="O105" s="28">
        <v>0</v>
      </c>
      <c r="P105" s="28">
        <v>0</v>
      </c>
      <c r="Q105" s="40">
        <f t="shared" si="11"/>
        <v>0</v>
      </c>
      <c r="R105" s="28">
        <v>12</v>
      </c>
    </row>
    <row r="106" spans="1:18" ht="15" customHeight="1" x14ac:dyDescent="0.2">
      <c r="A106" s="37" t="str">
        <f>IF('Employee Master'!B106="","",'Employee Master'!B106)</f>
        <v>CAS-RT_2411</v>
      </c>
      <c r="B106" s="37" t="str">
        <f>IF('Employee Master'!B106="","",'Employee Master'!C106)</f>
        <v>Komal.G</v>
      </c>
      <c r="C106" s="37" t="str">
        <f>IF('Employee Master'!B106="","",'Employee Master'!D106)</f>
        <v>Remote</v>
      </c>
      <c r="D106" s="37" t="str">
        <f>IF('Employee Master'!B106="","",'Employee Master'!E106)</f>
        <v>Sr. Associate</v>
      </c>
      <c r="E106" s="37" t="str">
        <f>IF('Employee Master'!B106="","",'Employee Master'!F106)</f>
        <v>Accounting</v>
      </c>
      <c r="F106" s="37" t="str">
        <f>IF('Employee Master'!B106="","",'Employee Master'!G106)</f>
        <v>Jasleen.D</v>
      </c>
      <c r="G106" s="38">
        <v>95.3</v>
      </c>
      <c r="H106" s="38">
        <v>95.3</v>
      </c>
      <c r="I106" s="39">
        <f t="shared" si="9"/>
        <v>0</v>
      </c>
      <c r="J106" s="40">
        <f>IF(A106="","",IF(H106=0,0,H106/(Settings!B6*12)))</f>
        <v>4.9635416666666668E-2</v>
      </c>
      <c r="K106" s="28">
        <v>1</v>
      </c>
      <c r="L106" s="41">
        <v>3.5</v>
      </c>
      <c r="M106" s="28">
        <v>0</v>
      </c>
      <c r="N106" s="29">
        <f t="shared" si="10"/>
        <v>0</v>
      </c>
      <c r="O106" s="28">
        <v>0</v>
      </c>
      <c r="P106" s="28">
        <v>0</v>
      </c>
      <c r="Q106" s="40">
        <f t="shared" si="11"/>
        <v>0</v>
      </c>
      <c r="R106" s="28">
        <v>12</v>
      </c>
    </row>
    <row r="107" spans="1:18" ht="15" customHeight="1" x14ac:dyDescent="0.2">
      <c r="A107" s="37" t="str">
        <f>IF('Employee Master'!B107="","",'Employee Master'!B107)</f>
        <v>CAS-RT_2412</v>
      </c>
      <c r="B107" s="37" t="str">
        <f>IF('Employee Master'!B107="","",'Employee Master'!C107)</f>
        <v>Swati.S</v>
      </c>
      <c r="C107" s="37" t="str">
        <f>IF('Employee Master'!B107="","",'Employee Master'!D107)</f>
        <v>Remote</v>
      </c>
      <c r="D107" s="37" t="str">
        <f>IF('Employee Master'!B107="","",'Employee Master'!E107)</f>
        <v>Asst. Team Lead</v>
      </c>
      <c r="E107" s="37" t="str">
        <f>IF('Employee Master'!B107="","",'Employee Master'!F107)</f>
        <v>Accounting</v>
      </c>
      <c r="F107" s="37" t="str">
        <f>IF('Employee Master'!B107="","",'Employee Master'!G107)</f>
        <v>Jasleen.D</v>
      </c>
      <c r="G107" s="38">
        <v>0</v>
      </c>
      <c r="H107" s="38">
        <v>0</v>
      </c>
      <c r="I107" s="39">
        <f t="shared" si="9"/>
        <v>0</v>
      </c>
      <c r="J107" s="40">
        <f>IF(A107="","",IF(H107=0,0,H107/(Settings!B6*12)))</f>
        <v>0</v>
      </c>
      <c r="K107" s="28">
        <v>0</v>
      </c>
      <c r="L107" s="41">
        <v>3.5</v>
      </c>
      <c r="M107" s="28">
        <v>0</v>
      </c>
      <c r="N107" s="29">
        <f t="shared" si="10"/>
        <v>0</v>
      </c>
      <c r="O107" s="28">
        <v>0</v>
      </c>
      <c r="P107" s="28">
        <v>0</v>
      </c>
      <c r="Q107" s="40">
        <f t="shared" si="11"/>
        <v>0</v>
      </c>
      <c r="R107" s="28">
        <v>12</v>
      </c>
    </row>
    <row r="108" spans="1:18" ht="15" customHeight="1" x14ac:dyDescent="0.2">
      <c r="A108" s="37" t="str">
        <f>IF('Employee Master'!B108="","",'Employee Master'!B108)</f>
        <v>CAS-RT_2413</v>
      </c>
      <c r="B108" s="37" t="str">
        <f>IF('Employee Master'!B108="","",'Employee Master'!C108)</f>
        <v>Neha.S</v>
      </c>
      <c r="C108" s="37" t="str">
        <f>IF('Employee Master'!B108="","",'Employee Master'!D108)</f>
        <v>Remote</v>
      </c>
      <c r="D108" s="37" t="str">
        <f>IF('Employee Master'!B108="","",'Employee Master'!E108)</f>
        <v>Asst. Team Lead</v>
      </c>
      <c r="E108" s="37" t="str">
        <f>IF('Employee Master'!B108="","",'Employee Master'!F108)</f>
        <v>Accounting</v>
      </c>
      <c r="F108" s="37" t="str">
        <f>IF('Employee Master'!B108="","",'Employee Master'!G108)</f>
        <v>Nikita Shah</v>
      </c>
      <c r="G108" s="38">
        <v>48</v>
      </c>
      <c r="H108" s="38">
        <v>48</v>
      </c>
      <c r="I108" s="39">
        <f t="shared" si="9"/>
        <v>0</v>
      </c>
      <c r="J108" s="40">
        <f>IF(A108="","",IF(H108=0,0,H108/(Settings!B6*12)))</f>
        <v>2.5000000000000001E-2</v>
      </c>
      <c r="K108" s="28">
        <v>1</v>
      </c>
      <c r="L108" s="41">
        <v>3.5</v>
      </c>
      <c r="M108" s="28">
        <v>0</v>
      </c>
      <c r="N108" s="29">
        <f t="shared" si="10"/>
        <v>0</v>
      </c>
      <c r="O108" s="28">
        <v>0</v>
      </c>
      <c r="P108" s="28">
        <v>0</v>
      </c>
      <c r="Q108" s="40">
        <f t="shared" si="11"/>
        <v>0</v>
      </c>
      <c r="R108" s="28">
        <v>12</v>
      </c>
    </row>
    <row r="109" spans="1:18" ht="15" customHeight="1" x14ac:dyDescent="0.2">
      <c r="A109" s="37" t="str">
        <f>IF('Employee Master'!B109="","",'Employee Master'!B109)</f>
        <v>CAS-RT_2414</v>
      </c>
      <c r="B109" s="37" t="str">
        <f>IF('Employee Master'!B109="","",'Employee Master'!C109)</f>
        <v>Navneet.S</v>
      </c>
      <c r="C109" s="37" t="str">
        <f>IF('Employee Master'!B109="","",'Employee Master'!D109)</f>
        <v>Remote</v>
      </c>
      <c r="D109" s="37" t="str">
        <f>IF('Employee Master'!B109="","",'Employee Master'!E109)</f>
        <v>Sr. Associate</v>
      </c>
      <c r="E109" s="37" t="str">
        <f>IF('Employee Master'!B109="","",'Employee Master'!F109)</f>
        <v>Accounting</v>
      </c>
      <c r="F109" s="37" t="str">
        <f>IF('Employee Master'!B109="","",'Employee Master'!G109)</f>
        <v>Jasleen.D</v>
      </c>
      <c r="G109" s="38">
        <v>121.9</v>
      </c>
      <c r="H109" s="38">
        <v>121.9</v>
      </c>
      <c r="I109" s="39">
        <f t="shared" si="9"/>
        <v>0</v>
      </c>
      <c r="J109" s="40">
        <f>IF(A109="","",IF(H109=0,0,H109/(Settings!B6*12)))</f>
        <v>6.3489583333333335E-2</v>
      </c>
      <c r="K109" s="28">
        <v>2</v>
      </c>
      <c r="L109" s="41">
        <v>3.5</v>
      </c>
      <c r="M109" s="28">
        <v>0</v>
      </c>
      <c r="N109" s="29">
        <f t="shared" si="10"/>
        <v>0</v>
      </c>
      <c r="O109" s="28">
        <v>0</v>
      </c>
      <c r="P109" s="28">
        <v>0</v>
      </c>
      <c r="Q109" s="40">
        <f t="shared" si="11"/>
        <v>0</v>
      </c>
      <c r="R109" s="28">
        <v>12</v>
      </c>
    </row>
    <row r="110" spans="1:18" ht="15" customHeight="1" x14ac:dyDescent="0.2">
      <c r="A110" s="37" t="str">
        <f>IF('Employee Master'!B110="","",'Employee Master'!B110)</f>
        <v>CAS-IH_1173</v>
      </c>
      <c r="B110" s="37" t="str">
        <f>IF('Employee Master'!B110="","",'Employee Master'!C110)</f>
        <v>Ishita.M</v>
      </c>
      <c r="C110" s="37" t="str">
        <f>IF('Employee Master'!B110="","",'Employee Master'!D110)</f>
        <v>Remote</v>
      </c>
      <c r="D110" s="37" t="str">
        <f>IF('Employee Master'!B110="","",'Employee Master'!E110)</f>
        <v>Sr. Associate</v>
      </c>
      <c r="E110" s="37" t="str">
        <f>IF('Employee Master'!B110="","",'Employee Master'!F110)</f>
        <v>Individual Tax</v>
      </c>
      <c r="F110" s="37" t="str">
        <f>IF('Employee Master'!B110="","",'Employee Master'!G110)</f>
        <v>Smriti Shah</v>
      </c>
      <c r="G110" s="38">
        <v>163</v>
      </c>
      <c r="H110" s="38">
        <v>163</v>
      </c>
      <c r="I110" s="39">
        <f t="shared" si="9"/>
        <v>0</v>
      </c>
      <c r="J110" s="40">
        <f>IF(A110="","",IF(H110=0,0,H110/(Settings!B6*12)))</f>
        <v>8.4895833333333337E-2</v>
      </c>
      <c r="K110" s="28">
        <v>5</v>
      </c>
      <c r="L110" s="41">
        <v>3.5</v>
      </c>
      <c r="M110" s="28">
        <v>0</v>
      </c>
      <c r="N110" s="29">
        <f t="shared" si="10"/>
        <v>0</v>
      </c>
      <c r="O110" s="28">
        <v>0</v>
      </c>
      <c r="P110" s="28">
        <v>0</v>
      </c>
      <c r="Q110" s="40">
        <f t="shared" si="11"/>
        <v>0</v>
      </c>
      <c r="R110" s="28">
        <v>12</v>
      </c>
    </row>
    <row r="111" spans="1:18" ht="15" customHeight="1" x14ac:dyDescent="0.2">
      <c r="A111" s="37" t="str">
        <f>IF('Employee Master'!B111="","",'Employee Master'!B111)</f>
        <v>CAS-IH_1174</v>
      </c>
      <c r="B111" s="37" t="str">
        <f>IF('Employee Master'!B111="","",'Employee Master'!C111)</f>
        <v>Arya.N</v>
      </c>
      <c r="C111" s="37" t="str">
        <f>IF('Employee Master'!B111="","",'Employee Master'!D111)</f>
        <v>Remote</v>
      </c>
      <c r="D111" s="37" t="str">
        <f>IF('Employee Master'!B111="","",'Employee Master'!E111)</f>
        <v>Sr. Associate</v>
      </c>
      <c r="E111" s="37" t="str">
        <f>IF('Employee Master'!B111="","",'Employee Master'!F111)</f>
        <v>Individual Tax</v>
      </c>
      <c r="F111" s="37" t="str">
        <f>IF('Employee Master'!B111="","",'Employee Master'!G111)</f>
        <v>Smriti Shah</v>
      </c>
      <c r="G111" s="38">
        <v>61.5</v>
      </c>
      <c r="H111" s="38">
        <v>57.8</v>
      </c>
      <c r="I111" s="39">
        <f t="shared" si="9"/>
        <v>3.7000000000000028</v>
      </c>
      <c r="J111" s="40">
        <f>IF(A111="","",IF(H111=0,0,H111/(Settings!B6*12)))</f>
        <v>3.0104166666666664E-2</v>
      </c>
      <c r="K111" s="28">
        <v>2</v>
      </c>
      <c r="L111" s="41">
        <v>3.5</v>
      </c>
      <c r="M111" s="28">
        <v>0</v>
      </c>
      <c r="N111" s="29">
        <f t="shared" si="10"/>
        <v>0</v>
      </c>
      <c r="O111" s="28">
        <v>0</v>
      </c>
      <c r="P111" s="28">
        <v>0</v>
      </c>
      <c r="Q111" s="40">
        <f t="shared" si="11"/>
        <v>0</v>
      </c>
      <c r="R111" s="28">
        <v>12</v>
      </c>
    </row>
    <row r="112" spans="1:18" ht="15" customHeight="1" x14ac:dyDescent="0.2">
      <c r="A112" s="37" t="str">
        <f>IF('Employee Master'!B112="","",'Employee Master'!B112)</f>
        <v>CAS-IH_1176</v>
      </c>
      <c r="B112" s="37" t="str">
        <f>IF('Employee Master'!B112="","",'Employee Master'!C112)</f>
        <v>Gaorav.C</v>
      </c>
      <c r="C112" s="37" t="str">
        <f>IF('Employee Master'!B112="","",'Employee Master'!D112)</f>
        <v>Remote</v>
      </c>
      <c r="D112" s="37" t="str">
        <f>IF('Employee Master'!B112="","",'Employee Master'!E112)</f>
        <v>Sr. Associate</v>
      </c>
      <c r="E112" s="37" t="str">
        <f>IF('Employee Master'!B112="","",'Employee Master'!F112)</f>
        <v>Individual Tax</v>
      </c>
      <c r="F112" s="37" t="str">
        <f>IF('Employee Master'!B112="","",'Employee Master'!G112)</f>
        <v>Smriti Shah</v>
      </c>
      <c r="G112" s="38">
        <v>143.4</v>
      </c>
      <c r="H112" s="38">
        <v>143.4</v>
      </c>
      <c r="I112" s="39">
        <f t="shared" si="9"/>
        <v>0</v>
      </c>
      <c r="J112" s="40">
        <f>IF(A112="","",IF(H112=0,0,H112/(Settings!B6*12)))</f>
        <v>7.4687500000000004E-2</v>
      </c>
      <c r="K112" s="28">
        <v>2</v>
      </c>
      <c r="L112" s="41">
        <v>3.5</v>
      </c>
      <c r="M112" s="28">
        <v>0</v>
      </c>
      <c r="N112" s="29">
        <f t="shared" si="10"/>
        <v>0</v>
      </c>
      <c r="O112" s="28">
        <v>0</v>
      </c>
      <c r="P112" s="28">
        <v>0</v>
      </c>
      <c r="Q112" s="40">
        <f t="shared" si="11"/>
        <v>0</v>
      </c>
      <c r="R112" s="28">
        <v>12</v>
      </c>
    </row>
    <row r="113" spans="1:18" ht="15" customHeight="1" x14ac:dyDescent="0.2">
      <c r="A113" s="37" t="str">
        <f>IF('Employee Master'!B113="","",'Employee Master'!B113)</f>
        <v>CAS-RT_2415</v>
      </c>
      <c r="B113" s="37" t="str">
        <f>IF('Employee Master'!B113="","",'Employee Master'!C113)</f>
        <v>Isha.M</v>
      </c>
      <c r="C113" s="37" t="str">
        <f>IF('Employee Master'!B113="","",'Employee Master'!D113)</f>
        <v>Remote</v>
      </c>
      <c r="D113" s="37" t="str">
        <f>IF('Employee Master'!B113="","",'Employee Master'!E113)</f>
        <v>Sr. Associate</v>
      </c>
      <c r="E113" s="37" t="str">
        <f>IF('Employee Master'!B113="","",'Employee Master'!F113)</f>
        <v>Individual Tax</v>
      </c>
      <c r="F113" s="37" t="str">
        <f>IF('Employee Master'!B113="","",'Employee Master'!G113)</f>
        <v>Smriti Shah</v>
      </c>
      <c r="G113" s="38">
        <v>156.5</v>
      </c>
      <c r="H113" s="38">
        <v>156.5</v>
      </c>
      <c r="I113" s="39">
        <f t="shared" si="9"/>
        <v>0</v>
      </c>
      <c r="J113" s="40">
        <f>IF(A113="","",IF(H113=0,0,H113/(Settings!B6*12)))</f>
        <v>8.1510416666666669E-2</v>
      </c>
      <c r="K113" s="28">
        <v>3</v>
      </c>
      <c r="L113" s="41">
        <v>3.5</v>
      </c>
      <c r="M113" s="28">
        <v>0</v>
      </c>
      <c r="N113" s="29">
        <f t="shared" si="10"/>
        <v>0</v>
      </c>
      <c r="O113" s="28">
        <v>0</v>
      </c>
      <c r="P113" s="28">
        <v>0</v>
      </c>
      <c r="Q113" s="40">
        <f t="shared" si="11"/>
        <v>0</v>
      </c>
      <c r="R113" s="28">
        <v>12</v>
      </c>
    </row>
    <row r="114" spans="1:18" ht="15" customHeight="1" x14ac:dyDescent="0.2">
      <c r="A114" s="37" t="str">
        <f>IF('Employee Master'!B114="","",'Employee Master'!B114)</f>
        <v>CAS-RT_2417</v>
      </c>
      <c r="B114" s="37" t="str">
        <f>IF('Employee Master'!B114="","",'Employee Master'!C114)</f>
        <v>Aravind.J</v>
      </c>
      <c r="C114" s="37" t="str">
        <f>IF('Employee Master'!B114="","",'Employee Master'!D114)</f>
        <v>Remote</v>
      </c>
      <c r="D114" s="37" t="str">
        <f>IF('Employee Master'!B114="","",'Employee Master'!E114)</f>
        <v>Sr. Associate</v>
      </c>
      <c r="E114" s="37" t="str">
        <f>IF('Employee Master'!B114="","",'Employee Master'!F114)</f>
        <v>Individual Tax</v>
      </c>
      <c r="F114" s="37" t="str">
        <f>IF('Employee Master'!B114="","",'Employee Master'!G114)</f>
        <v>Smriti Shah</v>
      </c>
      <c r="G114" s="38">
        <v>57.7</v>
      </c>
      <c r="H114" s="38">
        <v>57.7</v>
      </c>
      <c r="I114" s="39">
        <f t="shared" si="9"/>
        <v>0</v>
      </c>
      <c r="J114" s="40">
        <f>IF(A114="","",IF(H114=0,0,H114/(Settings!B6*12)))</f>
        <v>3.0052083333333333E-2</v>
      </c>
      <c r="K114" s="28">
        <v>3</v>
      </c>
      <c r="L114" s="41">
        <v>3.5</v>
      </c>
      <c r="M114" s="28">
        <v>0</v>
      </c>
      <c r="N114" s="29">
        <f t="shared" si="10"/>
        <v>0</v>
      </c>
      <c r="O114" s="28">
        <v>0</v>
      </c>
      <c r="P114" s="28">
        <v>0</v>
      </c>
      <c r="Q114" s="40">
        <f t="shared" si="11"/>
        <v>0</v>
      </c>
      <c r="R114" s="28">
        <v>12</v>
      </c>
    </row>
    <row r="115" spans="1:18" ht="15" customHeight="1" x14ac:dyDescent="0.2">
      <c r="A115" s="37" t="str">
        <f>IF('Employee Master'!B115="","",'Employee Master'!B115)</f>
        <v>CAS-RT_2418</v>
      </c>
      <c r="B115" s="37" t="str">
        <f>IF('Employee Master'!B115="","",'Employee Master'!C115)</f>
        <v>Archana.K</v>
      </c>
      <c r="C115" s="37" t="str">
        <f>IF('Employee Master'!B115="","",'Employee Master'!D115)</f>
        <v>Remote</v>
      </c>
      <c r="D115" s="37" t="str">
        <f>IF('Employee Master'!B115="","",'Employee Master'!E115)</f>
        <v>Sr. Associate</v>
      </c>
      <c r="E115" s="37" t="str">
        <f>IF('Employee Master'!B115="","",'Employee Master'!F115)</f>
        <v>Individual Tax</v>
      </c>
      <c r="F115" s="37" t="str">
        <f>IF('Employee Master'!B115="","",'Employee Master'!G115)</f>
        <v>Smriti Shah</v>
      </c>
      <c r="G115" s="38">
        <v>71.5</v>
      </c>
      <c r="H115" s="38">
        <v>71.5</v>
      </c>
      <c r="I115" s="39">
        <f t="shared" si="9"/>
        <v>0</v>
      </c>
      <c r="J115" s="40">
        <f>IF(A115="","",IF(H115=0,0,H115/(Settings!B6*12)))</f>
        <v>3.7239583333333333E-2</v>
      </c>
      <c r="K115" s="28">
        <v>5</v>
      </c>
      <c r="L115" s="41">
        <v>3.5</v>
      </c>
      <c r="M115" s="28">
        <v>0</v>
      </c>
      <c r="N115" s="29">
        <f t="shared" si="10"/>
        <v>0</v>
      </c>
      <c r="O115" s="28">
        <v>0</v>
      </c>
      <c r="P115" s="28">
        <v>0</v>
      </c>
      <c r="Q115" s="40">
        <f t="shared" si="11"/>
        <v>0</v>
      </c>
      <c r="R115" s="28">
        <v>12</v>
      </c>
    </row>
    <row r="116" spans="1:18" ht="15" customHeight="1" x14ac:dyDescent="0.2">
      <c r="A116" s="37" t="str">
        <f>IF('Employee Master'!B116="","",'Employee Master'!B116)</f>
        <v>CAS-RT_2419</v>
      </c>
      <c r="B116" s="37" t="str">
        <f>IF('Employee Master'!B116="","",'Employee Master'!C116)</f>
        <v>Jinali.S</v>
      </c>
      <c r="C116" s="37" t="str">
        <f>IF('Employee Master'!B116="","",'Employee Master'!D116)</f>
        <v>Remote</v>
      </c>
      <c r="D116" s="37" t="str">
        <f>IF('Employee Master'!B116="","",'Employee Master'!E116)</f>
        <v>Sr. Associate</v>
      </c>
      <c r="E116" s="37" t="str">
        <f>IF('Employee Master'!B116="","",'Employee Master'!F116)</f>
        <v>Individual Tax</v>
      </c>
      <c r="F116" s="37" t="str">
        <f>IF('Employee Master'!B116="","",'Employee Master'!G116)</f>
        <v>Smriti Shah</v>
      </c>
      <c r="G116" s="38">
        <v>84</v>
      </c>
      <c r="H116" s="38">
        <v>84</v>
      </c>
      <c r="I116" s="39">
        <f t="shared" si="9"/>
        <v>0</v>
      </c>
      <c r="J116" s="40">
        <f>IF(A116="","",IF(H116=0,0,H116/(Settings!B6*12)))</f>
        <v>4.3749999999999997E-2</v>
      </c>
      <c r="K116" s="28">
        <v>4</v>
      </c>
      <c r="L116" s="41">
        <v>3.5</v>
      </c>
      <c r="M116" s="28">
        <v>0</v>
      </c>
      <c r="N116" s="29">
        <f t="shared" si="10"/>
        <v>0</v>
      </c>
      <c r="O116" s="28">
        <v>0</v>
      </c>
      <c r="P116" s="28">
        <v>0</v>
      </c>
      <c r="Q116" s="40">
        <f t="shared" si="11"/>
        <v>0</v>
      </c>
      <c r="R116" s="28">
        <v>12</v>
      </c>
    </row>
    <row r="117" spans="1:18" ht="15" customHeight="1" x14ac:dyDescent="0.2">
      <c r="A117" s="37" t="str">
        <f>IF('Employee Master'!B117="","",'Employee Master'!B117)</f>
        <v>CAS-IH_1177</v>
      </c>
      <c r="B117" s="37" t="str">
        <f>IF('Employee Master'!B117="","",'Employee Master'!C117)</f>
        <v>Snehal</v>
      </c>
      <c r="C117" s="37" t="str">
        <f>IF('Employee Master'!B117="","",'Employee Master'!D117)</f>
        <v>In-house</v>
      </c>
      <c r="D117" s="37" t="str">
        <f>IF('Employee Master'!B117="","",'Employee Master'!E117)</f>
        <v>Team Lead</v>
      </c>
      <c r="E117" s="37" t="str">
        <f>IF('Employee Master'!B117="","",'Employee Master'!F117)</f>
        <v>FP&amp;A</v>
      </c>
      <c r="F117" s="37" t="str">
        <f>IF('Employee Master'!B117="","",'Employee Master'!G117)</f>
        <v>Tithi Gandhi</v>
      </c>
      <c r="G117" s="38">
        <v>0</v>
      </c>
      <c r="H117" s="38">
        <v>0</v>
      </c>
      <c r="I117" s="39">
        <f t="shared" si="9"/>
        <v>0</v>
      </c>
      <c r="J117" s="40">
        <f>IF(A117="","",IF(H117=0,0,H117/(Settings!B6*12)))</f>
        <v>0</v>
      </c>
      <c r="K117" s="28">
        <v>0</v>
      </c>
      <c r="L117" s="41">
        <v>3.5</v>
      </c>
      <c r="M117" s="28">
        <v>0</v>
      </c>
      <c r="N117" s="29">
        <f t="shared" si="10"/>
        <v>0</v>
      </c>
      <c r="O117" s="28">
        <v>0</v>
      </c>
      <c r="P117" s="28">
        <v>0</v>
      </c>
      <c r="Q117" s="40">
        <f t="shared" si="11"/>
        <v>0</v>
      </c>
      <c r="R117" s="28">
        <v>12</v>
      </c>
    </row>
    <row r="118" spans="1:18" ht="15" customHeight="1" x14ac:dyDescent="0.2">
      <c r="A118" s="37" t="str">
        <f>IF('Employee Master'!B118="","",'Employee Master'!B118)</f>
        <v>CAS-IH_1178</v>
      </c>
      <c r="B118" s="37" t="str">
        <f>IF('Employee Master'!B118="","",'Employee Master'!C118)</f>
        <v>Sukhdeep.K</v>
      </c>
      <c r="C118" s="37" t="str">
        <f>IF('Employee Master'!B118="","",'Employee Master'!D118)</f>
        <v>In-house</v>
      </c>
      <c r="D118" s="37" t="str">
        <f>IF('Employee Master'!B118="","",'Employee Master'!E118)</f>
        <v>Asst. Team Lead</v>
      </c>
      <c r="E118" s="37" t="str">
        <f>IF('Employee Master'!B118="","",'Employee Master'!F118)</f>
        <v>Accounting</v>
      </c>
      <c r="F118" s="37" t="str">
        <f>IF('Employee Master'!B118="","",'Employee Master'!G118)</f>
        <v>Ayushi</v>
      </c>
      <c r="G118" s="38">
        <v>0</v>
      </c>
      <c r="H118" s="38">
        <v>0</v>
      </c>
      <c r="I118" s="39">
        <f t="shared" si="9"/>
        <v>0</v>
      </c>
      <c r="J118" s="40">
        <f>IF(A118="","",IF(H118=0,0,H118/(Settings!B6*12)))</f>
        <v>0</v>
      </c>
      <c r="K118" s="28">
        <v>0</v>
      </c>
      <c r="L118" s="41">
        <v>3.5</v>
      </c>
      <c r="M118" s="28">
        <v>0</v>
      </c>
      <c r="N118" s="29">
        <f t="shared" si="10"/>
        <v>0</v>
      </c>
      <c r="O118" s="28">
        <v>0</v>
      </c>
      <c r="P118" s="28">
        <v>0</v>
      </c>
      <c r="Q118" s="40">
        <f t="shared" si="11"/>
        <v>0</v>
      </c>
      <c r="R118" s="28">
        <v>12</v>
      </c>
    </row>
    <row r="119" spans="1:18" ht="15" customHeight="1" x14ac:dyDescent="0.2">
      <c r="A119" s="37" t="str">
        <f>IF('Employee Master'!B119="","",'Employee Master'!B119)</f>
        <v>CAS-RT_2420</v>
      </c>
      <c r="B119" s="37" t="str">
        <f>IF('Employee Master'!B119="","",'Employee Master'!C119)</f>
        <v>Anjali.J</v>
      </c>
      <c r="C119" s="37" t="str">
        <f>IF('Employee Master'!B119="","",'Employee Master'!D119)</f>
        <v>Remote</v>
      </c>
      <c r="D119" s="37" t="str">
        <f>IF('Employee Master'!B119="","",'Employee Master'!E119)</f>
        <v>Asst. Team Lead</v>
      </c>
      <c r="E119" s="37" t="str">
        <f>IF('Employee Master'!B119="","",'Employee Master'!F119)</f>
        <v>Accounting</v>
      </c>
      <c r="F119" s="37" t="str">
        <f>IF('Employee Master'!B119="","",'Employee Master'!G119)</f>
        <v>Jasleen.D</v>
      </c>
      <c r="G119" s="38">
        <v>0</v>
      </c>
      <c r="H119" s="38">
        <v>0</v>
      </c>
      <c r="I119" s="39">
        <f t="shared" si="9"/>
        <v>0</v>
      </c>
      <c r="J119" s="40">
        <f>IF(A119="","",IF(H119=0,0,H119/(Settings!B6*12)))</f>
        <v>0</v>
      </c>
      <c r="K119" s="28">
        <v>0</v>
      </c>
      <c r="L119" s="41">
        <v>3.5</v>
      </c>
      <c r="M119" s="28">
        <v>0</v>
      </c>
      <c r="N119" s="29">
        <f t="shared" si="10"/>
        <v>0</v>
      </c>
      <c r="O119" s="28">
        <v>0</v>
      </c>
      <c r="P119" s="28">
        <v>0</v>
      </c>
      <c r="Q119" s="40">
        <f t="shared" si="11"/>
        <v>0</v>
      </c>
      <c r="R119" s="28">
        <v>12</v>
      </c>
    </row>
    <row r="120" spans="1:18" ht="15" customHeight="1" x14ac:dyDescent="0.2">
      <c r="A120" s="37" t="str">
        <f>IF('Employee Master'!B120="","",'Employee Master'!B120)</f>
        <v>CAS-RT_2421</v>
      </c>
      <c r="B120" s="37" t="str">
        <f>IF('Employee Master'!B120="","",'Employee Master'!C120)</f>
        <v>Pallavi.A</v>
      </c>
      <c r="C120" s="37" t="str">
        <f>IF('Employee Master'!B120="","",'Employee Master'!D120)</f>
        <v>Remote</v>
      </c>
      <c r="D120" s="37" t="str">
        <f>IF('Employee Master'!B120="","",'Employee Master'!E120)</f>
        <v>Sr. Associate</v>
      </c>
      <c r="E120" s="37" t="str">
        <f>IF('Employee Master'!B120="","",'Employee Master'!F120)</f>
        <v>Accounting</v>
      </c>
      <c r="F120" s="37" t="str">
        <f>IF('Employee Master'!B120="","",'Employee Master'!G120)</f>
        <v>Jasleen.D</v>
      </c>
      <c r="G120" s="38">
        <v>0</v>
      </c>
      <c r="H120" s="38">
        <v>0</v>
      </c>
      <c r="I120" s="39">
        <f t="shared" si="9"/>
        <v>0</v>
      </c>
      <c r="J120" s="40">
        <f>IF(A120="","",IF(H120=0,0,H120/(Settings!B6*12)))</f>
        <v>0</v>
      </c>
      <c r="K120" s="28">
        <v>0</v>
      </c>
      <c r="L120" s="41">
        <v>3.5</v>
      </c>
      <c r="M120" s="28">
        <v>0</v>
      </c>
      <c r="N120" s="29">
        <f t="shared" si="10"/>
        <v>0</v>
      </c>
      <c r="O120" s="28">
        <v>0</v>
      </c>
      <c r="P120" s="28">
        <v>0</v>
      </c>
      <c r="Q120" s="40">
        <f t="shared" si="11"/>
        <v>0</v>
      </c>
      <c r="R120" s="28">
        <v>12</v>
      </c>
    </row>
    <row r="121" spans="1:18" ht="23.25" customHeight="1" x14ac:dyDescent="0.2">
      <c r="A121" s="37" t="str">
        <f>IF('Employee Master'!B121="","",'Employee Master'!B121)</f>
        <v>CAS-RT_2422</v>
      </c>
      <c r="B121" s="37" t="str">
        <f>IF('Employee Master'!B121="","",'Employee Master'!C121)</f>
        <v>Twinkle.C</v>
      </c>
      <c r="C121" s="37" t="str">
        <f>IF('Employee Master'!B121="","",'Employee Master'!D121)</f>
        <v>Remote</v>
      </c>
      <c r="D121" s="37" t="str">
        <f>IF('Employee Master'!B121="","",'Employee Master'!E121)</f>
        <v>Sr. Associate</v>
      </c>
      <c r="E121" s="37" t="str">
        <f>IF('Employee Master'!B121="","",'Employee Master'!F121)</f>
        <v>Business Tax</v>
      </c>
      <c r="F121" s="37" t="str">
        <f>IF('Employee Master'!B121="","",'Employee Master'!G121)</f>
        <v>Jyoti</v>
      </c>
      <c r="G121" s="38">
        <v>31.7</v>
      </c>
      <c r="H121" s="38">
        <v>31.7</v>
      </c>
      <c r="I121" s="39">
        <f t="shared" si="9"/>
        <v>0</v>
      </c>
      <c r="J121" s="40">
        <f>IF(A121="","",IF(H121=0,0,H121/(Settings!B6*12)))</f>
        <v>1.6510416666666666E-2</v>
      </c>
      <c r="K121" s="28">
        <v>2</v>
      </c>
      <c r="L121" s="41">
        <v>3.5</v>
      </c>
      <c r="M121" s="28">
        <v>0</v>
      </c>
      <c r="N121" s="29">
        <f t="shared" si="10"/>
        <v>0</v>
      </c>
      <c r="O121" s="28">
        <v>0</v>
      </c>
      <c r="P121" s="28">
        <v>0</v>
      </c>
      <c r="Q121" s="40">
        <f t="shared" si="11"/>
        <v>0</v>
      </c>
      <c r="R121" s="28">
        <v>12</v>
      </c>
    </row>
    <row r="122" spans="1:18" ht="15" customHeight="1" x14ac:dyDescent="0.2">
      <c r="A122" s="37" t="str">
        <f>IF('Employee Master'!B122="","",'Employee Master'!B122)</f>
        <v>CAS-RT_2423</v>
      </c>
      <c r="B122" s="37" t="str">
        <f>IF('Employee Master'!B122="","",'Employee Master'!C122)</f>
        <v>Prabhleen.K</v>
      </c>
      <c r="C122" s="37" t="str">
        <f>IF('Employee Master'!B122="","",'Employee Master'!D122)</f>
        <v>Remote</v>
      </c>
      <c r="D122" s="37" t="str">
        <f>IF('Employee Master'!B122="","",'Employee Master'!E122)</f>
        <v>Sr. Associate</v>
      </c>
      <c r="E122" s="37" t="str">
        <f>IF('Employee Master'!B122="","",'Employee Master'!F122)</f>
        <v>Accounting</v>
      </c>
      <c r="F122" s="37" t="str">
        <f>IF('Employee Master'!B122="","",'Employee Master'!G122)</f>
        <v>Nikita Shah</v>
      </c>
      <c r="G122" s="38">
        <v>65</v>
      </c>
      <c r="H122" s="38">
        <v>65</v>
      </c>
      <c r="I122" s="39">
        <f t="shared" si="9"/>
        <v>0</v>
      </c>
      <c r="J122" s="40">
        <f>IF(A122="","",IF(H122=0,0,H122/(Settings!B6*12)))</f>
        <v>3.3854166666666664E-2</v>
      </c>
      <c r="K122" s="28">
        <v>2</v>
      </c>
      <c r="L122" s="41">
        <v>3.5</v>
      </c>
      <c r="M122" s="28">
        <v>0</v>
      </c>
      <c r="N122" s="29">
        <f t="shared" si="10"/>
        <v>0</v>
      </c>
      <c r="O122" s="28">
        <v>0</v>
      </c>
      <c r="P122" s="28">
        <v>0</v>
      </c>
      <c r="Q122" s="40">
        <f t="shared" si="11"/>
        <v>0</v>
      </c>
      <c r="R122" s="28">
        <v>12</v>
      </c>
    </row>
    <row r="123" spans="1:18" ht="15" customHeight="1" x14ac:dyDescent="0.2">
      <c r="A123" s="37" t="str">
        <f>IF('Employee Master'!B123="","",'Employee Master'!B123)</f>
        <v>CAS-RT_2425</v>
      </c>
      <c r="B123" s="37" t="str">
        <f>IF('Employee Master'!B123="","",'Employee Master'!C123)</f>
        <v>Bhupendra.S</v>
      </c>
      <c r="C123" s="37" t="str">
        <f>IF('Employee Master'!B123="","",'Employee Master'!D123)</f>
        <v>Remote</v>
      </c>
      <c r="D123" s="37" t="str">
        <f>IF('Employee Master'!B123="","",'Employee Master'!E123)</f>
        <v>Sr. Associate</v>
      </c>
      <c r="E123" s="37" t="str">
        <f>IF('Employee Master'!B123="","",'Employee Master'!F123)</f>
        <v>Accounting</v>
      </c>
      <c r="F123" s="37" t="str">
        <f>IF('Employee Master'!B123="","",'Employee Master'!G123)</f>
        <v>Suhani</v>
      </c>
      <c r="G123" s="38">
        <v>47.5</v>
      </c>
      <c r="H123" s="38">
        <v>47</v>
      </c>
      <c r="I123" s="39">
        <f t="shared" si="9"/>
        <v>0.5</v>
      </c>
      <c r="J123" s="40">
        <f>IF(A123="","",IF(H123=0,0,H123/(Settings!B6*12)))</f>
        <v>2.4479166666666666E-2</v>
      </c>
      <c r="K123" s="28">
        <v>2</v>
      </c>
      <c r="L123" s="41">
        <v>3.5</v>
      </c>
      <c r="M123" s="28">
        <v>0</v>
      </c>
      <c r="N123" s="29">
        <f t="shared" si="10"/>
        <v>0</v>
      </c>
      <c r="O123" s="28">
        <v>0</v>
      </c>
      <c r="P123" s="28">
        <v>0</v>
      </c>
      <c r="Q123" s="40">
        <f t="shared" si="11"/>
        <v>0</v>
      </c>
      <c r="R123" s="28">
        <v>12</v>
      </c>
    </row>
    <row r="124" spans="1:18" ht="15" customHeight="1" x14ac:dyDescent="0.2">
      <c r="A124" s="37" t="str">
        <f>IF('Employee Master'!B124="","",'Employee Master'!B124)</f>
        <v>CAS-RT_2426</v>
      </c>
      <c r="B124" s="37" t="str">
        <f>IF('Employee Master'!B124="","",'Employee Master'!C124)</f>
        <v>Priya.S</v>
      </c>
      <c r="C124" s="37" t="str">
        <f>IF('Employee Master'!B124="","",'Employee Master'!D124)</f>
        <v>Remote</v>
      </c>
      <c r="D124" s="37" t="str">
        <f>IF('Employee Master'!B124="","",'Employee Master'!E124)</f>
        <v>Asst. Team Lead</v>
      </c>
      <c r="E124" s="37" t="str">
        <f>IF('Employee Master'!B124="","",'Employee Master'!F124)</f>
        <v>Accounting</v>
      </c>
      <c r="F124" s="37" t="str">
        <f>IF('Employee Master'!B124="","",'Employee Master'!G124)</f>
        <v>Jyoti</v>
      </c>
      <c r="G124" s="38">
        <v>11.3</v>
      </c>
      <c r="H124" s="38">
        <v>11.3</v>
      </c>
      <c r="I124" s="39">
        <f t="shared" si="9"/>
        <v>0</v>
      </c>
      <c r="J124" s="40">
        <f>IF(A124="","",IF(H124=0,0,H124/(Settings!B6*12)))</f>
        <v>5.8854166666666673E-3</v>
      </c>
      <c r="K124" s="28">
        <v>0</v>
      </c>
      <c r="L124" s="41">
        <v>3.5</v>
      </c>
      <c r="M124" s="28">
        <v>0</v>
      </c>
      <c r="N124" s="29">
        <f t="shared" si="10"/>
        <v>0</v>
      </c>
      <c r="O124" s="28">
        <v>0</v>
      </c>
      <c r="P124" s="28">
        <v>0</v>
      </c>
      <c r="Q124" s="40">
        <f t="shared" si="11"/>
        <v>0</v>
      </c>
      <c r="R124" s="28">
        <v>12</v>
      </c>
    </row>
    <row r="125" spans="1:18" ht="15" customHeight="1" x14ac:dyDescent="0.2">
      <c r="A125" s="37" t="str">
        <f>IF('Employee Master'!B125="","",'Employee Master'!B125)</f>
        <v>CAS-IH_1179</v>
      </c>
      <c r="B125" s="37" t="str">
        <f>IF('Employee Master'!B125="","",'Employee Master'!C125)</f>
        <v>Kanika.G</v>
      </c>
      <c r="C125" s="37" t="str">
        <f>IF('Employee Master'!B125="","",'Employee Master'!D125)</f>
        <v>Remote</v>
      </c>
      <c r="D125" s="37" t="str">
        <f>IF('Employee Master'!B125="","",'Employee Master'!E125)</f>
        <v>Sr. Associate</v>
      </c>
      <c r="E125" s="37" t="str">
        <f>IF('Employee Master'!B125="","",'Employee Master'!F125)</f>
        <v>Accounting</v>
      </c>
      <c r="F125" s="37" t="str">
        <f>IF('Employee Master'!B125="","",'Employee Master'!G125)</f>
        <v>Jasleen.D</v>
      </c>
      <c r="G125" s="38">
        <v>23.2</v>
      </c>
      <c r="H125" s="38">
        <v>23.2</v>
      </c>
      <c r="I125" s="39">
        <f t="shared" si="9"/>
        <v>0</v>
      </c>
      <c r="J125" s="40">
        <f>IF(A125="","",IF(H125=0,0,H125/(Settings!B6*12)))</f>
        <v>1.2083333333333333E-2</v>
      </c>
      <c r="K125" s="28">
        <v>2</v>
      </c>
      <c r="L125" s="41">
        <v>3.5</v>
      </c>
      <c r="M125" s="28">
        <v>0</v>
      </c>
      <c r="N125" s="29">
        <f t="shared" si="10"/>
        <v>0</v>
      </c>
      <c r="O125" s="28">
        <v>0</v>
      </c>
      <c r="P125" s="28">
        <v>0</v>
      </c>
      <c r="Q125" s="40">
        <f t="shared" si="11"/>
        <v>0</v>
      </c>
      <c r="R125" s="28">
        <v>12</v>
      </c>
    </row>
    <row r="126" spans="1:18" ht="15" customHeight="1" x14ac:dyDescent="0.2">
      <c r="A126" s="37" t="str">
        <f>IF('Employee Master'!B126="","",'Employee Master'!B126)</f>
        <v>CAS-RT_2427</v>
      </c>
      <c r="B126" s="37" t="str">
        <f>IF('Employee Master'!B126="","",'Employee Master'!C126)</f>
        <v>Hema.S</v>
      </c>
      <c r="C126" s="37" t="str">
        <f>IF('Employee Master'!B126="","",'Employee Master'!D126)</f>
        <v>Remote</v>
      </c>
      <c r="D126" s="37" t="str">
        <f>IF('Employee Master'!B126="","",'Employee Master'!E126)</f>
        <v>Sr. Associate</v>
      </c>
      <c r="E126" s="37" t="str">
        <f>IF('Employee Master'!B126="","",'Employee Master'!F126)</f>
        <v>Accounting</v>
      </c>
      <c r="F126" s="37" t="str">
        <f>IF('Employee Master'!B126="","",'Employee Master'!G126)</f>
        <v>Ayushi</v>
      </c>
      <c r="G126" s="38">
        <v>30</v>
      </c>
      <c r="H126" s="38">
        <v>30</v>
      </c>
      <c r="I126" s="39">
        <f t="shared" si="9"/>
        <v>0</v>
      </c>
      <c r="J126" s="40">
        <f>IF(A126="","",IF(H126=0,0,H126/(Settings!B6*12)))</f>
        <v>1.5625E-2</v>
      </c>
      <c r="K126" s="28">
        <v>2</v>
      </c>
      <c r="L126" s="41">
        <v>3.5</v>
      </c>
      <c r="M126" s="28">
        <v>0</v>
      </c>
      <c r="N126" s="29">
        <f t="shared" si="10"/>
        <v>0</v>
      </c>
      <c r="O126" s="28">
        <v>0</v>
      </c>
      <c r="P126" s="28">
        <v>0</v>
      </c>
      <c r="Q126" s="40">
        <f t="shared" si="11"/>
        <v>0</v>
      </c>
      <c r="R126" s="28">
        <v>12</v>
      </c>
    </row>
    <row r="127" spans="1:18" ht="15" customHeight="1" x14ac:dyDescent="0.2">
      <c r="A127" s="37" t="str">
        <f>IF('Employee Master'!B127="","",'Employee Master'!B127)</f>
        <v>CAS-IH_1181</v>
      </c>
      <c r="B127" s="37" t="str">
        <f>IF('Employee Master'!B127="","",'Employee Master'!C127)</f>
        <v>Binny.S</v>
      </c>
      <c r="C127" s="37" t="str">
        <f>IF('Employee Master'!B127="","",'Employee Master'!D127)</f>
        <v>In-house</v>
      </c>
      <c r="D127" s="37" t="str">
        <f>IF('Employee Master'!B127="","",'Employee Master'!E127)</f>
        <v>Asst. Team Lead</v>
      </c>
      <c r="E127" s="37" t="str">
        <f>IF('Employee Master'!B127="","",'Employee Master'!F127)</f>
        <v>Accounting</v>
      </c>
      <c r="F127" s="37" t="str">
        <f>IF('Employee Master'!B127="","",'Employee Master'!G127)</f>
        <v>Nikita Shah</v>
      </c>
      <c r="G127" s="38">
        <v>0</v>
      </c>
      <c r="H127" s="38">
        <v>0</v>
      </c>
      <c r="I127" s="39">
        <f t="shared" si="9"/>
        <v>0</v>
      </c>
      <c r="J127" s="40">
        <f>IF(A127="","",IF(H127=0,0,H127/(Settings!B6*12)))</f>
        <v>0</v>
      </c>
      <c r="K127" s="28">
        <v>0</v>
      </c>
      <c r="L127" s="41">
        <v>3.5</v>
      </c>
      <c r="M127" s="28">
        <v>0</v>
      </c>
      <c r="N127" s="29">
        <f t="shared" si="10"/>
        <v>0</v>
      </c>
      <c r="O127" s="28">
        <v>0</v>
      </c>
      <c r="P127" s="28">
        <v>0</v>
      </c>
      <c r="Q127" s="40">
        <f t="shared" si="11"/>
        <v>0</v>
      </c>
      <c r="R127" s="28">
        <v>12</v>
      </c>
    </row>
    <row r="128" spans="1:18" ht="15" customHeight="1" x14ac:dyDescent="0.2">
      <c r="A128" s="37" t="str">
        <f>IF('Employee Master'!B128="","",'Employee Master'!B128)</f>
        <v>CAS-IH_1180</v>
      </c>
      <c r="B128" s="37" t="str">
        <f>IF('Employee Master'!B128="","",'Employee Master'!C128)</f>
        <v>Shivani.S</v>
      </c>
      <c r="C128" s="37" t="str">
        <f>IF('Employee Master'!B128="","",'Employee Master'!D128)</f>
        <v>In-house</v>
      </c>
      <c r="D128" s="37" t="str">
        <f>IF('Employee Master'!B128="","",'Employee Master'!E128)</f>
        <v>Asst. Team Lead</v>
      </c>
      <c r="E128" s="37" t="str">
        <f>IF('Employee Master'!B128="","",'Employee Master'!F128)</f>
        <v>Accounting</v>
      </c>
      <c r="F128" s="37" t="str">
        <f>IF('Employee Master'!B128="","",'Employee Master'!G128)</f>
        <v>Ayushi</v>
      </c>
      <c r="G128" s="38">
        <v>18</v>
      </c>
      <c r="H128" s="38">
        <v>18</v>
      </c>
      <c r="I128" s="39">
        <f t="shared" si="9"/>
        <v>0</v>
      </c>
      <c r="J128" s="40">
        <f>IF(A128="","",IF(H128=0,0,H128/(Settings!B6*12)))</f>
        <v>9.3749999999999997E-3</v>
      </c>
      <c r="K128" s="28">
        <v>1</v>
      </c>
      <c r="L128" s="41">
        <v>3.5</v>
      </c>
      <c r="M128" s="28">
        <v>0</v>
      </c>
      <c r="N128" s="29">
        <f t="shared" si="10"/>
        <v>0</v>
      </c>
      <c r="O128" s="28">
        <v>0</v>
      </c>
      <c r="P128" s="28">
        <v>0</v>
      </c>
      <c r="Q128" s="40">
        <f t="shared" si="11"/>
        <v>0</v>
      </c>
      <c r="R128" s="28">
        <v>12</v>
      </c>
    </row>
    <row r="129" spans="1:18" ht="15" customHeight="1" x14ac:dyDescent="0.2">
      <c r="A129" s="37" t="str">
        <f>IF('Employee Master'!B129="","",'Employee Master'!B129)</f>
        <v>CAS-IH_1182</v>
      </c>
      <c r="B129" s="37" t="str">
        <f>IF('Employee Master'!B129="","",'Employee Master'!C129)</f>
        <v>Nikunj.K</v>
      </c>
      <c r="C129" s="37" t="str">
        <f>IF('Employee Master'!B129="","",'Employee Master'!D129)</f>
        <v>Remote</v>
      </c>
      <c r="D129" s="37" t="str">
        <f>IF('Employee Master'!B129="","",'Employee Master'!E129)</f>
        <v>Full Stack Developer</v>
      </c>
      <c r="E129" s="37" t="str">
        <f>IF('Employee Master'!B129="","",'Employee Master'!F129)</f>
        <v>IT</v>
      </c>
      <c r="F129" s="37" t="str">
        <f>IF('Employee Master'!B129="","",'Employee Master'!G129)</f>
        <v>Akhilesh Sirvi</v>
      </c>
      <c r="G129" s="38">
        <v>0</v>
      </c>
      <c r="H129" s="38">
        <v>0</v>
      </c>
      <c r="I129" s="39">
        <f t="shared" si="9"/>
        <v>0</v>
      </c>
      <c r="J129" s="40">
        <f>IF(A129="","",IF(H129=0,0,H129/(Settings!B6*12)))</f>
        <v>0</v>
      </c>
      <c r="K129" s="28">
        <v>0</v>
      </c>
      <c r="L129" s="41">
        <v>3.5</v>
      </c>
      <c r="M129" s="28">
        <v>0</v>
      </c>
      <c r="N129" s="29">
        <f t="shared" si="10"/>
        <v>0</v>
      </c>
      <c r="O129" s="28">
        <v>0</v>
      </c>
      <c r="P129" s="28">
        <v>0</v>
      </c>
      <c r="Q129" s="40">
        <f t="shared" si="11"/>
        <v>0</v>
      </c>
      <c r="R129" s="28">
        <v>12</v>
      </c>
    </row>
    <row r="130" spans="1:18" ht="15" customHeight="1" x14ac:dyDescent="0.2">
      <c r="A130" s="37" t="str">
        <f>IF('Employee Master'!B130="","",'Employee Master'!B130)</f>
        <v>CAS-RT_2428</v>
      </c>
      <c r="B130" s="37" t="str">
        <f>IF('Employee Master'!B130="","",'Employee Master'!C130)</f>
        <v>Alisha.A</v>
      </c>
      <c r="C130" s="37" t="str">
        <f>IF('Employee Master'!B130="","",'Employee Master'!D130)</f>
        <v>Remote</v>
      </c>
      <c r="D130" s="37" t="str">
        <f>IF('Employee Master'!B130="","",'Employee Master'!E130)</f>
        <v>Asst. Team Lead</v>
      </c>
      <c r="E130" s="37" t="str">
        <f>IF('Employee Master'!B130="","",'Employee Master'!F130)</f>
        <v>Accounting</v>
      </c>
      <c r="F130" s="37" t="str">
        <f>IF('Employee Master'!B130="","",'Employee Master'!G130)</f>
        <v>Jasleen.D</v>
      </c>
      <c r="G130" s="38">
        <v>0</v>
      </c>
      <c r="H130" s="38">
        <v>0</v>
      </c>
      <c r="I130" s="39">
        <f t="shared" si="9"/>
        <v>0</v>
      </c>
      <c r="J130" s="40">
        <f>IF(A130="","",IF(H130=0,0,H130/(Settings!B6*12)))</f>
        <v>0</v>
      </c>
      <c r="K130" s="28">
        <v>0</v>
      </c>
      <c r="L130" s="41">
        <v>3.5</v>
      </c>
      <c r="M130" s="28">
        <v>0</v>
      </c>
      <c r="N130" s="29">
        <f t="shared" si="10"/>
        <v>0</v>
      </c>
      <c r="O130" s="28">
        <v>0</v>
      </c>
      <c r="P130" s="28">
        <v>0</v>
      </c>
      <c r="Q130" s="40">
        <f t="shared" si="11"/>
        <v>0</v>
      </c>
      <c r="R130" s="28">
        <v>12</v>
      </c>
    </row>
    <row r="131" spans="1:18" ht="15" customHeight="1" x14ac:dyDescent="0.2">
      <c r="A131" s="37" t="str">
        <f>IF('Employee Master'!B131="","",'Employee Master'!B131)</f>
        <v>CAS-RT_2429</v>
      </c>
      <c r="B131" s="37" t="str">
        <f>IF('Employee Master'!B131="","",'Employee Master'!C131)</f>
        <v>Tavishi.S</v>
      </c>
      <c r="C131" s="37" t="str">
        <f>IF('Employee Master'!B131="","",'Employee Master'!D131)</f>
        <v>Remote</v>
      </c>
      <c r="D131" s="37" t="str">
        <f>IF('Employee Master'!B131="","",'Employee Master'!E131)</f>
        <v>Sr. Associate</v>
      </c>
      <c r="E131" s="37" t="str">
        <f>IF('Employee Master'!B131="","",'Employee Master'!F131)</f>
        <v>Accounting</v>
      </c>
      <c r="F131" s="37" t="str">
        <f>IF('Employee Master'!B131="","",'Employee Master'!G131)</f>
        <v>Nikita Shah</v>
      </c>
      <c r="G131" s="38">
        <v>0</v>
      </c>
      <c r="H131" s="38">
        <v>0</v>
      </c>
      <c r="I131" s="39">
        <f t="shared" si="9"/>
        <v>0</v>
      </c>
      <c r="J131" s="40">
        <f>IF(A131="","",IF(H131=0,0,H131/(Settings!B6*12)))</f>
        <v>0</v>
      </c>
      <c r="K131" s="28">
        <v>0</v>
      </c>
      <c r="L131" s="41">
        <v>3.5</v>
      </c>
      <c r="M131" s="28">
        <v>0</v>
      </c>
      <c r="N131" s="29">
        <f t="shared" si="10"/>
        <v>0</v>
      </c>
      <c r="O131" s="28">
        <v>0</v>
      </c>
      <c r="P131" s="28">
        <v>0</v>
      </c>
      <c r="Q131" s="40">
        <f t="shared" si="11"/>
        <v>0</v>
      </c>
      <c r="R131" s="28">
        <v>12</v>
      </c>
    </row>
    <row r="132" spans="1:18" ht="15" customHeight="1" x14ac:dyDescent="0.2">
      <c r="A132" s="37" t="str">
        <f>IF('Employee Master'!B132="","",'Employee Master'!B132)</f>
        <v>CAS-RT_2430</v>
      </c>
      <c r="B132" s="37" t="str">
        <f>IF('Employee Master'!B132="","",'Employee Master'!C132)</f>
        <v>Lithika.B</v>
      </c>
      <c r="C132" s="37" t="str">
        <f>IF('Employee Master'!B132="","",'Employee Master'!D132)</f>
        <v>Remote</v>
      </c>
      <c r="D132" s="37" t="str">
        <f>IF('Employee Master'!B132="","",'Employee Master'!E132)</f>
        <v>Sr. Associate</v>
      </c>
      <c r="E132" s="37" t="str">
        <f>IF('Employee Master'!B132="","",'Employee Master'!F132)</f>
        <v>Accounting</v>
      </c>
      <c r="F132" s="37" t="str">
        <f>IF('Employee Master'!B132="","",'Employee Master'!G132)</f>
        <v>Ayushi</v>
      </c>
      <c r="G132" s="38">
        <v>0</v>
      </c>
      <c r="H132" s="38">
        <v>0</v>
      </c>
      <c r="I132" s="39">
        <f t="shared" ref="I132:I163" si="12">IF(A132="","",G132-H132)</f>
        <v>0</v>
      </c>
      <c r="J132" s="40">
        <f>IF(A132="","",IF(H132=0,0,H132/(Settings!B6*12)))</f>
        <v>0</v>
      </c>
      <c r="K132" s="28">
        <v>0</v>
      </c>
      <c r="L132" s="41">
        <v>3.5</v>
      </c>
      <c r="M132" s="28">
        <v>0</v>
      </c>
      <c r="N132" s="29">
        <f t="shared" ref="N132:N163" si="13">IF(A132="","",IF(H132=0,0,M132/H132))</f>
        <v>0</v>
      </c>
      <c r="O132" s="28">
        <v>0</v>
      </c>
      <c r="P132" s="28">
        <v>0</v>
      </c>
      <c r="Q132" s="40">
        <f t="shared" ref="Q132:Q163" si="14">IF(A132="","",IF(O132=0,0,1-P132/O132))</f>
        <v>0</v>
      </c>
      <c r="R132" s="28">
        <v>12</v>
      </c>
    </row>
    <row r="133" spans="1:18" ht="23.25" customHeight="1" x14ac:dyDescent="0.2">
      <c r="A133" s="37" t="str">
        <f>IF('Employee Master'!B133="","",'Employee Master'!B133)</f>
        <v>CAS-IH_1183</v>
      </c>
      <c r="B133" s="37" t="str">
        <f>IF('Employee Master'!B133="","",'Employee Master'!C133)</f>
        <v>Tithi.G</v>
      </c>
      <c r="C133" s="37" t="str">
        <f>IF('Employee Master'!B133="","",'Employee Master'!D133)</f>
        <v>In-house</v>
      </c>
      <c r="D133" s="37" t="str">
        <f>IF('Employee Master'!B133="","",'Employee Master'!E133)</f>
        <v>Sr. Controller</v>
      </c>
      <c r="E133" s="37" t="str">
        <f>IF('Employee Master'!B133="","",'Employee Master'!F133)</f>
        <v>FP&amp;A</v>
      </c>
      <c r="F133" s="37" t="str">
        <f>IF('Employee Master'!B133="","",'Employee Master'!G133)</f>
        <v>--</v>
      </c>
      <c r="G133" s="38">
        <v>0</v>
      </c>
      <c r="H133" s="38">
        <v>0</v>
      </c>
      <c r="I133" s="39">
        <f t="shared" si="12"/>
        <v>0</v>
      </c>
      <c r="J133" s="40">
        <f>IF(A133="","",IF(H133=0,0,H133/(Settings!B6*12)))</f>
        <v>0</v>
      </c>
      <c r="K133" s="28">
        <v>0</v>
      </c>
      <c r="L133" s="41">
        <v>3.5</v>
      </c>
      <c r="M133" s="28">
        <v>0</v>
      </c>
      <c r="N133" s="29">
        <f t="shared" si="13"/>
        <v>0</v>
      </c>
      <c r="O133" s="28">
        <v>0</v>
      </c>
      <c r="P133" s="28">
        <v>0</v>
      </c>
      <c r="Q133" s="40">
        <f t="shared" si="14"/>
        <v>0</v>
      </c>
      <c r="R133" s="28">
        <v>12</v>
      </c>
    </row>
    <row r="134" spans="1:18" ht="15" customHeight="1" x14ac:dyDescent="0.2">
      <c r="A134" s="37" t="str">
        <f>IF('Employee Master'!B134="","",'Employee Master'!B134)</f>
        <v>CAS-RR_2431</v>
      </c>
      <c r="B134" s="37" t="str">
        <f>IF('Employee Master'!B134="","",'Employee Master'!C134)</f>
        <v>Isha.G</v>
      </c>
      <c r="C134" s="37" t="str">
        <f>IF('Employee Master'!B134="","",'Employee Master'!D134)</f>
        <v>Remote</v>
      </c>
      <c r="D134" s="37" t="str">
        <f>IF('Employee Master'!B134="","",'Employee Master'!E134)</f>
        <v>Project Manager (S/W)</v>
      </c>
      <c r="E134" s="37" t="str">
        <f>IF('Employee Master'!B134="","",'Employee Master'!F134)</f>
        <v>Accounting</v>
      </c>
      <c r="F134" s="37" t="str">
        <f>IF('Employee Master'!B134="","",'Employee Master'!G134)</f>
        <v>--</v>
      </c>
      <c r="G134" s="38">
        <v>0</v>
      </c>
      <c r="H134" s="38">
        <v>0</v>
      </c>
      <c r="I134" s="39">
        <f t="shared" si="12"/>
        <v>0</v>
      </c>
      <c r="J134" s="40">
        <f>IF(A134="","",IF(H134=0,0,H134/(Settings!B6*12)))</f>
        <v>0</v>
      </c>
      <c r="K134" s="28">
        <v>0</v>
      </c>
      <c r="L134" s="41">
        <v>3.5</v>
      </c>
      <c r="M134" s="28">
        <v>0</v>
      </c>
      <c r="N134" s="29">
        <f t="shared" si="13"/>
        <v>0</v>
      </c>
      <c r="O134" s="28">
        <v>0</v>
      </c>
      <c r="P134" s="28">
        <v>0</v>
      </c>
      <c r="Q134" s="40">
        <f t="shared" si="14"/>
        <v>0</v>
      </c>
      <c r="R134" s="28">
        <v>12</v>
      </c>
    </row>
    <row r="135" spans="1:18" ht="15" customHeight="1" x14ac:dyDescent="0.2">
      <c r="A135" s="37" t="str">
        <f>IF('Employee Master'!B135="","",'Employee Master'!B135)</f>
        <v>CAS-RT_2432</v>
      </c>
      <c r="B135" s="37" t="str">
        <f>IF('Employee Master'!B135="","",'Employee Master'!C135)</f>
        <v>Shubham.S</v>
      </c>
      <c r="C135" s="37" t="str">
        <f>IF('Employee Master'!B135="","",'Employee Master'!D135)</f>
        <v>Remote</v>
      </c>
      <c r="D135" s="37" t="str">
        <f>IF('Employee Master'!B135="","",'Employee Master'!E135)</f>
        <v>Sr. Associate</v>
      </c>
      <c r="E135" s="37" t="str">
        <f>IF('Employee Master'!B135="","",'Employee Master'!F135)</f>
        <v>Individual Tax</v>
      </c>
      <c r="F135" s="37" t="str">
        <f>IF('Employee Master'!B135="","",'Employee Master'!G135)</f>
        <v>Ammie</v>
      </c>
      <c r="G135" s="38">
        <v>0</v>
      </c>
      <c r="H135" s="38">
        <v>0</v>
      </c>
      <c r="I135" s="39">
        <f t="shared" si="12"/>
        <v>0</v>
      </c>
      <c r="J135" s="40">
        <f>IF(A135="","",IF(H135=0,0,H135/(Settings!B6*12)))</f>
        <v>0</v>
      </c>
      <c r="K135" s="28">
        <v>0</v>
      </c>
      <c r="L135" s="41">
        <v>3.5</v>
      </c>
      <c r="M135" s="28">
        <v>0</v>
      </c>
      <c r="N135" s="29">
        <f t="shared" si="13"/>
        <v>0</v>
      </c>
      <c r="O135" s="28">
        <v>0</v>
      </c>
      <c r="P135" s="28">
        <v>0</v>
      </c>
      <c r="Q135" s="40">
        <f t="shared" si="14"/>
        <v>0</v>
      </c>
      <c r="R135" s="28">
        <v>12</v>
      </c>
    </row>
    <row r="136" spans="1:18" ht="15" customHeight="1" x14ac:dyDescent="0.2">
      <c r="A136" s="37" t="str">
        <f>IF('Employee Master'!B136="","",'Employee Master'!B136)</f>
        <v>CAS-RT_2433</v>
      </c>
      <c r="B136" s="37" t="str">
        <f>IF('Employee Master'!B136="","",'Employee Master'!C136)</f>
        <v>Tanushree.G</v>
      </c>
      <c r="C136" s="37" t="str">
        <f>IF('Employee Master'!B136="","",'Employee Master'!D136)</f>
        <v>Remote</v>
      </c>
      <c r="D136" s="37" t="str">
        <f>IF('Employee Master'!B136="","",'Employee Master'!E136)</f>
        <v>Sr. Associate</v>
      </c>
      <c r="E136" s="37" t="str">
        <f>IF('Employee Master'!B136="","",'Employee Master'!F136)</f>
        <v>Individual Tax</v>
      </c>
      <c r="F136" s="37" t="str">
        <f>IF('Employee Master'!B136="","",'Employee Master'!G136)</f>
        <v>Ammie</v>
      </c>
      <c r="G136" s="38">
        <v>0</v>
      </c>
      <c r="H136" s="38">
        <v>0</v>
      </c>
      <c r="I136" s="39">
        <f t="shared" si="12"/>
        <v>0</v>
      </c>
      <c r="J136" s="40">
        <f>IF(A136="","",IF(H136=0,0,H136/(Settings!B6*12)))</f>
        <v>0</v>
      </c>
      <c r="K136" s="28">
        <v>0</v>
      </c>
      <c r="L136" s="41">
        <v>3.5</v>
      </c>
      <c r="M136" s="28">
        <v>0</v>
      </c>
      <c r="N136" s="29">
        <f t="shared" si="13"/>
        <v>0</v>
      </c>
      <c r="O136" s="28">
        <v>0</v>
      </c>
      <c r="P136" s="28">
        <v>0</v>
      </c>
      <c r="Q136" s="40">
        <f t="shared" si="14"/>
        <v>0</v>
      </c>
      <c r="R136" s="28">
        <v>12</v>
      </c>
    </row>
    <row r="137" spans="1:18" ht="15" customHeight="1" x14ac:dyDescent="0.2">
      <c r="A137" s="37" t="str">
        <f>IF('Employee Master'!B137="","",'Employee Master'!B137)</f>
        <v>CAS-RT_2434</v>
      </c>
      <c r="B137" s="37" t="str">
        <f>IF('Employee Master'!B137="","",'Employee Master'!C137)</f>
        <v>Syed.M</v>
      </c>
      <c r="C137" s="37" t="str">
        <f>IF('Employee Master'!B137="","",'Employee Master'!D137)</f>
        <v>Remote</v>
      </c>
      <c r="D137" s="37" t="str">
        <f>IF('Employee Master'!B137="","",'Employee Master'!E137)</f>
        <v>Sr. Associate</v>
      </c>
      <c r="E137" s="37" t="str">
        <f>IF('Employee Master'!B137="","",'Employee Master'!F137)</f>
        <v>Individual Tax</v>
      </c>
      <c r="F137" s="37" t="str">
        <f>IF('Employee Master'!B137="","",'Employee Master'!G137)</f>
        <v>Ammie</v>
      </c>
      <c r="G137" s="38">
        <v>0</v>
      </c>
      <c r="H137" s="38">
        <v>0</v>
      </c>
      <c r="I137" s="39">
        <f t="shared" si="12"/>
        <v>0</v>
      </c>
      <c r="J137" s="40">
        <f>IF(A137="","",IF(H137=0,0,H137/(Settings!B6*12)))</f>
        <v>0</v>
      </c>
      <c r="K137" s="28">
        <v>0</v>
      </c>
      <c r="L137" s="41">
        <v>3.5</v>
      </c>
      <c r="M137" s="28">
        <v>0</v>
      </c>
      <c r="N137" s="29">
        <f t="shared" si="13"/>
        <v>0</v>
      </c>
      <c r="O137" s="28">
        <v>0</v>
      </c>
      <c r="P137" s="28">
        <v>0</v>
      </c>
      <c r="Q137" s="40">
        <f t="shared" si="14"/>
        <v>0</v>
      </c>
      <c r="R137" s="28">
        <v>12</v>
      </c>
    </row>
    <row r="138" spans="1:18" ht="23.25" customHeight="1" x14ac:dyDescent="0.2">
      <c r="A138" s="37" t="str">
        <f>IF('Employee Master'!B138="","",'Employee Master'!B138)</f>
        <v>CAS-RT_2435</v>
      </c>
      <c r="B138" s="37" t="str">
        <f>IF('Employee Master'!B138="","",'Employee Master'!C138)</f>
        <v>Biswajit.D</v>
      </c>
      <c r="C138" s="37" t="str">
        <f>IF('Employee Master'!B138="","",'Employee Master'!D138)</f>
        <v>Remote</v>
      </c>
      <c r="D138" s="37" t="str">
        <f>IF('Employee Master'!B138="","",'Employee Master'!E138)</f>
        <v>Sr. Associate</v>
      </c>
      <c r="E138" s="37" t="str">
        <f>IF('Employee Master'!B138="","",'Employee Master'!F138)</f>
        <v>Individual Tax</v>
      </c>
      <c r="F138" s="37" t="str">
        <f>IF('Employee Master'!B138="","",'Employee Master'!G138)</f>
        <v>Ammie</v>
      </c>
      <c r="G138" s="38">
        <v>0</v>
      </c>
      <c r="H138" s="38">
        <v>0</v>
      </c>
      <c r="I138" s="39">
        <f t="shared" si="12"/>
        <v>0</v>
      </c>
      <c r="J138" s="40">
        <f>IF(A138="","",IF(H138=0,0,H138/(Settings!B6*12)))</f>
        <v>0</v>
      </c>
      <c r="K138" s="28">
        <v>0</v>
      </c>
      <c r="L138" s="41">
        <v>3.5</v>
      </c>
      <c r="M138" s="28">
        <v>0</v>
      </c>
      <c r="N138" s="29">
        <f t="shared" si="13"/>
        <v>0</v>
      </c>
      <c r="O138" s="28">
        <v>0</v>
      </c>
      <c r="P138" s="28">
        <v>0</v>
      </c>
      <c r="Q138" s="40">
        <f t="shared" si="14"/>
        <v>0</v>
      </c>
      <c r="R138" s="28">
        <v>12</v>
      </c>
    </row>
    <row r="139" spans="1:18" ht="15" customHeight="1" x14ac:dyDescent="0.2">
      <c r="A139" s="37" t="str">
        <f>IF('Employee Master'!B139="","",'Employee Master'!B139)</f>
        <v>CAS-IH_1186</v>
      </c>
      <c r="B139" s="37" t="str">
        <f>IF('Employee Master'!B139="","",'Employee Master'!C139)</f>
        <v>Ayush.G</v>
      </c>
      <c r="C139" s="37" t="str">
        <f>IF('Employee Master'!B139="","",'Employee Master'!D139)</f>
        <v>In-house</v>
      </c>
      <c r="D139" s="37" t="str">
        <f>IF('Employee Master'!B139="","",'Employee Master'!E139)</f>
        <v>Full Stack Developer</v>
      </c>
      <c r="E139" s="37" t="str">
        <f>IF('Employee Master'!B139="","",'Employee Master'!F139)</f>
        <v>IT</v>
      </c>
      <c r="F139" s="37" t="str">
        <f>IF('Employee Master'!B139="","",'Employee Master'!G139)</f>
        <v>Akhilesh Sirvi</v>
      </c>
      <c r="G139" s="38">
        <v>0</v>
      </c>
      <c r="H139" s="38">
        <v>0</v>
      </c>
      <c r="I139" s="39">
        <f t="shared" si="12"/>
        <v>0</v>
      </c>
      <c r="J139" s="40">
        <f>IF(A139="","",IF(H139=0,0,H139/(Settings!B6*12)))</f>
        <v>0</v>
      </c>
      <c r="K139" s="28">
        <v>0</v>
      </c>
      <c r="L139" s="41">
        <v>3.5</v>
      </c>
      <c r="M139" s="28">
        <v>0</v>
      </c>
      <c r="N139" s="29">
        <f t="shared" si="13"/>
        <v>0</v>
      </c>
      <c r="O139" s="28">
        <v>0</v>
      </c>
      <c r="P139" s="28">
        <v>0</v>
      </c>
      <c r="Q139" s="40">
        <f t="shared" si="14"/>
        <v>0</v>
      </c>
      <c r="R139" s="28">
        <v>12</v>
      </c>
    </row>
    <row r="140" spans="1:18" ht="15" customHeight="1" x14ac:dyDescent="0.2">
      <c r="A140" s="37" t="str">
        <f>IF('Employee Master'!B140="","",'Employee Master'!B140)</f>
        <v>CAS-RT_2436</v>
      </c>
      <c r="B140" s="37" t="str">
        <f>IF('Employee Master'!B140="","",'Employee Master'!C140)</f>
        <v>Aman.J</v>
      </c>
      <c r="C140" s="37" t="str">
        <f>IF('Employee Master'!B140="","",'Employee Master'!D140)</f>
        <v>Remote</v>
      </c>
      <c r="D140" s="37" t="str">
        <f>IF('Employee Master'!B140="","",'Employee Master'!E140)</f>
        <v>Sr. Associate</v>
      </c>
      <c r="E140" s="37" t="str">
        <f>IF('Employee Master'!B140="","",'Employee Master'!F140)</f>
        <v>Accounting</v>
      </c>
      <c r="F140" s="37" t="str">
        <f>IF('Employee Master'!B140="","",'Employee Master'!G140)</f>
        <v>Nikita Shah</v>
      </c>
      <c r="G140" s="38">
        <v>0</v>
      </c>
      <c r="H140" s="38">
        <v>0</v>
      </c>
      <c r="I140" s="39">
        <f t="shared" si="12"/>
        <v>0</v>
      </c>
      <c r="J140" s="40">
        <f>IF(A140="","",IF(H140=0,0,H140/(Settings!B6*12)))</f>
        <v>0</v>
      </c>
      <c r="K140" s="28">
        <v>0</v>
      </c>
      <c r="L140" s="41">
        <v>3.5</v>
      </c>
      <c r="M140" s="28">
        <v>0</v>
      </c>
      <c r="N140" s="29">
        <f t="shared" si="13"/>
        <v>0</v>
      </c>
      <c r="O140" s="28">
        <v>0</v>
      </c>
      <c r="P140" s="28">
        <v>0</v>
      </c>
      <c r="Q140" s="40">
        <f t="shared" si="14"/>
        <v>0</v>
      </c>
      <c r="R140" s="28">
        <v>12</v>
      </c>
    </row>
    <row r="141" spans="1:18" ht="15" customHeight="1" x14ac:dyDescent="0.2">
      <c r="A141" s="37" t="str">
        <f>IF('Employee Master'!B141="","",'Employee Master'!B141)</f>
        <v>CASUS-IH_005</v>
      </c>
      <c r="B141" s="37" t="str">
        <f>IF('Employee Master'!B141="","",'Employee Master'!C141)</f>
        <v>Matt.H</v>
      </c>
      <c r="C141" s="37" t="str">
        <f>IF('Employee Master'!B141="","",'Employee Master'!D141)</f>
        <v>Remote</v>
      </c>
      <c r="D141" s="37" t="str">
        <f>IF('Employee Master'!B141="","",'Employee Master'!E141)</f>
        <v>Associate</v>
      </c>
      <c r="E141" s="37" t="str">
        <f>IF('Employee Master'!B141="","",'Employee Master'!F141)</f>
        <v>Marketing</v>
      </c>
      <c r="F141" s="37" t="str">
        <f>IF('Employee Master'!B141="","",'Employee Master'!G141)</f>
        <v>Angela</v>
      </c>
      <c r="G141" s="38">
        <v>0</v>
      </c>
      <c r="H141" s="38">
        <v>0</v>
      </c>
      <c r="I141" s="39">
        <f t="shared" si="12"/>
        <v>0</v>
      </c>
      <c r="J141" s="40">
        <f>IF(A141="","",IF(H141=0,0,H141/(Settings!B6*12)))</f>
        <v>0</v>
      </c>
      <c r="K141" s="28">
        <v>0</v>
      </c>
      <c r="L141" s="41">
        <v>3.5</v>
      </c>
      <c r="M141" s="28">
        <v>0</v>
      </c>
      <c r="N141" s="29">
        <f t="shared" si="13"/>
        <v>0</v>
      </c>
      <c r="O141" s="28">
        <v>0</v>
      </c>
      <c r="P141" s="28">
        <v>0</v>
      </c>
      <c r="Q141" s="40">
        <f t="shared" si="14"/>
        <v>0</v>
      </c>
      <c r="R141" s="28">
        <v>12</v>
      </c>
    </row>
    <row r="142" spans="1:18" ht="15" customHeight="1" x14ac:dyDescent="0.2">
      <c r="A142" s="37" t="str">
        <f>IF('Employee Master'!B142="","",'Employee Master'!B142)</f>
        <v>CAS-IH_1187</v>
      </c>
      <c r="B142" s="37" t="str">
        <f>IF('Employee Master'!B142="","",'Employee Master'!C142)</f>
        <v>Puja.G</v>
      </c>
      <c r="C142" s="37" t="str">
        <f>IF('Employee Master'!B142="","",'Employee Master'!D142)</f>
        <v>Remote</v>
      </c>
      <c r="D142" s="37" t="str">
        <f>IF('Employee Master'!B142="","",'Employee Master'!E142)</f>
        <v>Sr. Associate</v>
      </c>
      <c r="E142" s="37" t="str">
        <f>IF('Employee Master'!B142="","",'Employee Master'!F142)</f>
        <v>Individual Tax</v>
      </c>
      <c r="F142" s="37" t="str">
        <f>IF('Employee Master'!B142="","",'Employee Master'!G142)</f>
        <v>Ammie</v>
      </c>
      <c r="G142" s="38">
        <v>0</v>
      </c>
      <c r="H142" s="38">
        <v>0</v>
      </c>
      <c r="I142" s="39">
        <f t="shared" si="12"/>
        <v>0</v>
      </c>
      <c r="J142" s="40">
        <f>IF(A142="","",IF(H142=0,0,H142/(Settings!B6*12)))</f>
        <v>0</v>
      </c>
      <c r="K142" s="28">
        <v>0</v>
      </c>
      <c r="L142" s="41">
        <v>3.5</v>
      </c>
      <c r="M142" s="28">
        <v>0</v>
      </c>
      <c r="N142" s="29">
        <f t="shared" si="13"/>
        <v>0</v>
      </c>
      <c r="O142" s="28">
        <v>0</v>
      </c>
      <c r="P142" s="28">
        <v>0</v>
      </c>
      <c r="Q142" s="40">
        <f t="shared" si="14"/>
        <v>0</v>
      </c>
      <c r="R142" s="28">
        <v>12</v>
      </c>
    </row>
    <row r="143" spans="1:18" ht="23.25" customHeight="1" x14ac:dyDescent="0.2">
      <c r="A143" s="37" t="str">
        <f>IF('Employee Master'!B143="","",'Employee Master'!B143)</f>
        <v>CASUS-IH_006</v>
      </c>
      <c r="B143" s="37" t="str">
        <f>IF('Employee Master'!B143="","",'Employee Master'!C143)</f>
        <v>Keily.S</v>
      </c>
      <c r="C143" s="37" t="str">
        <f>IF('Employee Master'!B143="","",'Employee Master'!D143)</f>
        <v>Remote</v>
      </c>
      <c r="D143" s="37" t="str">
        <f>IF('Employee Master'!B143="","",'Employee Master'!E143)</f>
        <v>Associate</v>
      </c>
      <c r="E143" s="37" t="str">
        <f>IF('Employee Master'!B143="","",'Employee Master'!F143)</f>
        <v>Marketing</v>
      </c>
      <c r="F143" s="37" t="str">
        <f>IF('Employee Master'!B143="","",'Employee Master'!G143)</f>
        <v>Angela</v>
      </c>
      <c r="G143" s="38">
        <v>0</v>
      </c>
      <c r="H143" s="38">
        <v>0</v>
      </c>
      <c r="I143" s="39">
        <f t="shared" si="12"/>
        <v>0</v>
      </c>
      <c r="J143" s="40">
        <f>IF(A143="","",IF(H143=0,0,H143/(Settings!B6*12)))</f>
        <v>0</v>
      </c>
      <c r="K143" s="28">
        <v>0</v>
      </c>
      <c r="L143" s="41">
        <v>3.5</v>
      </c>
      <c r="M143" s="28">
        <v>0</v>
      </c>
      <c r="N143" s="29">
        <f t="shared" si="13"/>
        <v>0</v>
      </c>
      <c r="O143" s="28">
        <v>0</v>
      </c>
      <c r="P143" s="28">
        <v>0</v>
      </c>
      <c r="Q143" s="40">
        <f t="shared" si="14"/>
        <v>0</v>
      </c>
      <c r="R143" s="28">
        <v>12</v>
      </c>
    </row>
    <row r="144" spans="1:18" ht="15" customHeight="1" x14ac:dyDescent="0.2">
      <c r="A144" s="37" t="str">
        <f>IF('Employee Master'!B144="","",'Employee Master'!B144)</f>
        <v>CAS-IH_1188</v>
      </c>
      <c r="B144" s="37" t="str">
        <f>IF('Employee Master'!B144="","",'Employee Master'!C144)</f>
        <v>Bhavana.T</v>
      </c>
      <c r="C144" s="37" t="str">
        <f>IF('Employee Master'!B144="","",'Employee Master'!D144)</f>
        <v>In-house</v>
      </c>
      <c r="D144" s="37" t="str">
        <f>IF('Employee Master'!B144="","",'Employee Master'!E144)</f>
        <v>Asst. Team Lead</v>
      </c>
      <c r="E144" s="37" t="str">
        <f>IF('Employee Master'!B144="","",'Employee Master'!F144)</f>
        <v>Accounting</v>
      </c>
      <c r="F144" s="37" t="str">
        <f>IF('Employee Master'!B144="","",'Employee Master'!G144)</f>
        <v>Sukhmeen.K</v>
      </c>
      <c r="G144" s="38">
        <v>0</v>
      </c>
      <c r="H144" s="38">
        <v>0</v>
      </c>
      <c r="I144" s="39">
        <f t="shared" si="12"/>
        <v>0</v>
      </c>
      <c r="J144" s="40">
        <f>IF(A144="","",IF(H144=0,0,H144/(Settings!B6*12)))</f>
        <v>0</v>
      </c>
      <c r="K144" s="28">
        <v>0</v>
      </c>
      <c r="L144" s="41">
        <v>3.5</v>
      </c>
      <c r="M144" s="28">
        <v>0</v>
      </c>
      <c r="N144" s="29">
        <f t="shared" si="13"/>
        <v>0</v>
      </c>
      <c r="O144" s="28">
        <v>0</v>
      </c>
      <c r="P144" s="28">
        <v>0</v>
      </c>
      <c r="Q144" s="40">
        <f t="shared" si="14"/>
        <v>0</v>
      </c>
      <c r="R144" s="28">
        <v>12</v>
      </c>
    </row>
    <row r="145" spans="1:18" ht="15" customHeight="1" x14ac:dyDescent="0.2">
      <c r="A145" s="37" t="str">
        <f>IF('Employee Master'!B145="","",'Employee Master'!B145)</f>
        <v>CAS-IH_1190</v>
      </c>
      <c r="B145" s="37" t="str">
        <f>IF('Employee Master'!B145="","",'Employee Master'!C145)</f>
        <v>Shubhanshi.A</v>
      </c>
      <c r="C145" s="37" t="str">
        <f>IF('Employee Master'!B145="","",'Employee Master'!D145)</f>
        <v>In-house</v>
      </c>
      <c r="D145" s="37" t="str">
        <f>IF('Employee Master'!B145="","",'Employee Master'!E145)</f>
        <v>Sr. Associate</v>
      </c>
      <c r="E145" s="37" t="str">
        <f>IF('Employee Master'!B145="","",'Employee Master'!F145)</f>
        <v>Individual Tax</v>
      </c>
      <c r="F145" s="37" t="str">
        <f>IF('Employee Master'!B145="","",'Employee Master'!G145)</f>
        <v>Ammie</v>
      </c>
      <c r="G145" s="38">
        <v>0</v>
      </c>
      <c r="H145" s="38">
        <v>0</v>
      </c>
      <c r="I145" s="39">
        <f t="shared" si="12"/>
        <v>0</v>
      </c>
      <c r="J145" s="40">
        <f>IF(A145="","",IF(H145=0,0,H145/(Settings!B6*12)))</f>
        <v>0</v>
      </c>
      <c r="K145" s="28">
        <v>0</v>
      </c>
      <c r="L145" s="41">
        <v>3.5</v>
      </c>
      <c r="M145" s="28">
        <v>0</v>
      </c>
      <c r="N145" s="29">
        <f t="shared" si="13"/>
        <v>0</v>
      </c>
      <c r="O145" s="28">
        <v>0</v>
      </c>
      <c r="P145" s="28">
        <v>0</v>
      </c>
      <c r="Q145" s="40">
        <f t="shared" si="14"/>
        <v>0</v>
      </c>
      <c r="R145" s="28">
        <v>12</v>
      </c>
    </row>
    <row r="146" spans="1:18" ht="15" customHeight="1" x14ac:dyDescent="0.2">
      <c r="A146" s="37" t="str">
        <f>IF('Employee Master'!B146="","",'Employee Master'!B146)</f>
        <v/>
      </c>
      <c r="B146" s="37" t="str">
        <f>IF('Employee Master'!B146="","",'Employee Master'!C146)</f>
        <v/>
      </c>
      <c r="C146" s="37" t="str">
        <f>IF('Employee Master'!B146="","",'Employee Master'!D146)</f>
        <v/>
      </c>
      <c r="D146" s="37" t="str">
        <f>IF('Employee Master'!B146="","",'Employee Master'!E146)</f>
        <v/>
      </c>
      <c r="E146" s="37" t="str">
        <f>IF('Employee Master'!B146="","",'Employee Master'!F146)</f>
        <v/>
      </c>
      <c r="F146" s="37" t="str">
        <f>IF('Employee Master'!B146="","",'Employee Master'!G146)</f>
        <v/>
      </c>
      <c r="G146" s="38">
        <v>0</v>
      </c>
      <c r="H146" s="38">
        <v>0</v>
      </c>
      <c r="I146" s="39" t="str">
        <f t="shared" si="12"/>
        <v/>
      </c>
      <c r="J146" s="40" t="str">
        <f>IF(A146="","",IF(H146=0,0,H146/(Settings!B6*12)))</f>
        <v/>
      </c>
      <c r="K146" s="28">
        <v>0</v>
      </c>
      <c r="L146" s="41">
        <v>3.5</v>
      </c>
      <c r="M146" s="28">
        <v>0</v>
      </c>
      <c r="N146" s="29" t="str">
        <f t="shared" si="13"/>
        <v/>
      </c>
      <c r="O146" s="28">
        <v>0</v>
      </c>
      <c r="P146" s="28">
        <v>0</v>
      </c>
      <c r="Q146" s="40" t="str">
        <f t="shared" si="14"/>
        <v/>
      </c>
      <c r="R146" s="28">
        <v>12</v>
      </c>
    </row>
    <row r="147" spans="1:18" ht="15" customHeight="1" x14ac:dyDescent="0.2">
      <c r="A147" s="37" t="str">
        <f>IF('Employee Master'!B147="","",'Employee Master'!B147)</f>
        <v/>
      </c>
      <c r="B147" s="37" t="str">
        <f>IF('Employee Master'!B147="","",'Employee Master'!C147)</f>
        <v/>
      </c>
      <c r="C147" s="37" t="str">
        <f>IF('Employee Master'!B147="","",'Employee Master'!D147)</f>
        <v/>
      </c>
      <c r="D147" s="37" t="str">
        <f>IF('Employee Master'!B147="","",'Employee Master'!E147)</f>
        <v/>
      </c>
      <c r="E147" s="37" t="str">
        <f>IF('Employee Master'!B147="","",'Employee Master'!F147)</f>
        <v/>
      </c>
      <c r="F147" s="37" t="str">
        <f>IF('Employee Master'!B147="","",'Employee Master'!G147)</f>
        <v/>
      </c>
      <c r="G147" s="38"/>
      <c r="H147" s="38"/>
      <c r="I147" s="39" t="str">
        <f t="shared" si="12"/>
        <v/>
      </c>
      <c r="J147" s="40" t="str">
        <f>IF(A147="","",IF(H147=0,0,H147/(Settings!B6*12)))</f>
        <v/>
      </c>
      <c r="K147" s="28"/>
      <c r="L147" s="41"/>
      <c r="M147" s="28"/>
      <c r="N147" s="29" t="str">
        <f t="shared" si="13"/>
        <v/>
      </c>
      <c r="O147" s="28"/>
      <c r="P147" s="28"/>
      <c r="Q147" s="40" t="str">
        <f t="shared" si="14"/>
        <v/>
      </c>
      <c r="R147" s="28"/>
    </row>
    <row r="148" spans="1:18" ht="15" customHeight="1" x14ac:dyDescent="0.2">
      <c r="A148" s="37" t="str">
        <f>IF('Employee Master'!B148="","",'Employee Master'!B148)</f>
        <v/>
      </c>
      <c r="B148" s="37" t="str">
        <f>IF('Employee Master'!B148="","",'Employee Master'!C148)</f>
        <v/>
      </c>
      <c r="C148" s="37" t="str">
        <f>IF('Employee Master'!B148="","",'Employee Master'!D148)</f>
        <v/>
      </c>
      <c r="D148" s="37" t="str">
        <f>IF('Employee Master'!B148="","",'Employee Master'!E148)</f>
        <v/>
      </c>
      <c r="E148" s="37" t="str">
        <f>IF('Employee Master'!B148="","",'Employee Master'!F148)</f>
        <v/>
      </c>
      <c r="F148" s="37" t="str">
        <f>IF('Employee Master'!B148="","",'Employee Master'!G148)</f>
        <v/>
      </c>
      <c r="G148" s="38"/>
      <c r="H148" s="38"/>
      <c r="I148" s="39" t="str">
        <f t="shared" si="12"/>
        <v/>
      </c>
      <c r="J148" s="40" t="str">
        <f>IF(A148="","",IF(H148=0,0,H148/(Settings!B6*12)))</f>
        <v/>
      </c>
      <c r="K148" s="28"/>
      <c r="L148" s="41"/>
      <c r="M148" s="28"/>
      <c r="N148" s="29" t="str">
        <f t="shared" si="13"/>
        <v/>
      </c>
      <c r="O148" s="28"/>
      <c r="P148" s="28"/>
      <c r="Q148" s="40" t="str">
        <f t="shared" si="14"/>
        <v/>
      </c>
      <c r="R148" s="28"/>
    </row>
    <row r="149" spans="1:18" ht="15" customHeight="1" x14ac:dyDescent="0.2">
      <c r="A149" s="37" t="str">
        <f>IF('Employee Master'!B149="","",'Employee Master'!B149)</f>
        <v/>
      </c>
      <c r="B149" s="37" t="str">
        <f>IF('Employee Master'!B149="","",'Employee Master'!C149)</f>
        <v/>
      </c>
      <c r="C149" s="37" t="str">
        <f>IF('Employee Master'!B149="","",'Employee Master'!D149)</f>
        <v/>
      </c>
      <c r="D149" s="37" t="str">
        <f>IF('Employee Master'!B149="","",'Employee Master'!E149)</f>
        <v/>
      </c>
      <c r="E149" s="37" t="str">
        <f>IF('Employee Master'!B149="","",'Employee Master'!F149)</f>
        <v/>
      </c>
      <c r="F149" s="37" t="str">
        <f>IF('Employee Master'!B149="","",'Employee Master'!G149)</f>
        <v/>
      </c>
      <c r="G149" s="38"/>
      <c r="H149" s="38"/>
      <c r="I149" s="39" t="str">
        <f t="shared" si="12"/>
        <v/>
      </c>
      <c r="J149" s="40" t="str">
        <f>IF(A149="","",IF(H149=0,0,H149/(Settings!B6*12)))</f>
        <v/>
      </c>
      <c r="K149" s="28"/>
      <c r="L149" s="41"/>
      <c r="M149" s="28"/>
      <c r="N149" s="29" t="str">
        <f t="shared" si="13"/>
        <v/>
      </c>
      <c r="O149" s="28"/>
      <c r="P149" s="28"/>
      <c r="Q149" s="40" t="str">
        <f t="shared" si="14"/>
        <v/>
      </c>
      <c r="R149" s="28"/>
    </row>
    <row r="150" spans="1:18" ht="15" customHeight="1" x14ac:dyDescent="0.2">
      <c r="A150" s="37" t="str">
        <f>IF('Employee Master'!B150="","",'Employee Master'!B150)</f>
        <v/>
      </c>
      <c r="B150" s="37" t="str">
        <f>IF('Employee Master'!B150="","",'Employee Master'!C150)</f>
        <v/>
      </c>
      <c r="C150" s="37" t="str">
        <f>IF('Employee Master'!B150="","",'Employee Master'!D150)</f>
        <v/>
      </c>
      <c r="D150" s="37" t="str">
        <f>IF('Employee Master'!B150="","",'Employee Master'!E150)</f>
        <v/>
      </c>
      <c r="E150" s="37" t="str">
        <f>IF('Employee Master'!B150="","",'Employee Master'!F150)</f>
        <v/>
      </c>
      <c r="F150" s="37" t="str">
        <f>IF('Employee Master'!B150="","",'Employee Master'!G150)</f>
        <v/>
      </c>
      <c r="G150" s="38"/>
      <c r="H150" s="38"/>
      <c r="I150" s="39" t="str">
        <f t="shared" si="12"/>
        <v/>
      </c>
      <c r="J150" s="40" t="str">
        <f>IF(A150="","",IF(H150=0,0,H150/(Settings!B6*12)))</f>
        <v/>
      </c>
      <c r="K150" s="28"/>
      <c r="L150" s="41"/>
      <c r="M150" s="28"/>
      <c r="N150" s="29" t="str">
        <f t="shared" si="13"/>
        <v/>
      </c>
      <c r="O150" s="28"/>
      <c r="P150" s="28"/>
      <c r="Q150" s="40" t="str">
        <f t="shared" si="14"/>
        <v/>
      </c>
      <c r="R150" s="28"/>
    </row>
    <row r="151" spans="1:18" ht="15" customHeight="1" x14ac:dyDescent="0.2">
      <c r="A151" s="37" t="str">
        <f>IF('Employee Master'!B151="","",'Employee Master'!B151)</f>
        <v/>
      </c>
      <c r="B151" s="37" t="str">
        <f>IF('Employee Master'!B151="","",'Employee Master'!C151)</f>
        <v/>
      </c>
      <c r="C151" s="37" t="str">
        <f>IF('Employee Master'!B151="","",'Employee Master'!D151)</f>
        <v/>
      </c>
      <c r="D151" s="37" t="str">
        <f>IF('Employee Master'!B151="","",'Employee Master'!E151)</f>
        <v/>
      </c>
      <c r="E151" s="37" t="str">
        <f>IF('Employee Master'!B151="","",'Employee Master'!F151)</f>
        <v/>
      </c>
      <c r="F151" s="37" t="str">
        <f>IF('Employee Master'!B151="","",'Employee Master'!G151)</f>
        <v/>
      </c>
      <c r="G151" s="38"/>
      <c r="H151" s="38"/>
      <c r="I151" s="39" t="str">
        <f t="shared" si="12"/>
        <v/>
      </c>
      <c r="J151" s="40" t="str">
        <f>IF(A151="","",IF(H151=0,0,H151/(Settings!B6*12)))</f>
        <v/>
      </c>
      <c r="K151" s="28"/>
      <c r="L151" s="41"/>
      <c r="M151" s="28"/>
      <c r="N151" s="29" t="str">
        <f t="shared" si="13"/>
        <v/>
      </c>
      <c r="O151" s="28"/>
      <c r="P151" s="28"/>
      <c r="Q151" s="40" t="str">
        <f t="shared" si="14"/>
        <v/>
      </c>
      <c r="R151" s="28"/>
    </row>
    <row r="152" spans="1:18" ht="15" customHeight="1" x14ac:dyDescent="0.2">
      <c r="A152" s="37" t="str">
        <f>IF('Employee Master'!B152="","",'Employee Master'!B152)</f>
        <v/>
      </c>
      <c r="B152" s="37" t="str">
        <f>IF('Employee Master'!B152="","",'Employee Master'!C152)</f>
        <v/>
      </c>
      <c r="C152" s="37" t="str">
        <f>IF('Employee Master'!B152="","",'Employee Master'!D152)</f>
        <v/>
      </c>
      <c r="D152" s="37" t="str">
        <f>IF('Employee Master'!B152="","",'Employee Master'!E152)</f>
        <v/>
      </c>
      <c r="E152" s="37" t="str">
        <f>IF('Employee Master'!B152="","",'Employee Master'!F152)</f>
        <v/>
      </c>
      <c r="F152" s="37" t="str">
        <f>IF('Employee Master'!B152="","",'Employee Master'!G152)</f>
        <v/>
      </c>
      <c r="G152" s="38"/>
      <c r="H152" s="38"/>
      <c r="I152" s="39" t="str">
        <f t="shared" si="12"/>
        <v/>
      </c>
      <c r="J152" s="40" t="str">
        <f>IF(A152="","",IF(H152=0,0,H152/(Settings!B6*12)))</f>
        <v/>
      </c>
      <c r="K152" s="28"/>
      <c r="L152" s="41"/>
      <c r="M152" s="28"/>
      <c r="N152" s="29" t="str">
        <f t="shared" si="13"/>
        <v/>
      </c>
      <c r="O152" s="28"/>
      <c r="P152" s="28"/>
      <c r="Q152" s="40" t="str">
        <f t="shared" si="14"/>
        <v/>
      </c>
      <c r="R152" s="28"/>
    </row>
    <row r="153" spans="1:18" ht="15" customHeight="1" x14ac:dyDescent="0.2">
      <c r="A153" s="37" t="str">
        <f>IF('Employee Master'!B153="","",'Employee Master'!B153)</f>
        <v/>
      </c>
      <c r="B153" s="37" t="str">
        <f>IF('Employee Master'!B153="","",'Employee Master'!C153)</f>
        <v/>
      </c>
      <c r="C153" s="37" t="str">
        <f>IF('Employee Master'!B153="","",'Employee Master'!D153)</f>
        <v/>
      </c>
      <c r="D153" s="37" t="str">
        <f>IF('Employee Master'!B153="","",'Employee Master'!E153)</f>
        <v/>
      </c>
      <c r="E153" s="37" t="str">
        <f>IF('Employee Master'!B153="","",'Employee Master'!F153)</f>
        <v/>
      </c>
      <c r="F153" s="37" t="str">
        <f>IF('Employee Master'!B153="","",'Employee Master'!G153)</f>
        <v/>
      </c>
      <c r="G153" s="38"/>
      <c r="H153" s="38"/>
      <c r="I153" s="39" t="str">
        <f t="shared" si="12"/>
        <v/>
      </c>
      <c r="J153" s="40" t="str">
        <f>IF(A153="","",IF(H153=0,0,H153/(Settings!B6*12)))</f>
        <v/>
      </c>
      <c r="K153" s="28"/>
      <c r="L153" s="41"/>
      <c r="M153" s="28"/>
      <c r="N153" s="29" t="str">
        <f t="shared" si="13"/>
        <v/>
      </c>
      <c r="O153" s="28"/>
      <c r="P153" s="28"/>
      <c r="Q153" s="40" t="str">
        <f t="shared" si="14"/>
        <v/>
      </c>
      <c r="R153" s="28"/>
    </row>
    <row r="154" spans="1:18" ht="15" customHeight="1" x14ac:dyDescent="0.2">
      <c r="A154" s="37" t="str">
        <f>IF('Employee Master'!B154="","",'Employee Master'!B154)</f>
        <v/>
      </c>
      <c r="B154" s="37" t="str">
        <f>IF('Employee Master'!B154="","",'Employee Master'!C154)</f>
        <v/>
      </c>
      <c r="C154" s="37" t="str">
        <f>IF('Employee Master'!B154="","",'Employee Master'!D154)</f>
        <v/>
      </c>
      <c r="D154" s="37" t="str">
        <f>IF('Employee Master'!B154="","",'Employee Master'!E154)</f>
        <v/>
      </c>
      <c r="E154" s="37" t="str">
        <f>IF('Employee Master'!B154="","",'Employee Master'!F154)</f>
        <v/>
      </c>
      <c r="F154" s="37" t="str">
        <f>IF('Employee Master'!B154="","",'Employee Master'!G154)</f>
        <v/>
      </c>
      <c r="G154" s="38"/>
      <c r="H154" s="38"/>
      <c r="I154" s="39" t="str">
        <f t="shared" si="12"/>
        <v/>
      </c>
      <c r="J154" s="40" t="str">
        <f>IF(A154="","",IF(H154=0,0,H154/(Settings!B6*12)))</f>
        <v/>
      </c>
      <c r="K154" s="28"/>
      <c r="L154" s="41"/>
      <c r="M154" s="28"/>
      <c r="N154" s="29" t="str">
        <f t="shared" si="13"/>
        <v/>
      </c>
      <c r="O154" s="28"/>
      <c r="P154" s="28"/>
      <c r="Q154" s="40" t="str">
        <f t="shared" si="14"/>
        <v/>
      </c>
      <c r="R154" s="28"/>
    </row>
    <row r="155" spans="1:18" ht="15" customHeight="1" x14ac:dyDescent="0.2">
      <c r="A155" s="37" t="str">
        <f>IF('Employee Master'!B155="","",'Employee Master'!B155)</f>
        <v/>
      </c>
      <c r="B155" s="37" t="str">
        <f>IF('Employee Master'!B155="","",'Employee Master'!C155)</f>
        <v/>
      </c>
      <c r="C155" s="37" t="str">
        <f>IF('Employee Master'!B155="","",'Employee Master'!D155)</f>
        <v/>
      </c>
      <c r="D155" s="37" t="str">
        <f>IF('Employee Master'!B155="","",'Employee Master'!E155)</f>
        <v/>
      </c>
      <c r="E155" s="37" t="str">
        <f>IF('Employee Master'!B155="","",'Employee Master'!F155)</f>
        <v/>
      </c>
      <c r="F155" s="37" t="str">
        <f>IF('Employee Master'!B155="","",'Employee Master'!G155)</f>
        <v/>
      </c>
      <c r="G155" s="38"/>
      <c r="H155" s="38"/>
      <c r="I155" s="39" t="str">
        <f t="shared" si="12"/>
        <v/>
      </c>
      <c r="J155" s="40" t="str">
        <f>IF(A155="","",IF(H155=0,0,H155/(Settings!B6*12)))</f>
        <v/>
      </c>
      <c r="K155" s="28"/>
      <c r="L155" s="41"/>
      <c r="M155" s="28"/>
      <c r="N155" s="29" t="str">
        <f t="shared" si="13"/>
        <v/>
      </c>
      <c r="O155" s="28"/>
      <c r="P155" s="28"/>
      <c r="Q155" s="40" t="str">
        <f t="shared" si="14"/>
        <v/>
      </c>
      <c r="R155" s="28"/>
    </row>
    <row r="156" spans="1:18" ht="15" customHeight="1" x14ac:dyDescent="0.2">
      <c r="A156" s="37" t="str">
        <f>IF('Employee Master'!B156="","",'Employee Master'!B156)</f>
        <v/>
      </c>
      <c r="B156" s="37" t="str">
        <f>IF('Employee Master'!B156="","",'Employee Master'!C156)</f>
        <v/>
      </c>
      <c r="C156" s="37" t="str">
        <f>IF('Employee Master'!B156="","",'Employee Master'!D156)</f>
        <v/>
      </c>
      <c r="D156" s="37" t="str">
        <f>IF('Employee Master'!B156="","",'Employee Master'!E156)</f>
        <v/>
      </c>
      <c r="E156" s="37" t="str">
        <f>IF('Employee Master'!B156="","",'Employee Master'!F156)</f>
        <v/>
      </c>
      <c r="F156" s="37" t="str">
        <f>IF('Employee Master'!B156="","",'Employee Master'!G156)</f>
        <v/>
      </c>
      <c r="G156" s="38"/>
      <c r="H156" s="38"/>
      <c r="I156" s="39" t="str">
        <f t="shared" si="12"/>
        <v/>
      </c>
      <c r="J156" s="40" t="str">
        <f>IF(A156="","",IF(H156=0,0,H156/(Settings!B6*12)))</f>
        <v/>
      </c>
      <c r="K156" s="28"/>
      <c r="L156" s="41"/>
      <c r="M156" s="28"/>
      <c r="N156" s="29" t="str">
        <f t="shared" si="13"/>
        <v/>
      </c>
      <c r="O156" s="28"/>
      <c r="P156" s="28"/>
      <c r="Q156" s="40" t="str">
        <f t="shared" si="14"/>
        <v/>
      </c>
      <c r="R156" s="28"/>
    </row>
    <row r="157" spans="1:18" ht="15" customHeight="1" x14ac:dyDescent="0.2">
      <c r="A157" s="37" t="str">
        <f>IF('Employee Master'!B157="","",'Employee Master'!B157)</f>
        <v/>
      </c>
      <c r="B157" s="37" t="str">
        <f>IF('Employee Master'!B157="","",'Employee Master'!C157)</f>
        <v/>
      </c>
      <c r="C157" s="37" t="str">
        <f>IF('Employee Master'!B157="","",'Employee Master'!D157)</f>
        <v/>
      </c>
      <c r="D157" s="37" t="str">
        <f>IF('Employee Master'!B157="","",'Employee Master'!E157)</f>
        <v/>
      </c>
      <c r="E157" s="37" t="str">
        <f>IF('Employee Master'!B157="","",'Employee Master'!F157)</f>
        <v/>
      </c>
      <c r="F157" s="37" t="str">
        <f>IF('Employee Master'!B157="","",'Employee Master'!G157)</f>
        <v/>
      </c>
      <c r="G157" s="38"/>
      <c r="H157" s="38"/>
      <c r="I157" s="39" t="str">
        <f t="shared" si="12"/>
        <v/>
      </c>
      <c r="J157" s="40" t="str">
        <f>IF(A157="","",IF(H157=0,0,H157/(Settings!B6*12)))</f>
        <v/>
      </c>
      <c r="K157" s="28"/>
      <c r="L157" s="41"/>
      <c r="M157" s="28"/>
      <c r="N157" s="29" t="str">
        <f t="shared" si="13"/>
        <v/>
      </c>
      <c r="O157" s="28"/>
      <c r="P157" s="28"/>
      <c r="Q157" s="40" t="str">
        <f t="shared" si="14"/>
        <v/>
      </c>
      <c r="R157" s="28"/>
    </row>
    <row r="158" spans="1:18" ht="15" customHeight="1" x14ac:dyDescent="0.2">
      <c r="A158" s="37" t="str">
        <f>IF('Employee Master'!B158="","",'Employee Master'!B158)</f>
        <v/>
      </c>
      <c r="B158" s="37" t="str">
        <f>IF('Employee Master'!B158="","",'Employee Master'!C158)</f>
        <v/>
      </c>
      <c r="C158" s="37" t="str">
        <f>IF('Employee Master'!B158="","",'Employee Master'!D158)</f>
        <v/>
      </c>
      <c r="D158" s="37" t="str">
        <f>IF('Employee Master'!B158="","",'Employee Master'!E158)</f>
        <v/>
      </c>
      <c r="E158" s="37" t="str">
        <f>IF('Employee Master'!B158="","",'Employee Master'!F158)</f>
        <v/>
      </c>
      <c r="F158" s="37" t="str">
        <f>IF('Employee Master'!B158="","",'Employee Master'!G158)</f>
        <v/>
      </c>
      <c r="G158" s="38"/>
      <c r="H158" s="38"/>
      <c r="I158" s="39" t="str">
        <f t="shared" si="12"/>
        <v/>
      </c>
      <c r="J158" s="40" t="str">
        <f>IF(A158="","",IF(H158=0,0,H158/(Settings!B6*12)))</f>
        <v/>
      </c>
      <c r="K158" s="28"/>
      <c r="L158" s="41"/>
      <c r="M158" s="28"/>
      <c r="N158" s="29" t="str">
        <f t="shared" si="13"/>
        <v/>
      </c>
      <c r="O158" s="28"/>
      <c r="P158" s="28"/>
      <c r="Q158" s="40" t="str">
        <f t="shared" si="14"/>
        <v/>
      </c>
      <c r="R158" s="28"/>
    </row>
    <row r="159" spans="1:18" ht="15" customHeight="1" x14ac:dyDescent="0.2">
      <c r="A159" s="37" t="str">
        <f>IF('Employee Master'!B159="","",'Employee Master'!B159)</f>
        <v/>
      </c>
      <c r="B159" s="37" t="str">
        <f>IF('Employee Master'!B159="","",'Employee Master'!C159)</f>
        <v/>
      </c>
      <c r="C159" s="37" t="str">
        <f>IF('Employee Master'!B159="","",'Employee Master'!D159)</f>
        <v/>
      </c>
      <c r="D159" s="37" t="str">
        <f>IF('Employee Master'!B159="","",'Employee Master'!E159)</f>
        <v/>
      </c>
      <c r="E159" s="37" t="str">
        <f>IF('Employee Master'!B159="","",'Employee Master'!F159)</f>
        <v/>
      </c>
      <c r="F159" s="37" t="str">
        <f>IF('Employee Master'!B159="","",'Employee Master'!G159)</f>
        <v/>
      </c>
      <c r="G159" s="38"/>
      <c r="H159" s="38"/>
      <c r="I159" s="39" t="str">
        <f t="shared" si="12"/>
        <v/>
      </c>
      <c r="J159" s="40" t="str">
        <f>IF(A159="","",IF(H159=0,0,H159/(Settings!B6*12)))</f>
        <v/>
      </c>
      <c r="K159" s="28"/>
      <c r="L159" s="41"/>
      <c r="M159" s="28"/>
      <c r="N159" s="29" t="str">
        <f t="shared" si="13"/>
        <v/>
      </c>
      <c r="O159" s="28"/>
      <c r="P159" s="28"/>
      <c r="Q159" s="40" t="str">
        <f t="shared" si="14"/>
        <v/>
      </c>
      <c r="R159" s="28"/>
    </row>
    <row r="160" spans="1:18" ht="15" customHeight="1" x14ac:dyDescent="0.2">
      <c r="A160" s="37" t="str">
        <f>IF('Employee Master'!B160="","",'Employee Master'!B160)</f>
        <v/>
      </c>
      <c r="B160" s="37" t="str">
        <f>IF('Employee Master'!B160="","",'Employee Master'!C160)</f>
        <v/>
      </c>
      <c r="C160" s="37" t="str">
        <f>IF('Employee Master'!B160="","",'Employee Master'!D160)</f>
        <v/>
      </c>
      <c r="D160" s="37" t="str">
        <f>IF('Employee Master'!B160="","",'Employee Master'!E160)</f>
        <v/>
      </c>
      <c r="E160" s="37" t="str">
        <f>IF('Employee Master'!B160="","",'Employee Master'!F160)</f>
        <v/>
      </c>
      <c r="F160" s="37" t="str">
        <f>IF('Employee Master'!B160="","",'Employee Master'!G160)</f>
        <v/>
      </c>
      <c r="G160" s="38"/>
      <c r="H160" s="38"/>
      <c r="I160" s="39" t="str">
        <f t="shared" si="12"/>
        <v/>
      </c>
      <c r="J160" s="40" t="str">
        <f>IF(A160="","",IF(H160=0,0,H160/(Settings!B6*12)))</f>
        <v/>
      </c>
      <c r="K160" s="28"/>
      <c r="L160" s="41"/>
      <c r="M160" s="28"/>
      <c r="N160" s="29" t="str">
        <f t="shared" si="13"/>
        <v/>
      </c>
      <c r="O160" s="28"/>
      <c r="P160" s="28"/>
      <c r="Q160" s="40" t="str">
        <f t="shared" si="14"/>
        <v/>
      </c>
      <c r="R160" s="28"/>
    </row>
    <row r="161" spans="1:18" ht="15" customHeight="1" x14ac:dyDescent="0.2">
      <c r="A161" s="37" t="str">
        <f>IF('Employee Master'!B161="","",'Employee Master'!B161)</f>
        <v/>
      </c>
      <c r="B161" s="37" t="str">
        <f>IF('Employee Master'!B161="","",'Employee Master'!C161)</f>
        <v/>
      </c>
      <c r="C161" s="37" t="str">
        <f>IF('Employee Master'!B161="","",'Employee Master'!D161)</f>
        <v/>
      </c>
      <c r="D161" s="37" t="str">
        <f>IF('Employee Master'!B161="","",'Employee Master'!E161)</f>
        <v/>
      </c>
      <c r="E161" s="37" t="str">
        <f>IF('Employee Master'!B161="","",'Employee Master'!F161)</f>
        <v/>
      </c>
      <c r="F161" s="37" t="str">
        <f>IF('Employee Master'!B161="","",'Employee Master'!G161)</f>
        <v/>
      </c>
      <c r="G161" s="38"/>
      <c r="H161" s="38"/>
      <c r="I161" s="39" t="str">
        <f t="shared" si="12"/>
        <v/>
      </c>
      <c r="J161" s="40" t="str">
        <f>IF(A161="","",IF(H161=0,0,H161/(Settings!B6*12)))</f>
        <v/>
      </c>
      <c r="K161" s="28"/>
      <c r="L161" s="41"/>
      <c r="M161" s="28"/>
      <c r="N161" s="29" t="str">
        <f t="shared" si="13"/>
        <v/>
      </c>
      <c r="O161" s="28"/>
      <c r="P161" s="28"/>
      <c r="Q161" s="40" t="str">
        <f t="shared" si="14"/>
        <v/>
      </c>
      <c r="R161" s="28"/>
    </row>
    <row r="162" spans="1:18" ht="15" customHeight="1" x14ac:dyDescent="0.2">
      <c r="A162" s="37" t="str">
        <f>IF('Employee Master'!B162="","",'Employee Master'!B162)</f>
        <v/>
      </c>
      <c r="B162" s="37" t="str">
        <f>IF('Employee Master'!B162="","",'Employee Master'!C162)</f>
        <v/>
      </c>
      <c r="C162" s="37" t="str">
        <f>IF('Employee Master'!B162="","",'Employee Master'!D162)</f>
        <v/>
      </c>
      <c r="D162" s="37" t="str">
        <f>IF('Employee Master'!B162="","",'Employee Master'!E162)</f>
        <v/>
      </c>
      <c r="E162" s="37" t="str">
        <f>IF('Employee Master'!B162="","",'Employee Master'!F162)</f>
        <v/>
      </c>
      <c r="F162" s="37" t="str">
        <f>IF('Employee Master'!B162="","",'Employee Master'!G162)</f>
        <v/>
      </c>
      <c r="G162" s="38"/>
      <c r="H162" s="38"/>
      <c r="I162" s="39" t="str">
        <f t="shared" si="12"/>
        <v/>
      </c>
      <c r="J162" s="40" t="str">
        <f>IF(A162="","",IF(H162=0,0,H162/(Settings!B6*12)))</f>
        <v/>
      </c>
      <c r="K162" s="28"/>
      <c r="L162" s="41"/>
      <c r="M162" s="28"/>
      <c r="N162" s="29" t="str">
        <f t="shared" si="13"/>
        <v/>
      </c>
      <c r="O162" s="28"/>
      <c r="P162" s="28"/>
      <c r="Q162" s="40" t="str">
        <f t="shared" si="14"/>
        <v/>
      </c>
      <c r="R162" s="28"/>
    </row>
    <row r="163" spans="1:18" ht="15" customHeight="1" x14ac:dyDescent="0.2">
      <c r="A163" s="37" t="str">
        <f>IF('Employee Master'!B163="","",'Employee Master'!B163)</f>
        <v/>
      </c>
      <c r="B163" s="37" t="str">
        <f>IF('Employee Master'!B163="","",'Employee Master'!C163)</f>
        <v/>
      </c>
      <c r="C163" s="37" t="str">
        <f>IF('Employee Master'!B163="","",'Employee Master'!D163)</f>
        <v/>
      </c>
      <c r="D163" s="37" t="str">
        <f>IF('Employee Master'!B163="","",'Employee Master'!E163)</f>
        <v/>
      </c>
      <c r="E163" s="37" t="str">
        <f>IF('Employee Master'!B163="","",'Employee Master'!F163)</f>
        <v/>
      </c>
      <c r="F163" s="37" t="str">
        <f>IF('Employee Master'!B163="","",'Employee Master'!G163)</f>
        <v/>
      </c>
      <c r="G163" s="38"/>
      <c r="H163" s="38"/>
      <c r="I163" s="39" t="str">
        <f t="shared" si="12"/>
        <v/>
      </c>
      <c r="J163" s="40" t="str">
        <f>IF(A163="","",IF(H163=0,0,H163/(Settings!B6*12)))</f>
        <v/>
      </c>
      <c r="K163" s="28"/>
      <c r="L163" s="41"/>
      <c r="M163" s="28"/>
      <c r="N163" s="29" t="str">
        <f t="shared" si="13"/>
        <v/>
      </c>
      <c r="O163" s="28"/>
      <c r="P163" s="28"/>
      <c r="Q163" s="40" t="str">
        <f t="shared" si="14"/>
        <v/>
      </c>
      <c r="R163" s="28"/>
    </row>
    <row r="164" spans="1:18" ht="15" customHeight="1" x14ac:dyDescent="0.2">
      <c r="A164" s="37" t="str">
        <f>IF('Employee Master'!B164="","",'Employee Master'!B164)</f>
        <v/>
      </c>
      <c r="B164" s="37" t="str">
        <f>IF('Employee Master'!B164="","",'Employee Master'!C164)</f>
        <v/>
      </c>
      <c r="C164" s="37" t="str">
        <f>IF('Employee Master'!B164="","",'Employee Master'!D164)</f>
        <v/>
      </c>
      <c r="D164" s="37" t="str">
        <f>IF('Employee Master'!B164="","",'Employee Master'!E164)</f>
        <v/>
      </c>
      <c r="E164" s="37" t="str">
        <f>IF('Employee Master'!B164="","",'Employee Master'!F164)</f>
        <v/>
      </c>
      <c r="F164" s="37" t="str">
        <f>IF('Employee Master'!B164="","",'Employee Master'!G164)</f>
        <v/>
      </c>
      <c r="G164" s="38"/>
      <c r="H164" s="38"/>
      <c r="I164" s="39" t="str">
        <f t="shared" ref="I164:I195" si="15">IF(A164="","",G164-H164)</f>
        <v/>
      </c>
      <c r="J164" s="40" t="str">
        <f>IF(A164="","",IF(H164=0,0,H164/(Settings!B6*12)))</f>
        <v/>
      </c>
      <c r="K164" s="28"/>
      <c r="L164" s="41"/>
      <c r="M164" s="28"/>
      <c r="N164" s="29" t="str">
        <f t="shared" ref="N164:N195" si="16">IF(A164="","",IF(H164=0,0,M164/H164))</f>
        <v/>
      </c>
      <c r="O164" s="28"/>
      <c r="P164" s="28"/>
      <c r="Q164" s="40" t="str">
        <f t="shared" ref="Q164:Q195" si="17">IF(A164="","",IF(O164=0,0,1-P164/O164))</f>
        <v/>
      </c>
      <c r="R164" s="28"/>
    </row>
    <row r="165" spans="1:18" ht="15" customHeight="1" x14ac:dyDescent="0.2">
      <c r="A165" s="37" t="str">
        <f>IF('Employee Master'!B165="","",'Employee Master'!B165)</f>
        <v/>
      </c>
      <c r="B165" s="37" t="str">
        <f>IF('Employee Master'!B165="","",'Employee Master'!C165)</f>
        <v/>
      </c>
      <c r="C165" s="37" t="str">
        <f>IF('Employee Master'!B165="","",'Employee Master'!D165)</f>
        <v/>
      </c>
      <c r="D165" s="37" t="str">
        <f>IF('Employee Master'!B165="","",'Employee Master'!E165)</f>
        <v/>
      </c>
      <c r="E165" s="37" t="str">
        <f>IF('Employee Master'!B165="","",'Employee Master'!F165)</f>
        <v/>
      </c>
      <c r="F165" s="37" t="str">
        <f>IF('Employee Master'!B165="","",'Employee Master'!G165)</f>
        <v/>
      </c>
      <c r="G165" s="38"/>
      <c r="H165" s="38"/>
      <c r="I165" s="39" t="str">
        <f t="shared" si="15"/>
        <v/>
      </c>
      <c r="J165" s="40" t="str">
        <f>IF(A165="","",IF(H165=0,0,H165/(Settings!B6*12)))</f>
        <v/>
      </c>
      <c r="K165" s="28"/>
      <c r="L165" s="41"/>
      <c r="M165" s="28"/>
      <c r="N165" s="29" t="str">
        <f t="shared" si="16"/>
        <v/>
      </c>
      <c r="O165" s="28"/>
      <c r="P165" s="28"/>
      <c r="Q165" s="40" t="str">
        <f t="shared" si="17"/>
        <v/>
      </c>
      <c r="R165" s="28"/>
    </row>
    <row r="166" spans="1:18" ht="15" customHeight="1" x14ac:dyDescent="0.2">
      <c r="A166" s="37" t="str">
        <f>IF('Employee Master'!B166="","",'Employee Master'!B166)</f>
        <v/>
      </c>
      <c r="B166" s="37" t="str">
        <f>IF('Employee Master'!B166="","",'Employee Master'!C166)</f>
        <v/>
      </c>
      <c r="C166" s="37" t="str">
        <f>IF('Employee Master'!B166="","",'Employee Master'!D166)</f>
        <v/>
      </c>
      <c r="D166" s="37" t="str">
        <f>IF('Employee Master'!B166="","",'Employee Master'!E166)</f>
        <v/>
      </c>
      <c r="E166" s="37" t="str">
        <f>IF('Employee Master'!B166="","",'Employee Master'!F166)</f>
        <v/>
      </c>
      <c r="F166" s="37" t="str">
        <f>IF('Employee Master'!B166="","",'Employee Master'!G166)</f>
        <v/>
      </c>
      <c r="G166" s="38"/>
      <c r="H166" s="38"/>
      <c r="I166" s="39" t="str">
        <f t="shared" si="15"/>
        <v/>
      </c>
      <c r="J166" s="40" t="str">
        <f>IF(A166="","",IF(H166=0,0,H166/(Settings!B6*12)))</f>
        <v/>
      </c>
      <c r="K166" s="28"/>
      <c r="L166" s="41"/>
      <c r="M166" s="28"/>
      <c r="N166" s="29" t="str">
        <f t="shared" si="16"/>
        <v/>
      </c>
      <c r="O166" s="28"/>
      <c r="P166" s="28"/>
      <c r="Q166" s="40" t="str">
        <f t="shared" si="17"/>
        <v/>
      </c>
      <c r="R166" s="28"/>
    </row>
    <row r="167" spans="1:18" ht="15" customHeight="1" x14ac:dyDescent="0.2">
      <c r="A167" s="37" t="str">
        <f>IF('Employee Master'!B167="","",'Employee Master'!B167)</f>
        <v/>
      </c>
      <c r="B167" s="37" t="str">
        <f>IF('Employee Master'!B167="","",'Employee Master'!C167)</f>
        <v/>
      </c>
      <c r="C167" s="37" t="str">
        <f>IF('Employee Master'!B167="","",'Employee Master'!D167)</f>
        <v/>
      </c>
      <c r="D167" s="37" t="str">
        <f>IF('Employee Master'!B167="","",'Employee Master'!E167)</f>
        <v/>
      </c>
      <c r="E167" s="37" t="str">
        <f>IF('Employee Master'!B167="","",'Employee Master'!F167)</f>
        <v/>
      </c>
      <c r="F167" s="37" t="str">
        <f>IF('Employee Master'!B167="","",'Employee Master'!G167)</f>
        <v/>
      </c>
      <c r="G167" s="38"/>
      <c r="H167" s="38"/>
      <c r="I167" s="39" t="str">
        <f t="shared" si="15"/>
        <v/>
      </c>
      <c r="J167" s="40" t="str">
        <f>IF(A167="","",IF(H167=0,0,H167/(Settings!B6*12)))</f>
        <v/>
      </c>
      <c r="K167" s="28"/>
      <c r="L167" s="41"/>
      <c r="M167" s="28"/>
      <c r="N167" s="29" t="str">
        <f t="shared" si="16"/>
        <v/>
      </c>
      <c r="O167" s="28"/>
      <c r="P167" s="28"/>
      <c r="Q167" s="40" t="str">
        <f t="shared" si="17"/>
        <v/>
      </c>
      <c r="R167" s="28"/>
    </row>
    <row r="168" spans="1:18" ht="15" customHeight="1" x14ac:dyDescent="0.2">
      <c r="A168" s="37" t="str">
        <f>IF('Employee Master'!B168="","",'Employee Master'!B168)</f>
        <v/>
      </c>
      <c r="B168" s="37" t="str">
        <f>IF('Employee Master'!B168="","",'Employee Master'!C168)</f>
        <v/>
      </c>
      <c r="C168" s="37" t="str">
        <f>IF('Employee Master'!B168="","",'Employee Master'!D168)</f>
        <v/>
      </c>
      <c r="D168" s="37" t="str">
        <f>IF('Employee Master'!B168="","",'Employee Master'!E168)</f>
        <v/>
      </c>
      <c r="E168" s="37" t="str">
        <f>IF('Employee Master'!B168="","",'Employee Master'!F168)</f>
        <v/>
      </c>
      <c r="F168" s="37" t="str">
        <f>IF('Employee Master'!B168="","",'Employee Master'!G168)</f>
        <v/>
      </c>
      <c r="G168" s="38"/>
      <c r="H168" s="38"/>
      <c r="I168" s="39" t="str">
        <f t="shared" si="15"/>
        <v/>
      </c>
      <c r="J168" s="40" t="str">
        <f>IF(A168="","",IF(H168=0,0,H168/(Settings!B6*12)))</f>
        <v/>
      </c>
      <c r="K168" s="28"/>
      <c r="L168" s="41"/>
      <c r="M168" s="28"/>
      <c r="N168" s="29" t="str">
        <f t="shared" si="16"/>
        <v/>
      </c>
      <c r="O168" s="28"/>
      <c r="P168" s="28"/>
      <c r="Q168" s="40" t="str">
        <f t="shared" si="17"/>
        <v/>
      </c>
      <c r="R168" s="28"/>
    </row>
    <row r="169" spans="1:18" ht="15" customHeight="1" x14ac:dyDescent="0.2">
      <c r="A169" s="37" t="str">
        <f>IF('Employee Master'!B169="","",'Employee Master'!B169)</f>
        <v/>
      </c>
      <c r="B169" s="37" t="str">
        <f>IF('Employee Master'!B169="","",'Employee Master'!C169)</f>
        <v/>
      </c>
      <c r="C169" s="37" t="str">
        <f>IF('Employee Master'!B169="","",'Employee Master'!D169)</f>
        <v/>
      </c>
      <c r="D169" s="37" t="str">
        <f>IF('Employee Master'!B169="","",'Employee Master'!E169)</f>
        <v/>
      </c>
      <c r="E169" s="37" t="str">
        <f>IF('Employee Master'!B169="","",'Employee Master'!F169)</f>
        <v/>
      </c>
      <c r="F169" s="37" t="str">
        <f>IF('Employee Master'!B169="","",'Employee Master'!G169)</f>
        <v/>
      </c>
      <c r="G169" s="38"/>
      <c r="H169" s="38"/>
      <c r="I169" s="39" t="str">
        <f t="shared" si="15"/>
        <v/>
      </c>
      <c r="J169" s="40" t="str">
        <f>IF(A169="","",IF(H169=0,0,H169/(Settings!B6*12)))</f>
        <v/>
      </c>
      <c r="K169" s="28"/>
      <c r="L169" s="41"/>
      <c r="M169" s="28"/>
      <c r="N169" s="29" t="str">
        <f t="shared" si="16"/>
        <v/>
      </c>
      <c r="O169" s="28"/>
      <c r="P169" s="28"/>
      <c r="Q169" s="40" t="str">
        <f t="shared" si="17"/>
        <v/>
      </c>
      <c r="R169" s="28"/>
    </row>
    <row r="170" spans="1:18" ht="15" customHeight="1" x14ac:dyDescent="0.2">
      <c r="A170" s="37" t="str">
        <f>IF('Employee Master'!B170="","",'Employee Master'!B170)</f>
        <v/>
      </c>
      <c r="B170" s="37" t="str">
        <f>IF('Employee Master'!B170="","",'Employee Master'!C170)</f>
        <v/>
      </c>
      <c r="C170" s="37" t="str">
        <f>IF('Employee Master'!B170="","",'Employee Master'!D170)</f>
        <v/>
      </c>
      <c r="D170" s="37" t="str">
        <f>IF('Employee Master'!B170="","",'Employee Master'!E170)</f>
        <v/>
      </c>
      <c r="E170" s="37" t="str">
        <f>IF('Employee Master'!B170="","",'Employee Master'!F170)</f>
        <v/>
      </c>
      <c r="F170" s="37" t="str">
        <f>IF('Employee Master'!B170="","",'Employee Master'!G170)</f>
        <v/>
      </c>
      <c r="G170" s="38"/>
      <c r="H170" s="38"/>
      <c r="I170" s="39" t="str">
        <f t="shared" si="15"/>
        <v/>
      </c>
      <c r="J170" s="40" t="str">
        <f>IF(A170="","",IF(H170=0,0,H170/(Settings!B6*12)))</f>
        <v/>
      </c>
      <c r="K170" s="28"/>
      <c r="L170" s="41"/>
      <c r="M170" s="28"/>
      <c r="N170" s="29" t="str">
        <f t="shared" si="16"/>
        <v/>
      </c>
      <c r="O170" s="28"/>
      <c r="P170" s="28"/>
      <c r="Q170" s="40" t="str">
        <f t="shared" si="17"/>
        <v/>
      </c>
      <c r="R170" s="28"/>
    </row>
    <row r="171" spans="1:18" ht="15" customHeight="1" x14ac:dyDescent="0.2">
      <c r="A171" s="37" t="str">
        <f>IF('Employee Master'!B171="","",'Employee Master'!B171)</f>
        <v/>
      </c>
      <c r="B171" s="37" t="str">
        <f>IF('Employee Master'!B171="","",'Employee Master'!C171)</f>
        <v/>
      </c>
      <c r="C171" s="37" t="str">
        <f>IF('Employee Master'!B171="","",'Employee Master'!D171)</f>
        <v/>
      </c>
      <c r="D171" s="37" t="str">
        <f>IF('Employee Master'!B171="","",'Employee Master'!E171)</f>
        <v/>
      </c>
      <c r="E171" s="37" t="str">
        <f>IF('Employee Master'!B171="","",'Employee Master'!F171)</f>
        <v/>
      </c>
      <c r="F171" s="37" t="str">
        <f>IF('Employee Master'!B171="","",'Employee Master'!G171)</f>
        <v/>
      </c>
      <c r="G171" s="38"/>
      <c r="H171" s="38"/>
      <c r="I171" s="39" t="str">
        <f t="shared" si="15"/>
        <v/>
      </c>
      <c r="J171" s="40" t="str">
        <f>IF(A171="","",IF(H171=0,0,H171/(Settings!B6*12)))</f>
        <v/>
      </c>
      <c r="K171" s="28"/>
      <c r="L171" s="41"/>
      <c r="M171" s="28"/>
      <c r="N171" s="29" t="str">
        <f t="shared" si="16"/>
        <v/>
      </c>
      <c r="O171" s="28"/>
      <c r="P171" s="28"/>
      <c r="Q171" s="40" t="str">
        <f t="shared" si="17"/>
        <v/>
      </c>
      <c r="R171" s="28"/>
    </row>
    <row r="172" spans="1:18" ht="15" customHeight="1" x14ac:dyDescent="0.2">
      <c r="A172" s="37" t="str">
        <f>IF('Employee Master'!B172="","",'Employee Master'!B172)</f>
        <v/>
      </c>
      <c r="B172" s="37" t="str">
        <f>IF('Employee Master'!B172="","",'Employee Master'!C172)</f>
        <v/>
      </c>
      <c r="C172" s="37" t="str">
        <f>IF('Employee Master'!B172="","",'Employee Master'!D172)</f>
        <v/>
      </c>
      <c r="D172" s="37" t="str">
        <f>IF('Employee Master'!B172="","",'Employee Master'!E172)</f>
        <v/>
      </c>
      <c r="E172" s="37" t="str">
        <f>IF('Employee Master'!B172="","",'Employee Master'!F172)</f>
        <v/>
      </c>
      <c r="F172" s="37" t="str">
        <f>IF('Employee Master'!B172="","",'Employee Master'!G172)</f>
        <v/>
      </c>
      <c r="G172" s="38"/>
      <c r="H172" s="38"/>
      <c r="I172" s="39" t="str">
        <f t="shared" si="15"/>
        <v/>
      </c>
      <c r="J172" s="40" t="str">
        <f>IF(A172="","",IF(H172=0,0,H172/(Settings!B6*12)))</f>
        <v/>
      </c>
      <c r="K172" s="28"/>
      <c r="L172" s="41"/>
      <c r="M172" s="28"/>
      <c r="N172" s="29" t="str">
        <f t="shared" si="16"/>
        <v/>
      </c>
      <c r="O172" s="28"/>
      <c r="P172" s="28"/>
      <c r="Q172" s="40" t="str">
        <f t="shared" si="17"/>
        <v/>
      </c>
      <c r="R172" s="28"/>
    </row>
    <row r="173" spans="1:18" ht="15" customHeight="1" x14ac:dyDescent="0.2">
      <c r="A173" s="37" t="str">
        <f>IF('Employee Master'!B173="","",'Employee Master'!B173)</f>
        <v/>
      </c>
      <c r="B173" s="37" t="str">
        <f>IF('Employee Master'!B173="","",'Employee Master'!C173)</f>
        <v/>
      </c>
      <c r="C173" s="37" t="str">
        <f>IF('Employee Master'!B173="","",'Employee Master'!D173)</f>
        <v/>
      </c>
      <c r="D173" s="37" t="str">
        <f>IF('Employee Master'!B173="","",'Employee Master'!E173)</f>
        <v/>
      </c>
      <c r="E173" s="37" t="str">
        <f>IF('Employee Master'!B173="","",'Employee Master'!F173)</f>
        <v/>
      </c>
      <c r="F173" s="37" t="str">
        <f>IF('Employee Master'!B173="","",'Employee Master'!G173)</f>
        <v/>
      </c>
      <c r="G173" s="38"/>
      <c r="H173" s="38"/>
      <c r="I173" s="39" t="str">
        <f t="shared" si="15"/>
        <v/>
      </c>
      <c r="J173" s="40" t="str">
        <f>IF(A173="","",IF(H173=0,0,H173/(Settings!B6*12)))</f>
        <v/>
      </c>
      <c r="K173" s="28"/>
      <c r="L173" s="41"/>
      <c r="M173" s="28"/>
      <c r="N173" s="29" t="str">
        <f t="shared" si="16"/>
        <v/>
      </c>
      <c r="O173" s="28"/>
      <c r="P173" s="28"/>
      <c r="Q173" s="40" t="str">
        <f t="shared" si="17"/>
        <v/>
      </c>
      <c r="R173" s="28"/>
    </row>
    <row r="174" spans="1:18" ht="15" customHeight="1" x14ac:dyDescent="0.2">
      <c r="A174" s="37" t="str">
        <f>IF('Employee Master'!B174="","",'Employee Master'!B174)</f>
        <v/>
      </c>
      <c r="B174" s="37" t="str">
        <f>IF('Employee Master'!B174="","",'Employee Master'!C174)</f>
        <v/>
      </c>
      <c r="C174" s="37" t="str">
        <f>IF('Employee Master'!B174="","",'Employee Master'!D174)</f>
        <v/>
      </c>
      <c r="D174" s="37" t="str">
        <f>IF('Employee Master'!B174="","",'Employee Master'!E174)</f>
        <v/>
      </c>
      <c r="E174" s="37" t="str">
        <f>IF('Employee Master'!B174="","",'Employee Master'!F174)</f>
        <v/>
      </c>
      <c r="F174" s="37" t="str">
        <f>IF('Employee Master'!B174="","",'Employee Master'!G174)</f>
        <v/>
      </c>
      <c r="G174" s="38"/>
      <c r="H174" s="38"/>
      <c r="I174" s="39" t="str">
        <f t="shared" si="15"/>
        <v/>
      </c>
      <c r="J174" s="40" t="str">
        <f>IF(A174="","",IF(H174=0,0,H174/(Settings!B6*12)))</f>
        <v/>
      </c>
      <c r="K174" s="28"/>
      <c r="L174" s="41"/>
      <c r="M174" s="28"/>
      <c r="N174" s="29" t="str">
        <f t="shared" si="16"/>
        <v/>
      </c>
      <c r="O174" s="28"/>
      <c r="P174" s="28"/>
      <c r="Q174" s="40" t="str">
        <f t="shared" si="17"/>
        <v/>
      </c>
      <c r="R174" s="28"/>
    </row>
    <row r="175" spans="1:18" ht="15" customHeight="1" x14ac:dyDescent="0.2">
      <c r="A175" s="37" t="str">
        <f>IF('Employee Master'!B175="","",'Employee Master'!B175)</f>
        <v/>
      </c>
      <c r="B175" s="37" t="str">
        <f>IF('Employee Master'!B175="","",'Employee Master'!C175)</f>
        <v/>
      </c>
      <c r="C175" s="37" t="str">
        <f>IF('Employee Master'!B175="","",'Employee Master'!D175)</f>
        <v/>
      </c>
      <c r="D175" s="37" t="str">
        <f>IF('Employee Master'!B175="","",'Employee Master'!E175)</f>
        <v/>
      </c>
      <c r="E175" s="37" t="str">
        <f>IF('Employee Master'!B175="","",'Employee Master'!F175)</f>
        <v/>
      </c>
      <c r="F175" s="37" t="str">
        <f>IF('Employee Master'!B175="","",'Employee Master'!G175)</f>
        <v/>
      </c>
      <c r="G175" s="38"/>
      <c r="H175" s="38"/>
      <c r="I175" s="39" t="str">
        <f t="shared" si="15"/>
        <v/>
      </c>
      <c r="J175" s="40" t="str">
        <f>IF(A175="","",IF(H175=0,0,H175/(Settings!B6*12)))</f>
        <v/>
      </c>
      <c r="K175" s="28"/>
      <c r="L175" s="41"/>
      <c r="M175" s="28"/>
      <c r="N175" s="29" t="str">
        <f t="shared" si="16"/>
        <v/>
      </c>
      <c r="O175" s="28"/>
      <c r="P175" s="28"/>
      <c r="Q175" s="40" t="str">
        <f t="shared" si="17"/>
        <v/>
      </c>
      <c r="R175" s="28"/>
    </row>
    <row r="176" spans="1:18" ht="15" customHeight="1" x14ac:dyDescent="0.2">
      <c r="A176" s="37" t="str">
        <f>IF('Employee Master'!B176="","",'Employee Master'!B176)</f>
        <v/>
      </c>
      <c r="B176" s="37" t="str">
        <f>IF('Employee Master'!B176="","",'Employee Master'!C176)</f>
        <v/>
      </c>
      <c r="C176" s="37" t="str">
        <f>IF('Employee Master'!B176="","",'Employee Master'!D176)</f>
        <v/>
      </c>
      <c r="D176" s="37" t="str">
        <f>IF('Employee Master'!B176="","",'Employee Master'!E176)</f>
        <v/>
      </c>
      <c r="E176" s="37" t="str">
        <f>IF('Employee Master'!B176="","",'Employee Master'!F176)</f>
        <v/>
      </c>
      <c r="F176" s="37" t="str">
        <f>IF('Employee Master'!B176="","",'Employee Master'!G176)</f>
        <v/>
      </c>
      <c r="G176" s="38"/>
      <c r="H176" s="38"/>
      <c r="I176" s="39" t="str">
        <f t="shared" si="15"/>
        <v/>
      </c>
      <c r="J176" s="40" t="str">
        <f>IF(A176="","",IF(H176=0,0,H176/(Settings!B6*12)))</f>
        <v/>
      </c>
      <c r="K176" s="28"/>
      <c r="L176" s="41"/>
      <c r="M176" s="28"/>
      <c r="N176" s="29" t="str">
        <f t="shared" si="16"/>
        <v/>
      </c>
      <c r="O176" s="28"/>
      <c r="P176" s="28"/>
      <c r="Q176" s="40" t="str">
        <f t="shared" si="17"/>
        <v/>
      </c>
      <c r="R176" s="28"/>
    </row>
    <row r="177" spans="1:18" ht="15" customHeight="1" x14ac:dyDescent="0.2">
      <c r="A177" s="37" t="str">
        <f>IF('Employee Master'!B177="","",'Employee Master'!B177)</f>
        <v/>
      </c>
      <c r="B177" s="37" t="str">
        <f>IF('Employee Master'!B177="","",'Employee Master'!C177)</f>
        <v/>
      </c>
      <c r="C177" s="37" t="str">
        <f>IF('Employee Master'!B177="","",'Employee Master'!D177)</f>
        <v/>
      </c>
      <c r="D177" s="37" t="str">
        <f>IF('Employee Master'!B177="","",'Employee Master'!E177)</f>
        <v/>
      </c>
      <c r="E177" s="37" t="str">
        <f>IF('Employee Master'!B177="","",'Employee Master'!F177)</f>
        <v/>
      </c>
      <c r="F177" s="37" t="str">
        <f>IF('Employee Master'!B177="","",'Employee Master'!G177)</f>
        <v/>
      </c>
      <c r="G177" s="38"/>
      <c r="H177" s="38"/>
      <c r="I177" s="39" t="str">
        <f t="shared" si="15"/>
        <v/>
      </c>
      <c r="J177" s="40" t="str">
        <f>IF(A177="","",IF(H177=0,0,H177/(Settings!B6*12)))</f>
        <v/>
      </c>
      <c r="K177" s="28"/>
      <c r="L177" s="41"/>
      <c r="M177" s="28"/>
      <c r="N177" s="29" t="str">
        <f t="shared" si="16"/>
        <v/>
      </c>
      <c r="O177" s="28"/>
      <c r="P177" s="28"/>
      <c r="Q177" s="40" t="str">
        <f t="shared" si="17"/>
        <v/>
      </c>
      <c r="R177" s="28"/>
    </row>
    <row r="178" spans="1:18" ht="15" customHeight="1" x14ac:dyDescent="0.2">
      <c r="A178" s="37" t="str">
        <f>IF('Employee Master'!B178="","",'Employee Master'!B178)</f>
        <v/>
      </c>
      <c r="B178" s="37" t="str">
        <f>IF('Employee Master'!B178="","",'Employee Master'!C178)</f>
        <v/>
      </c>
      <c r="C178" s="37" t="str">
        <f>IF('Employee Master'!B178="","",'Employee Master'!D178)</f>
        <v/>
      </c>
      <c r="D178" s="37" t="str">
        <f>IF('Employee Master'!B178="","",'Employee Master'!E178)</f>
        <v/>
      </c>
      <c r="E178" s="37" t="str">
        <f>IF('Employee Master'!B178="","",'Employee Master'!F178)</f>
        <v/>
      </c>
      <c r="F178" s="37" t="str">
        <f>IF('Employee Master'!B178="","",'Employee Master'!G178)</f>
        <v/>
      </c>
      <c r="G178" s="38"/>
      <c r="H178" s="38"/>
      <c r="I178" s="39" t="str">
        <f t="shared" si="15"/>
        <v/>
      </c>
      <c r="J178" s="40" t="str">
        <f>IF(A178="","",IF(H178=0,0,H178/(Settings!B6*12)))</f>
        <v/>
      </c>
      <c r="K178" s="28"/>
      <c r="L178" s="41"/>
      <c r="M178" s="28"/>
      <c r="N178" s="29" t="str">
        <f t="shared" si="16"/>
        <v/>
      </c>
      <c r="O178" s="28"/>
      <c r="P178" s="28"/>
      <c r="Q178" s="40" t="str">
        <f t="shared" si="17"/>
        <v/>
      </c>
      <c r="R178" s="28"/>
    </row>
    <row r="179" spans="1:18" ht="15" customHeight="1" x14ac:dyDescent="0.2">
      <c r="A179" s="37" t="str">
        <f>IF('Employee Master'!B179="","",'Employee Master'!B179)</f>
        <v/>
      </c>
      <c r="B179" s="37" t="str">
        <f>IF('Employee Master'!B179="","",'Employee Master'!C179)</f>
        <v/>
      </c>
      <c r="C179" s="37" t="str">
        <f>IF('Employee Master'!B179="","",'Employee Master'!D179)</f>
        <v/>
      </c>
      <c r="D179" s="37" t="str">
        <f>IF('Employee Master'!B179="","",'Employee Master'!E179)</f>
        <v/>
      </c>
      <c r="E179" s="37" t="str">
        <f>IF('Employee Master'!B179="","",'Employee Master'!F179)</f>
        <v/>
      </c>
      <c r="F179" s="37" t="str">
        <f>IF('Employee Master'!B179="","",'Employee Master'!G179)</f>
        <v/>
      </c>
      <c r="G179" s="38"/>
      <c r="H179" s="38"/>
      <c r="I179" s="39" t="str">
        <f t="shared" si="15"/>
        <v/>
      </c>
      <c r="J179" s="40" t="str">
        <f>IF(A179="","",IF(H179=0,0,H179/(Settings!B6*12)))</f>
        <v/>
      </c>
      <c r="K179" s="28"/>
      <c r="L179" s="41"/>
      <c r="M179" s="28"/>
      <c r="N179" s="29" t="str">
        <f t="shared" si="16"/>
        <v/>
      </c>
      <c r="O179" s="28"/>
      <c r="P179" s="28"/>
      <c r="Q179" s="40" t="str">
        <f t="shared" si="17"/>
        <v/>
      </c>
      <c r="R179" s="28"/>
    </row>
    <row r="180" spans="1:18" ht="15" customHeight="1" x14ac:dyDescent="0.2">
      <c r="A180" s="37" t="str">
        <f>IF('Employee Master'!B180="","",'Employee Master'!B180)</f>
        <v/>
      </c>
      <c r="B180" s="37" t="str">
        <f>IF('Employee Master'!B180="","",'Employee Master'!C180)</f>
        <v/>
      </c>
      <c r="C180" s="37" t="str">
        <f>IF('Employee Master'!B180="","",'Employee Master'!D180)</f>
        <v/>
      </c>
      <c r="D180" s="37" t="str">
        <f>IF('Employee Master'!B180="","",'Employee Master'!E180)</f>
        <v/>
      </c>
      <c r="E180" s="37" t="str">
        <f>IF('Employee Master'!B180="","",'Employee Master'!F180)</f>
        <v/>
      </c>
      <c r="F180" s="37" t="str">
        <f>IF('Employee Master'!B180="","",'Employee Master'!G180)</f>
        <v/>
      </c>
      <c r="G180" s="38"/>
      <c r="H180" s="38"/>
      <c r="I180" s="39" t="str">
        <f t="shared" si="15"/>
        <v/>
      </c>
      <c r="J180" s="40" t="str">
        <f>IF(A180="","",IF(H180=0,0,H180/(Settings!B6*12)))</f>
        <v/>
      </c>
      <c r="K180" s="28"/>
      <c r="L180" s="41"/>
      <c r="M180" s="28"/>
      <c r="N180" s="29" t="str">
        <f t="shared" si="16"/>
        <v/>
      </c>
      <c r="O180" s="28"/>
      <c r="P180" s="28"/>
      <c r="Q180" s="40" t="str">
        <f t="shared" si="17"/>
        <v/>
      </c>
      <c r="R180" s="28"/>
    </row>
    <row r="181" spans="1:18" ht="15" customHeight="1" x14ac:dyDescent="0.2">
      <c r="A181" s="37" t="str">
        <f>IF('Employee Master'!B181="","",'Employee Master'!B181)</f>
        <v/>
      </c>
      <c r="B181" s="37" t="str">
        <f>IF('Employee Master'!B181="","",'Employee Master'!C181)</f>
        <v/>
      </c>
      <c r="C181" s="37" t="str">
        <f>IF('Employee Master'!B181="","",'Employee Master'!D181)</f>
        <v/>
      </c>
      <c r="D181" s="37" t="str">
        <f>IF('Employee Master'!B181="","",'Employee Master'!E181)</f>
        <v/>
      </c>
      <c r="E181" s="37" t="str">
        <f>IF('Employee Master'!B181="","",'Employee Master'!F181)</f>
        <v/>
      </c>
      <c r="F181" s="37" t="str">
        <f>IF('Employee Master'!B181="","",'Employee Master'!G181)</f>
        <v/>
      </c>
      <c r="G181" s="38"/>
      <c r="H181" s="38"/>
      <c r="I181" s="39" t="str">
        <f t="shared" si="15"/>
        <v/>
      </c>
      <c r="J181" s="40" t="str">
        <f>IF(A181="","",IF(H181=0,0,H181/(Settings!B6*12)))</f>
        <v/>
      </c>
      <c r="K181" s="28"/>
      <c r="L181" s="41"/>
      <c r="M181" s="28"/>
      <c r="N181" s="29" t="str">
        <f t="shared" si="16"/>
        <v/>
      </c>
      <c r="O181" s="28"/>
      <c r="P181" s="28"/>
      <c r="Q181" s="40" t="str">
        <f t="shared" si="17"/>
        <v/>
      </c>
      <c r="R181" s="28"/>
    </row>
    <row r="182" spans="1:18" ht="15" customHeight="1" x14ac:dyDescent="0.2">
      <c r="A182" s="37" t="str">
        <f>IF('Employee Master'!B182="","",'Employee Master'!B182)</f>
        <v/>
      </c>
      <c r="B182" s="37" t="str">
        <f>IF('Employee Master'!B182="","",'Employee Master'!C182)</f>
        <v/>
      </c>
      <c r="C182" s="37" t="str">
        <f>IF('Employee Master'!B182="","",'Employee Master'!D182)</f>
        <v/>
      </c>
      <c r="D182" s="37" t="str">
        <f>IF('Employee Master'!B182="","",'Employee Master'!E182)</f>
        <v/>
      </c>
      <c r="E182" s="37" t="str">
        <f>IF('Employee Master'!B182="","",'Employee Master'!F182)</f>
        <v/>
      </c>
      <c r="F182" s="37" t="str">
        <f>IF('Employee Master'!B182="","",'Employee Master'!G182)</f>
        <v/>
      </c>
      <c r="G182" s="38"/>
      <c r="H182" s="38"/>
      <c r="I182" s="39" t="str">
        <f t="shared" si="15"/>
        <v/>
      </c>
      <c r="J182" s="40" t="str">
        <f>IF(A182="","",IF(H182=0,0,H182/(Settings!B6*12)))</f>
        <v/>
      </c>
      <c r="K182" s="28"/>
      <c r="L182" s="41"/>
      <c r="M182" s="28"/>
      <c r="N182" s="29" t="str">
        <f t="shared" si="16"/>
        <v/>
      </c>
      <c r="O182" s="28"/>
      <c r="P182" s="28"/>
      <c r="Q182" s="40" t="str">
        <f t="shared" si="17"/>
        <v/>
      </c>
      <c r="R182" s="28"/>
    </row>
    <row r="183" spans="1:18" ht="15" customHeight="1" x14ac:dyDescent="0.2">
      <c r="A183" s="37" t="str">
        <f>IF('Employee Master'!B183="","",'Employee Master'!B183)</f>
        <v/>
      </c>
      <c r="B183" s="37" t="str">
        <f>IF('Employee Master'!B183="","",'Employee Master'!C183)</f>
        <v/>
      </c>
      <c r="C183" s="37" t="str">
        <f>IF('Employee Master'!B183="","",'Employee Master'!D183)</f>
        <v/>
      </c>
      <c r="D183" s="37" t="str">
        <f>IF('Employee Master'!B183="","",'Employee Master'!E183)</f>
        <v/>
      </c>
      <c r="E183" s="37" t="str">
        <f>IF('Employee Master'!B183="","",'Employee Master'!F183)</f>
        <v/>
      </c>
      <c r="F183" s="37" t="str">
        <f>IF('Employee Master'!B183="","",'Employee Master'!G183)</f>
        <v/>
      </c>
      <c r="G183" s="38"/>
      <c r="H183" s="38"/>
      <c r="I183" s="39" t="str">
        <f t="shared" si="15"/>
        <v/>
      </c>
      <c r="J183" s="40" t="str">
        <f>IF(A183="","",IF(H183=0,0,H183/(Settings!B6*12)))</f>
        <v/>
      </c>
      <c r="K183" s="28"/>
      <c r="L183" s="41"/>
      <c r="M183" s="28"/>
      <c r="N183" s="29" t="str">
        <f t="shared" si="16"/>
        <v/>
      </c>
      <c r="O183" s="28"/>
      <c r="P183" s="28"/>
      <c r="Q183" s="40" t="str">
        <f t="shared" si="17"/>
        <v/>
      </c>
      <c r="R183" s="28"/>
    </row>
    <row r="184" spans="1:18" ht="15" customHeight="1" x14ac:dyDescent="0.2">
      <c r="A184" s="37" t="str">
        <f>IF('Employee Master'!B184="","",'Employee Master'!B184)</f>
        <v/>
      </c>
      <c r="B184" s="37" t="str">
        <f>IF('Employee Master'!B184="","",'Employee Master'!C184)</f>
        <v/>
      </c>
      <c r="C184" s="37" t="str">
        <f>IF('Employee Master'!B184="","",'Employee Master'!D184)</f>
        <v/>
      </c>
      <c r="D184" s="37" t="str">
        <f>IF('Employee Master'!B184="","",'Employee Master'!E184)</f>
        <v/>
      </c>
      <c r="E184" s="37" t="str">
        <f>IF('Employee Master'!B184="","",'Employee Master'!F184)</f>
        <v/>
      </c>
      <c r="F184" s="37" t="str">
        <f>IF('Employee Master'!B184="","",'Employee Master'!G184)</f>
        <v/>
      </c>
      <c r="G184" s="38"/>
      <c r="H184" s="38"/>
      <c r="I184" s="39" t="str">
        <f t="shared" si="15"/>
        <v/>
      </c>
      <c r="J184" s="40" t="str">
        <f>IF(A184="","",IF(H184=0,0,H184/(Settings!B6*12)))</f>
        <v/>
      </c>
      <c r="K184" s="28"/>
      <c r="L184" s="41"/>
      <c r="M184" s="28"/>
      <c r="N184" s="29" t="str">
        <f t="shared" si="16"/>
        <v/>
      </c>
      <c r="O184" s="28"/>
      <c r="P184" s="28"/>
      <c r="Q184" s="40" t="str">
        <f t="shared" si="17"/>
        <v/>
      </c>
      <c r="R184" s="28"/>
    </row>
    <row r="185" spans="1:18" ht="15" customHeight="1" x14ac:dyDescent="0.2">
      <c r="A185" s="37" t="str">
        <f>IF('Employee Master'!B185="","",'Employee Master'!B185)</f>
        <v/>
      </c>
      <c r="B185" s="37" t="str">
        <f>IF('Employee Master'!B185="","",'Employee Master'!C185)</f>
        <v/>
      </c>
      <c r="C185" s="37" t="str">
        <f>IF('Employee Master'!B185="","",'Employee Master'!D185)</f>
        <v/>
      </c>
      <c r="D185" s="37" t="str">
        <f>IF('Employee Master'!B185="","",'Employee Master'!E185)</f>
        <v/>
      </c>
      <c r="E185" s="37" t="str">
        <f>IF('Employee Master'!B185="","",'Employee Master'!F185)</f>
        <v/>
      </c>
      <c r="F185" s="37" t="str">
        <f>IF('Employee Master'!B185="","",'Employee Master'!G185)</f>
        <v/>
      </c>
      <c r="G185" s="38"/>
      <c r="H185" s="38"/>
      <c r="I185" s="39" t="str">
        <f t="shared" si="15"/>
        <v/>
      </c>
      <c r="J185" s="40" t="str">
        <f>IF(A185="","",IF(H185=0,0,H185/(Settings!B6*12)))</f>
        <v/>
      </c>
      <c r="K185" s="28"/>
      <c r="L185" s="41"/>
      <c r="M185" s="28"/>
      <c r="N185" s="29" t="str">
        <f t="shared" si="16"/>
        <v/>
      </c>
      <c r="O185" s="28"/>
      <c r="P185" s="28"/>
      <c r="Q185" s="40" t="str">
        <f t="shared" si="17"/>
        <v/>
      </c>
      <c r="R185" s="28"/>
    </row>
    <row r="186" spans="1:18" ht="15" customHeight="1" x14ac:dyDescent="0.2">
      <c r="A186" s="37" t="str">
        <f>IF('Employee Master'!B186="","",'Employee Master'!B186)</f>
        <v/>
      </c>
      <c r="B186" s="37" t="str">
        <f>IF('Employee Master'!B186="","",'Employee Master'!C186)</f>
        <v/>
      </c>
      <c r="C186" s="37" t="str">
        <f>IF('Employee Master'!B186="","",'Employee Master'!D186)</f>
        <v/>
      </c>
      <c r="D186" s="37" t="str">
        <f>IF('Employee Master'!B186="","",'Employee Master'!E186)</f>
        <v/>
      </c>
      <c r="E186" s="37" t="str">
        <f>IF('Employee Master'!B186="","",'Employee Master'!F186)</f>
        <v/>
      </c>
      <c r="F186" s="37" t="str">
        <f>IF('Employee Master'!B186="","",'Employee Master'!G186)</f>
        <v/>
      </c>
      <c r="G186" s="38"/>
      <c r="H186" s="38"/>
      <c r="I186" s="39" t="str">
        <f t="shared" si="15"/>
        <v/>
      </c>
      <c r="J186" s="40" t="str">
        <f>IF(A186="","",IF(H186=0,0,H186/(Settings!B6*12)))</f>
        <v/>
      </c>
      <c r="K186" s="28"/>
      <c r="L186" s="41"/>
      <c r="M186" s="28"/>
      <c r="N186" s="29" t="str">
        <f t="shared" si="16"/>
        <v/>
      </c>
      <c r="O186" s="28"/>
      <c r="P186" s="28"/>
      <c r="Q186" s="40" t="str">
        <f t="shared" si="17"/>
        <v/>
      </c>
      <c r="R186" s="28"/>
    </row>
    <row r="187" spans="1:18" ht="15" customHeight="1" x14ac:dyDescent="0.2">
      <c r="A187" s="37" t="str">
        <f>IF('Employee Master'!B187="","",'Employee Master'!B187)</f>
        <v/>
      </c>
      <c r="B187" s="37" t="str">
        <f>IF('Employee Master'!B187="","",'Employee Master'!C187)</f>
        <v/>
      </c>
      <c r="C187" s="37" t="str">
        <f>IF('Employee Master'!B187="","",'Employee Master'!D187)</f>
        <v/>
      </c>
      <c r="D187" s="37" t="str">
        <f>IF('Employee Master'!B187="","",'Employee Master'!E187)</f>
        <v/>
      </c>
      <c r="E187" s="37" t="str">
        <f>IF('Employee Master'!B187="","",'Employee Master'!F187)</f>
        <v/>
      </c>
      <c r="F187" s="37" t="str">
        <f>IF('Employee Master'!B187="","",'Employee Master'!G187)</f>
        <v/>
      </c>
      <c r="G187" s="38"/>
      <c r="H187" s="38"/>
      <c r="I187" s="39" t="str">
        <f t="shared" si="15"/>
        <v/>
      </c>
      <c r="J187" s="40" t="str">
        <f>IF(A187="","",IF(H187=0,0,H187/(Settings!B6*12)))</f>
        <v/>
      </c>
      <c r="K187" s="28"/>
      <c r="L187" s="41"/>
      <c r="M187" s="28"/>
      <c r="N187" s="29" t="str">
        <f t="shared" si="16"/>
        <v/>
      </c>
      <c r="O187" s="28"/>
      <c r="P187" s="28"/>
      <c r="Q187" s="40" t="str">
        <f t="shared" si="17"/>
        <v/>
      </c>
      <c r="R187" s="28"/>
    </row>
    <row r="188" spans="1:18" ht="15" customHeight="1" x14ac:dyDescent="0.2">
      <c r="A188" s="37" t="str">
        <f>IF('Employee Master'!B188="","",'Employee Master'!B188)</f>
        <v/>
      </c>
      <c r="B188" s="37" t="str">
        <f>IF('Employee Master'!B188="","",'Employee Master'!C188)</f>
        <v/>
      </c>
      <c r="C188" s="37" t="str">
        <f>IF('Employee Master'!B188="","",'Employee Master'!D188)</f>
        <v/>
      </c>
      <c r="D188" s="37" t="str">
        <f>IF('Employee Master'!B188="","",'Employee Master'!E188)</f>
        <v/>
      </c>
      <c r="E188" s="37" t="str">
        <f>IF('Employee Master'!B188="","",'Employee Master'!F188)</f>
        <v/>
      </c>
      <c r="F188" s="37" t="str">
        <f>IF('Employee Master'!B188="","",'Employee Master'!G188)</f>
        <v/>
      </c>
      <c r="G188" s="38"/>
      <c r="H188" s="38"/>
      <c r="I188" s="39" t="str">
        <f t="shared" si="15"/>
        <v/>
      </c>
      <c r="J188" s="40" t="str">
        <f>IF(A188="","",IF(H188=0,0,H188/(Settings!B6*12)))</f>
        <v/>
      </c>
      <c r="K188" s="28"/>
      <c r="L188" s="41"/>
      <c r="M188" s="28"/>
      <c r="N188" s="29" t="str">
        <f t="shared" si="16"/>
        <v/>
      </c>
      <c r="O188" s="28"/>
      <c r="P188" s="28"/>
      <c r="Q188" s="40" t="str">
        <f t="shared" si="17"/>
        <v/>
      </c>
      <c r="R188" s="28"/>
    </row>
    <row r="189" spans="1:18" ht="15" customHeight="1" x14ac:dyDescent="0.2">
      <c r="A189" s="37" t="str">
        <f>IF('Employee Master'!B189="","",'Employee Master'!B189)</f>
        <v/>
      </c>
      <c r="B189" s="37" t="str">
        <f>IF('Employee Master'!B189="","",'Employee Master'!C189)</f>
        <v/>
      </c>
      <c r="C189" s="37" t="str">
        <f>IF('Employee Master'!B189="","",'Employee Master'!D189)</f>
        <v/>
      </c>
      <c r="D189" s="37" t="str">
        <f>IF('Employee Master'!B189="","",'Employee Master'!E189)</f>
        <v/>
      </c>
      <c r="E189" s="37" t="str">
        <f>IF('Employee Master'!B189="","",'Employee Master'!F189)</f>
        <v/>
      </c>
      <c r="F189" s="37" t="str">
        <f>IF('Employee Master'!B189="","",'Employee Master'!G189)</f>
        <v/>
      </c>
      <c r="G189" s="38"/>
      <c r="H189" s="38"/>
      <c r="I189" s="39" t="str">
        <f t="shared" si="15"/>
        <v/>
      </c>
      <c r="J189" s="40" t="str">
        <f>IF(A189="","",IF(H189=0,0,H189/(Settings!B6*12)))</f>
        <v/>
      </c>
      <c r="K189" s="28"/>
      <c r="L189" s="41"/>
      <c r="M189" s="28"/>
      <c r="N189" s="29" t="str">
        <f t="shared" si="16"/>
        <v/>
      </c>
      <c r="O189" s="28"/>
      <c r="P189" s="28"/>
      <c r="Q189" s="40" t="str">
        <f t="shared" si="17"/>
        <v/>
      </c>
      <c r="R189" s="28"/>
    </row>
    <row r="190" spans="1:18" ht="15" customHeight="1" x14ac:dyDescent="0.2">
      <c r="A190" s="37" t="str">
        <f>IF('Employee Master'!B190="","",'Employee Master'!B190)</f>
        <v/>
      </c>
      <c r="B190" s="37" t="str">
        <f>IF('Employee Master'!B190="","",'Employee Master'!C190)</f>
        <v/>
      </c>
      <c r="C190" s="37" t="str">
        <f>IF('Employee Master'!B190="","",'Employee Master'!D190)</f>
        <v/>
      </c>
      <c r="D190" s="37" t="str">
        <f>IF('Employee Master'!B190="","",'Employee Master'!E190)</f>
        <v/>
      </c>
      <c r="E190" s="37" t="str">
        <f>IF('Employee Master'!B190="","",'Employee Master'!F190)</f>
        <v/>
      </c>
      <c r="F190" s="37" t="str">
        <f>IF('Employee Master'!B190="","",'Employee Master'!G190)</f>
        <v/>
      </c>
      <c r="G190" s="38"/>
      <c r="H190" s="38"/>
      <c r="I190" s="39" t="str">
        <f t="shared" si="15"/>
        <v/>
      </c>
      <c r="J190" s="40" t="str">
        <f>IF(A190="","",IF(H190=0,0,H190/(Settings!B6*12)))</f>
        <v/>
      </c>
      <c r="K190" s="28"/>
      <c r="L190" s="41"/>
      <c r="M190" s="28"/>
      <c r="N190" s="29" t="str">
        <f t="shared" si="16"/>
        <v/>
      </c>
      <c r="O190" s="28"/>
      <c r="P190" s="28"/>
      <c r="Q190" s="40" t="str">
        <f t="shared" si="17"/>
        <v/>
      </c>
      <c r="R190" s="28"/>
    </row>
    <row r="191" spans="1:18" ht="15" customHeight="1" x14ac:dyDescent="0.2">
      <c r="A191" s="37" t="str">
        <f>IF('Employee Master'!B191="","",'Employee Master'!B191)</f>
        <v/>
      </c>
      <c r="B191" s="37" t="str">
        <f>IF('Employee Master'!B191="","",'Employee Master'!C191)</f>
        <v/>
      </c>
      <c r="C191" s="37" t="str">
        <f>IF('Employee Master'!B191="","",'Employee Master'!D191)</f>
        <v/>
      </c>
      <c r="D191" s="37" t="str">
        <f>IF('Employee Master'!B191="","",'Employee Master'!E191)</f>
        <v/>
      </c>
      <c r="E191" s="37" t="str">
        <f>IF('Employee Master'!B191="","",'Employee Master'!F191)</f>
        <v/>
      </c>
      <c r="F191" s="37" t="str">
        <f>IF('Employee Master'!B191="","",'Employee Master'!G191)</f>
        <v/>
      </c>
      <c r="G191" s="38"/>
      <c r="H191" s="38"/>
      <c r="I191" s="39" t="str">
        <f t="shared" si="15"/>
        <v/>
      </c>
      <c r="J191" s="40" t="str">
        <f>IF(A191="","",IF(H191=0,0,H191/(Settings!B6*12)))</f>
        <v/>
      </c>
      <c r="K191" s="28"/>
      <c r="L191" s="41"/>
      <c r="M191" s="28"/>
      <c r="N191" s="29" t="str">
        <f t="shared" si="16"/>
        <v/>
      </c>
      <c r="O191" s="28"/>
      <c r="P191" s="28"/>
      <c r="Q191" s="40" t="str">
        <f t="shared" si="17"/>
        <v/>
      </c>
      <c r="R191" s="28"/>
    </row>
    <row r="192" spans="1:18" ht="15" customHeight="1" x14ac:dyDescent="0.2">
      <c r="A192" s="37" t="str">
        <f>IF('Employee Master'!B192="","",'Employee Master'!B192)</f>
        <v/>
      </c>
      <c r="B192" s="37" t="str">
        <f>IF('Employee Master'!B192="","",'Employee Master'!C192)</f>
        <v/>
      </c>
      <c r="C192" s="37" t="str">
        <f>IF('Employee Master'!B192="","",'Employee Master'!D192)</f>
        <v/>
      </c>
      <c r="D192" s="37" t="str">
        <f>IF('Employee Master'!B192="","",'Employee Master'!E192)</f>
        <v/>
      </c>
      <c r="E192" s="37" t="str">
        <f>IF('Employee Master'!B192="","",'Employee Master'!F192)</f>
        <v/>
      </c>
      <c r="F192" s="37" t="str">
        <f>IF('Employee Master'!B192="","",'Employee Master'!G192)</f>
        <v/>
      </c>
      <c r="G192" s="38"/>
      <c r="H192" s="38"/>
      <c r="I192" s="39" t="str">
        <f t="shared" si="15"/>
        <v/>
      </c>
      <c r="J192" s="40" t="str">
        <f>IF(A192="","",IF(H192=0,0,H192/(Settings!B6*12)))</f>
        <v/>
      </c>
      <c r="K192" s="28"/>
      <c r="L192" s="41"/>
      <c r="M192" s="28"/>
      <c r="N192" s="29" t="str">
        <f t="shared" si="16"/>
        <v/>
      </c>
      <c r="O192" s="28"/>
      <c r="P192" s="28"/>
      <c r="Q192" s="40" t="str">
        <f t="shared" si="17"/>
        <v/>
      </c>
      <c r="R192" s="28"/>
    </row>
    <row r="193" spans="1:18" ht="15" customHeight="1" x14ac:dyDescent="0.2">
      <c r="A193" s="37" t="str">
        <f>IF('Employee Master'!B193="","",'Employee Master'!B193)</f>
        <v/>
      </c>
      <c r="B193" s="37" t="str">
        <f>IF('Employee Master'!B193="","",'Employee Master'!C193)</f>
        <v/>
      </c>
      <c r="C193" s="37" t="str">
        <f>IF('Employee Master'!B193="","",'Employee Master'!D193)</f>
        <v/>
      </c>
      <c r="D193" s="37" t="str">
        <f>IF('Employee Master'!B193="","",'Employee Master'!E193)</f>
        <v/>
      </c>
      <c r="E193" s="37" t="str">
        <f>IF('Employee Master'!B193="","",'Employee Master'!F193)</f>
        <v/>
      </c>
      <c r="F193" s="37" t="str">
        <f>IF('Employee Master'!B193="","",'Employee Master'!G193)</f>
        <v/>
      </c>
      <c r="G193" s="38"/>
      <c r="H193" s="38"/>
      <c r="I193" s="39" t="str">
        <f t="shared" si="15"/>
        <v/>
      </c>
      <c r="J193" s="40" t="str">
        <f>IF(A193="","",IF(H193=0,0,H193/(Settings!B6*12)))</f>
        <v/>
      </c>
      <c r="K193" s="28"/>
      <c r="L193" s="41"/>
      <c r="M193" s="28"/>
      <c r="N193" s="29" t="str">
        <f t="shared" si="16"/>
        <v/>
      </c>
      <c r="O193" s="28"/>
      <c r="P193" s="28"/>
      <c r="Q193" s="40" t="str">
        <f t="shared" si="17"/>
        <v/>
      </c>
      <c r="R193" s="28"/>
    </row>
    <row r="194" spans="1:18" ht="15" customHeight="1" x14ac:dyDescent="0.2">
      <c r="A194" s="37" t="str">
        <f>IF('Employee Master'!B194="","",'Employee Master'!B194)</f>
        <v/>
      </c>
      <c r="B194" s="37" t="str">
        <f>IF('Employee Master'!B194="","",'Employee Master'!C194)</f>
        <v/>
      </c>
      <c r="C194" s="37" t="str">
        <f>IF('Employee Master'!B194="","",'Employee Master'!D194)</f>
        <v/>
      </c>
      <c r="D194" s="37" t="str">
        <f>IF('Employee Master'!B194="","",'Employee Master'!E194)</f>
        <v/>
      </c>
      <c r="E194" s="37" t="str">
        <f>IF('Employee Master'!B194="","",'Employee Master'!F194)</f>
        <v/>
      </c>
      <c r="F194" s="37" t="str">
        <f>IF('Employee Master'!B194="","",'Employee Master'!G194)</f>
        <v/>
      </c>
      <c r="G194" s="38"/>
      <c r="H194" s="38"/>
      <c r="I194" s="39" t="str">
        <f t="shared" si="15"/>
        <v/>
      </c>
      <c r="J194" s="40" t="str">
        <f>IF(A194="","",IF(H194=0,0,H194/(Settings!B6*12)))</f>
        <v/>
      </c>
      <c r="K194" s="28"/>
      <c r="L194" s="41"/>
      <c r="M194" s="28"/>
      <c r="N194" s="29" t="str">
        <f t="shared" si="16"/>
        <v/>
      </c>
      <c r="O194" s="28"/>
      <c r="P194" s="28"/>
      <c r="Q194" s="40" t="str">
        <f t="shared" si="17"/>
        <v/>
      </c>
      <c r="R194" s="28"/>
    </row>
    <row r="195" spans="1:18" ht="15" customHeight="1" x14ac:dyDescent="0.2">
      <c r="A195" s="37" t="str">
        <f>IF('Employee Master'!B195="","",'Employee Master'!B195)</f>
        <v/>
      </c>
      <c r="B195" s="37" t="str">
        <f>IF('Employee Master'!B195="","",'Employee Master'!C195)</f>
        <v/>
      </c>
      <c r="C195" s="37" t="str">
        <f>IF('Employee Master'!B195="","",'Employee Master'!D195)</f>
        <v/>
      </c>
      <c r="D195" s="37" t="str">
        <f>IF('Employee Master'!B195="","",'Employee Master'!E195)</f>
        <v/>
      </c>
      <c r="E195" s="37" t="str">
        <f>IF('Employee Master'!B195="","",'Employee Master'!F195)</f>
        <v/>
      </c>
      <c r="F195" s="37" t="str">
        <f>IF('Employee Master'!B195="","",'Employee Master'!G195)</f>
        <v/>
      </c>
      <c r="G195" s="38"/>
      <c r="H195" s="38"/>
      <c r="I195" s="39" t="str">
        <f t="shared" si="15"/>
        <v/>
      </c>
      <c r="J195" s="40" t="str">
        <f>IF(A195="","",IF(H195=0,0,H195/(Settings!B6*12)))</f>
        <v/>
      </c>
      <c r="K195" s="28"/>
      <c r="L195" s="41"/>
      <c r="M195" s="28"/>
      <c r="N195" s="29" t="str">
        <f t="shared" si="16"/>
        <v/>
      </c>
      <c r="O195" s="28"/>
      <c r="P195" s="28"/>
      <c r="Q195" s="40" t="str">
        <f t="shared" si="17"/>
        <v/>
      </c>
      <c r="R195" s="28"/>
    </row>
    <row r="196" spans="1:18" ht="15" customHeight="1" x14ac:dyDescent="0.2">
      <c r="A196" s="37" t="str">
        <f>IF('Employee Master'!B196="","",'Employee Master'!B196)</f>
        <v/>
      </c>
      <c r="B196" s="37" t="str">
        <f>IF('Employee Master'!B196="","",'Employee Master'!C196)</f>
        <v/>
      </c>
      <c r="C196" s="37" t="str">
        <f>IF('Employee Master'!B196="","",'Employee Master'!D196)</f>
        <v/>
      </c>
      <c r="D196" s="37" t="str">
        <f>IF('Employee Master'!B196="","",'Employee Master'!E196)</f>
        <v/>
      </c>
      <c r="E196" s="37" t="str">
        <f>IF('Employee Master'!B196="","",'Employee Master'!F196)</f>
        <v/>
      </c>
      <c r="F196" s="37" t="str">
        <f>IF('Employee Master'!B196="","",'Employee Master'!G196)</f>
        <v/>
      </c>
      <c r="G196" s="38"/>
      <c r="H196" s="38"/>
      <c r="I196" s="39" t="str">
        <f t="shared" ref="I196:I203" si="18">IF(A196="","",G196-H196)</f>
        <v/>
      </c>
      <c r="J196" s="40" t="str">
        <f>IF(A196="","",IF(H196=0,0,H196/(Settings!B6*12)))</f>
        <v/>
      </c>
      <c r="K196" s="28"/>
      <c r="L196" s="41"/>
      <c r="M196" s="28"/>
      <c r="N196" s="29" t="str">
        <f t="shared" ref="N196:N203" si="19">IF(A196="","",IF(H196=0,0,M196/H196))</f>
        <v/>
      </c>
      <c r="O196" s="28"/>
      <c r="P196" s="28"/>
      <c r="Q196" s="40" t="str">
        <f t="shared" ref="Q196:Q203" si="20">IF(A196="","",IF(O196=0,0,1-P196/O196))</f>
        <v/>
      </c>
      <c r="R196" s="28"/>
    </row>
    <row r="197" spans="1:18" ht="15" customHeight="1" x14ac:dyDescent="0.2">
      <c r="A197" s="37" t="str">
        <f>IF('Employee Master'!B197="","",'Employee Master'!B197)</f>
        <v/>
      </c>
      <c r="B197" s="37" t="str">
        <f>IF('Employee Master'!B197="","",'Employee Master'!C197)</f>
        <v/>
      </c>
      <c r="C197" s="37" t="str">
        <f>IF('Employee Master'!B197="","",'Employee Master'!D197)</f>
        <v/>
      </c>
      <c r="D197" s="37" t="str">
        <f>IF('Employee Master'!B197="","",'Employee Master'!E197)</f>
        <v/>
      </c>
      <c r="E197" s="37" t="str">
        <f>IF('Employee Master'!B197="","",'Employee Master'!F197)</f>
        <v/>
      </c>
      <c r="F197" s="37" t="str">
        <f>IF('Employee Master'!B197="","",'Employee Master'!G197)</f>
        <v/>
      </c>
      <c r="G197" s="38"/>
      <c r="H197" s="38"/>
      <c r="I197" s="39" t="str">
        <f t="shared" si="18"/>
        <v/>
      </c>
      <c r="J197" s="40" t="str">
        <f>IF(A197="","",IF(H197=0,0,H197/(Settings!B6*12)))</f>
        <v/>
      </c>
      <c r="K197" s="28"/>
      <c r="L197" s="41"/>
      <c r="M197" s="28"/>
      <c r="N197" s="29" t="str">
        <f t="shared" si="19"/>
        <v/>
      </c>
      <c r="O197" s="28"/>
      <c r="P197" s="28"/>
      <c r="Q197" s="40" t="str">
        <f t="shared" si="20"/>
        <v/>
      </c>
      <c r="R197" s="28"/>
    </row>
    <row r="198" spans="1:18" ht="15" customHeight="1" x14ac:dyDescent="0.2">
      <c r="A198" s="37" t="str">
        <f>IF('Employee Master'!B198="","",'Employee Master'!B198)</f>
        <v/>
      </c>
      <c r="B198" s="37" t="str">
        <f>IF('Employee Master'!B198="","",'Employee Master'!C198)</f>
        <v/>
      </c>
      <c r="C198" s="37" t="str">
        <f>IF('Employee Master'!B198="","",'Employee Master'!D198)</f>
        <v/>
      </c>
      <c r="D198" s="37" t="str">
        <f>IF('Employee Master'!B198="","",'Employee Master'!E198)</f>
        <v/>
      </c>
      <c r="E198" s="37" t="str">
        <f>IF('Employee Master'!B198="","",'Employee Master'!F198)</f>
        <v/>
      </c>
      <c r="F198" s="37" t="str">
        <f>IF('Employee Master'!B198="","",'Employee Master'!G198)</f>
        <v/>
      </c>
      <c r="G198" s="38"/>
      <c r="H198" s="38"/>
      <c r="I198" s="39" t="str">
        <f t="shared" si="18"/>
        <v/>
      </c>
      <c r="J198" s="40" t="str">
        <f>IF(A198="","",IF(H198=0,0,H198/(Settings!B6*12)))</f>
        <v/>
      </c>
      <c r="K198" s="28"/>
      <c r="L198" s="41"/>
      <c r="M198" s="28"/>
      <c r="N198" s="29" t="str">
        <f t="shared" si="19"/>
        <v/>
      </c>
      <c r="O198" s="28"/>
      <c r="P198" s="28"/>
      <c r="Q198" s="40" t="str">
        <f t="shared" si="20"/>
        <v/>
      </c>
      <c r="R198" s="28"/>
    </row>
    <row r="199" spans="1:18" ht="15" customHeight="1" x14ac:dyDescent="0.2">
      <c r="A199" s="37" t="str">
        <f>IF('Employee Master'!B199="","",'Employee Master'!B199)</f>
        <v/>
      </c>
      <c r="B199" s="37" t="str">
        <f>IF('Employee Master'!B199="","",'Employee Master'!C199)</f>
        <v/>
      </c>
      <c r="C199" s="37" t="str">
        <f>IF('Employee Master'!B199="","",'Employee Master'!D199)</f>
        <v/>
      </c>
      <c r="D199" s="37" t="str">
        <f>IF('Employee Master'!B199="","",'Employee Master'!E199)</f>
        <v/>
      </c>
      <c r="E199" s="37" t="str">
        <f>IF('Employee Master'!B199="","",'Employee Master'!F199)</f>
        <v/>
      </c>
      <c r="F199" s="37" t="str">
        <f>IF('Employee Master'!B199="","",'Employee Master'!G199)</f>
        <v/>
      </c>
      <c r="G199" s="38"/>
      <c r="H199" s="38"/>
      <c r="I199" s="39" t="str">
        <f t="shared" si="18"/>
        <v/>
      </c>
      <c r="J199" s="40" t="str">
        <f>IF(A199="","",IF(H199=0,0,H199/(Settings!B6*12)))</f>
        <v/>
      </c>
      <c r="K199" s="28"/>
      <c r="L199" s="41"/>
      <c r="M199" s="28"/>
      <c r="N199" s="29" t="str">
        <f t="shared" si="19"/>
        <v/>
      </c>
      <c r="O199" s="28"/>
      <c r="P199" s="28"/>
      <c r="Q199" s="40" t="str">
        <f t="shared" si="20"/>
        <v/>
      </c>
      <c r="R199" s="28"/>
    </row>
    <row r="200" spans="1:18" ht="15" customHeight="1" x14ac:dyDescent="0.2">
      <c r="A200" s="37" t="str">
        <f>IF('Employee Master'!B200="","",'Employee Master'!B200)</f>
        <v/>
      </c>
      <c r="B200" s="37" t="str">
        <f>IF('Employee Master'!B200="","",'Employee Master'!C200)</f>
        <v/>
      </c>
      <c r="C200" s="37" t="str">
        <f>IF('Employee Master'!B200="","",'Employee Master'!D200)</f>
        <v/>
      </c>
      <c r="D200" s="37" t="str">
        <f>IF('Employee Master'!B200="","",'Employee Master'!E200)</f>
        <v/>
      </c>
      <c r="E200" s="37" t="str">
        <f>IF('Employee Master'!B200="","",'Employee Master'!F200)</f>
        <v/>
      </c>
      <c r="F200" s="37" t="str">
        <f>IF('Employee Master'!B200="","",'Employee Master'!G200)</f>
        <v/>
      </c>
      <c r="G200" s="38"/>
      <c r="H200" s="38"/>
      <c r="I200" s="39" t="str">
        <f t="shared" si="18"/>
        <v/>
      </c>
      <c r="J200" s="40" t="str">
        <f>IF(A200="","",IF(H200=0,0,H200/(Settings!B6*12)))</f>
        <v/>
      </c>
      <c r="K200" s="28"/>
      <c r="L200" s="41"/>
      <c r="M200" s="28"/>
      <c r="N200" s="29" t="str">
        <f t="shared" si="19"/>
        <v/>
      </c>
      <c r="O200" s="28"/>
      <c r="P200" s="28"/>
      <c r="Q200" s="40" t="str">
        <f t="shared" si="20"/>
        <v/>
      </c>
      <c r="R200" s="28"/>
    </row>
    <row r="201" spans="1:18" ht="15" customHeight="1" x14ac:dyDescent="0.2">
      <c r="A201" s="37" t="str">
        <f>IF('Employee Master'!B201="","",'Employee Master'!B201)</f>
        <v/>
      </c>
      <c r="B201" s="37" t="str">
        <f>IF('Employee Master'!B201="","",'Employee Master'!C201)</f>
        <v/>
      </c>
      <c r="C201" s="37" t="str">
        <f>IF('Employee Master'!B201="","",'Employee Master'!D201)</f>
        <v/>
      </c>
      <c r="D201" s="37" t="str">
        <f>IF('Employee Master'!B201="","",'Employee Master'!E201)</f>
        <v/>
      </c>
      <c r="E201" s="37" t="str">
        <f>IF('Employee Master'!B201="","",'Employee Master'!F201)</f>
        <v/>
      </c>
      <c r="F201" s="37" t="str">
        <f>IF('Employee Master'!B201="","",'Employee Master'!G201)</f>
        <v/>
      </c>
      <c r="G201" s="38"/>
      <c r="H201" s="38"/>
      <c r="I201" s="39" t="str">
        <f t="shared" si="18"/>
        <v/>
      </c>
      <c r="J201" s="40" t="str">
        <f>IF(A201="","",IF(H201=0,0,H201/(Settings!B6*12)))</f>
        <v/>
      </c>
      <c r="K201" s="28"/>
      <c r="L201" s="41"/>
      <c r="M201" s="28"/>
      <c r="N201" s="29" t="str">
        <f t="shared" si="19"/>
        <v/>
      </c>
      <c r="O201" s="28"/>
      <c r="P201" s="28"/>
      <c r="Q201" s="40" t="str">
        <f t="shared" si="20"/>
        <v/>
      </c>
      <c r="R201" s="28"/>
    </row>
    <row r="202" spans="1:18" ht="15" customHeight="1" x14ac:dyDescent="0.2">
      <c r="A202" s="37" t="str">
        <f>IF('Employee Master'!B202="","",'Employee Master'!B202)</f>
        <v/>
      </c>
      <c r="B202" s="37" t="str">
        <f>IF('Employee Master'!B202="","",'Employee Master'!C202)</f>
        <v/>
      </c>
      <c r="C202" s="37" t="str">
        <f>IF('Employee Master'!B202="","",'Employee Master'!D202)</f>
        <v/>
      </c>
      <c r="D202" s="37" t="str">
        <f>IF('Employee Master'!B202="","",'Employee Master'!E202)</f>
        <v/>
      </c>
      <c r="E202" s="37" t="str">
        <f>IF('Employee Master'!B202="","",'Employee Master'!F202)</f>
        <v/>
      </c>
      <c r="F202" s="37" t="str">
        <f>IF('Employee Master'!B202="","",'Employee Master'!G202)</f>
        <v/>
      </c>
      <c r="G202" s="38"/>
      <c r="H202" s="38"/>
      <c r="I202" s="39" t="str">
        <f t="shared" si="18"/>
        <v/>
      </c>
      <c r="J202" s="40" t="str">
        <f>IF(A202="","",IF(H202=0,0,H202/(Settings!B6*12)))</f>
        <v/>
      </c>
      <c r="K202" s="28"/>
      <c r="L202" s="41"/>
      <c r="M202" s="28"/>
      <c r="N202" s="29" t="str">
        <f t="shared" si="19"/>
        <v/>
      </c>
      <c r="O202" s="28"/>
      <c r="P202" s="28"/>
      <c r="Q202" s="40" t="str">
        <f t="shared" si="20"/>
        <v/>
      </c>
      <c r="R202" s="28"/>
    </row>
    <row r="203" spans="1:18" ht="15" customHeight="1" x14ac:dyDescent="0.2">
      <c r="A203" s="37" t="str">
        <f>IF('Employee Master'!B203="","",'Employee Master'!B203)</f>
        <v/>
      </c>
      <c r="B203" s="37" t="str">
        <f>IF('Employee Master'!B203="","",'Employee Master'!C203)</f>
        <v/>
      </c>
      <c r="C203" s="37" t="str">
        <f>IF('Employee Master'!B203="","",'Employee Master'!D203)</f>
        <v/>
      </c>
      <c r="D203" s="37" t="str">
        <f>IF('Employee Master'!B203="","",'Employee Master'!E203)</f>
        <v/>
      </c>
      <c r="E203" s="37" t="str">
        <f>IF('Employee Master'!B203="","",'Employee Master'!F203)</f>
        <v/>
      </c>
      <c r="F203" s="37" t="str">
        <f>IF('Employee Master'!B203="","",'Employee Master'!G203)</f>
        <v/>
      </c>
      <c r="G203" s="38"/>
      <c r="H203" s="38"/>
      <c r="I203" s="39" t="str">
        <f t="shared" si="18"/>
        <v/>
      </c>
      <c r="J203" s="40" t="str">
        <f>IF(A203="","",IF(H203=0,0,H203/(Settings!B6*12)))</f>
        <v/>
      </c>
      <c r="K203" s="28"/>
      <c r="L203" s="41"/>
      <c r="M203" s="28"/>
      <c r="N203" s="29" t="str">
        <f t="shared" si="19"/>
        <v/>
      </c>
      <c r="O203" s="28"/>
      <c r="P203" s="28"/>
      <c r="Q203" s="40" t="str">
        <f t="shared" si="20"/>
        <v/>
      </c>
      <c r="R203" s="28"/>
    </row>
    <row r="204" spans="1:18" ht="15" customHeight="1" x14ac:dyDescent="0.2">
      <c r="A204" s="31" t="s">
        <v>825</v>
      </c>
      <c r="B204" s="32"/>
      <c r="C204" s="32"/>
      <c r="D204" s="32"/>
      <c r="E204" s="32"/>
      <c r="F204" s="32"/>
      <c r="G204" s="33">
        <f>SUM(G4:G203)</f>
        <v>12950.099999999999</v>
      </c>
      <c r="H204" s="33">
        <f>SUM(H4:H203)</f>
        <v>12944.199999999999</v>
      </c>
      <c r="I204" s="33">
        <f>SUM(I4:I203)</f>
        <v>5.9000000000000199</v>
      </c>
      <c r="J204" s="42">
        <f>IF(SUM(H4:H203)=0,0,SUM(H4:H203)/(Settings!B6*12*COUNTA(A4:A203)))</f>
        <v>3.3708854166666663E-2</v>
      </c>
      <c r="K204" s="32"/>
      <c r="L204" s="32"/>
      <c r="M204" s="33">
        <f>SUM(M4:M203)</f>
        <v>0</v>
      </c>
      <c r="N204" s="32"/>
      <c r="O204" s="33">
        <f>SUM(O4:O203)</f>
        <v>0</v>
      </c>
      <c r="P204" s="33">
        <f>SUM(P4:P203)</f>
        <v>0</v>
      </c>
      <c r="Q204" s="32"/>
      <c r="R204" s="32"/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CAF50"/>
  </sheetPr>
  <dimension ref="A1:H154"/>
  <sheetViews>
    <sheetView topLeftCell="A79" zoomScaleNormal="100" workbookViewId="0"/>
  </sheetViews>
  <sheetFormatPr baseColWidth="10" defaultColWidth="8.6640625" defaultRowHeight="15" customHeight="1" x14ac:dyDescent="0.2"/>
  <cols>
    <col min="1" max="1" width="18" customWidth="1"/>
    <col min="2" max="2" width="36" customWidth="1"/>
    <col min="3" max="3" width="16" customWidth="1"/>
    <col min="4" max="4" width="8" customWidth="1"/>
    <col min="5" max="5" width="10" customWidth="1"/>
    <col min="6" max="8" width="14" customWidth="1"/>
  </cols>
  <sheetData>
    <row r="1" spans="1:8" ht="17.25" customHeight="1" x14ac:dyDescent="0.2">
      <c r="A1" s="144" t="s">
        <v>826</v>
      </c>
      <c r="B1" s="144"/>
      <c r="C1" s="144"/>
      <c r="D1" s="144"/>
      <c r="E1" s="144"/>
      <c r="F1" s="144"/>
      <c r="G1" s="144"/>
      <c r="H1" s="144"/>
    </row>
    <row r="2" spans="1:8" ht="15" customHeight="1" x14ac:dyDescent="0.2">
      <c r="A2" s="145" t="s">
        <v>827</v>
      </c>
      <c r="B2" s="145"/>
      <c r="C2" s="145"/>
      <c r="D2" s="145"/>
      <c r="E2" s="145"/>
      <c r="F2" s="145"/>
      <c r="G2" s="145"/>
      <c r="H2" s="145"/>
    </row>
    <row r="3" spans="1:8" ht="23.25" customHeight="1" x14ac:dyDescent="0.2">
      <c r="A3" s="24" t="s">
        <v>828</v>
      </c>
      <c r="B3" s="24" t="s">
        <v>829</v>
      </c>
      <c r="C3" s="24" t="s">
        <v>830</v>
      </c>
      <c r="D3" s="24" t="s">
        <v>831</v>
      </c>
      <c r="E3" s="24" t="s">
        <v>800</v>
      </c>
      <c r="F3" s="24" t="s">
        <v>832</v>
      </c>
      <c r="G3" s="24" t="s">
        <v>698</v>
      </c>
      <c r="H3" s="24" t="s">
        <v>833</v>
      </c>
    </row>
    <row r="4" spans="1:8" ht="15" customHeight="1" x14ac:dyDescent="0.2">
      <c r="A4" s="22" t="s">
        <v>199</v>
      </c>
      <c r="B4" s="22" t="s">
        <v>79</v>
      </c>
      <c r="C4" s="22" t="s">
        <v>148</v>
      </c>
      <c r="D4" s="38">
        <v>1.5</v>
      </c>
      <c r="E4" s="22" t="s">
        <v>801</v>
      </c>
      <c r="F4" s="43">
        <f>IFERROR(VLOOKUP(B4,'③ Billing Input'!B$4:F$103,4,FALSE()),0)</f>
        <v>0</v>
      </c>
      <c r="G4" s="29">
        <f>F4*Settings!B8</f>
        <v>0</v>
      </c>
      <c r="H4" s="43">
        <f t="shared" ref="H4:H35" si="0">IF(D4=0,0,F4/D4)</f>
        <v>0</v>
      </c>
    </row>
    <row r="5" spans="1:8" ht="15" customHeight="1" x14ac:dyDescent="0.2">
      <c r="A5" s="22" t="s">
        <v>199</v>
      </c>
      <c r="B5" s="22" t="s">
        <v>81</v>
      </c>
      <c r="C5" s="22" t="s">
        <v>148</v>
      </c>
      <c r="D5" s="38">
        <v>2</v>
      </c>
      <c r="E5" s="22" t="s">
        <v>801</v>
      </c>
      <c r="F5" s="43">
        <f>IFERROR(VLOOKUP(B5,'③ Billing Input'!B$4:F$103,4,FALSE()),0)</f>
        <v>3400</v>
      </c>
      <c r="G5" s="29">
        <f>F5*Settings!B8</f>
        <v>289000</v>
      </c>
      <c r="H5" s="43">
        <f t="shared" si="0"/>
        <v>1700</v>
      </c>
    </row>
    <row r="6" spans="1:8" ht="15" customHeight="1" x14ac:dyDescent="0.2">
      <c r="A6" s="22" t="s">
        <v>199</v>
      </c>
      <c r="B6" s="22" t="s">
        <v>82</v>
      </c>
      <c r="C6" s="22" t="s">
        <v>148</v>
      </c>
      <c r="D6" s="38">
        <v>0.5</v>
      </c>
      <c r="E6" s="22" t="s">
        <v>801</v>
      </c>
      <c r="F6" s="43">
        <f>IFERROR(VLOOKUP(B6,'③ Billing Input'!B$4:F$103,4,FALSE()),0)</f>
        <v>0</v>
      </c>
      <c r="G6" s="29">
        <f>F6*Settings!B8</f>
        <v>0</v>
      </c>
      <c r="H6" s="43">
        <f t="shared" si="0"/>
        <v>0</v>
      </c>
    </row>
    <row r="7" spans="1:8" ht="15" customHeight="1" x14ac:dyDescent="0.2">
      <c r="A7" s="22" t="s">
        <v>199</v>
      </c>
      <c r="B7" s="22" t="s">
        <v>83</v>
      </c>
      <c r="C7" s="22" t="s">
        <v>148</v>
      </c>
      <c r="D7" s="38">
        <v>1</v>
      </c>
      <c r="E7" s="22" t="s">
        <v>801</v>
      </c>
      <c r="F7" s="43">
        <f>IFERROR(VLOOKUP(B7,'③ Billing Input'!B$4:F$103,4,FALSE()),0)</f>
        <v>1200</v>
      </c>
      <c r="G7" s="29">
        <f>F7*Settings!B8</f>
        <v>102000</v>
      </c>
      <c r="H7" s="43">
        <f t="shared" si="0"/>
        <v>1200</v>
      </c>
    </row>
    <row r="8" spans="1:8" ht="15" customHeight="1" x14ac:dyDescent="0.2">
      <c r="A8" s="22" t="s">
        <v>199</v>
      </c>
      <c r="B8" s="22" t="s">
        <v>86</v>
      </c>
      <c r="C8" s="22" t="s">
        <v>148</v>
      </c>
      <c r="D8" s="38">
        <v>0.25</v>
      </c>
      <c r="E8" s="22" t="s">
        <v>801</v>
      </c>
      <c r="F8" s="43">
        <f>IFERROR(VLOOKUP(B8,'③ Billing Input'!B$4:F$103,4,FALSE()),0)</f>
        <v>650</v>
      </c>
      <c r="G8" s="29">
        <f>F8*Settings!B8</f>
        <v>55250</v>
      </c>
      <c r="H8" s="43">
        <f t="shared" si="0"/>
        <v>2600</v>
      </c>
    </row>
    <row r="9" spans="1:8" ht="15" customHeight="1" x14ac:dyDescent="0.2">
      <c r="A9" s="22" t="s">
        <v>194</v>
      </c>
      <c r="B9" s="22" t="s">
        <v>87</v>
      </c>
      <c r="C9" s="22" t="s">
        <v>148</v>
      </c>
      <c r="D9" s="38">
        <v>3</v>
      </c>
      <c r="E9" s="22" t="s">
        <v>801</v>
      </c>
      <c r="F9" s="43">
        <f>IFERROR(VLOOKUP(B9,'③ Billing Input'!B$4:F$103,4,FALSE()),0)</f>
        <v>0</v>
      </c>
      <c r="G9" s="29">
        <f>F9*Settings!B8</f>
        <v>0</v>
      </c>
      <c r="H9" s="43">
        <f t="shared" si="0"/>
        <v>0</v>
      </c>
    </row>
    <row r="10" spans="1:8" ht="15" customHeight="1" x14ac:dyDescent="0.2">
      <c r="A10" s="22" t="s">
        <v>199</v>
      </c>
      <c r="B10" s="22" t="s">
        <v>92</v>
      </c>
      <c r="C10" s="22" t="s">
        <v>148</v>
      </c>
      <c r="D10" s="38">
        <v>0.25</v>
      </c>
      <c r="E10" s="22" t="s">
        <v>801</v>
      </c>
      <c r="F10" s="43">
        <f>IFERROR(VLOOKUP(B10,'③ Billing Input'!B$4:F$103,4,FALSE()),0)</f>
        <v>0</v>
      </c>
      <c r="G10" s="29">
        <f>F10*Settings!B8</f>
        <v>0</v>
      </c>
      <c r="H10" s="43">
        <f t="shared" si="0"/>
        <v>0</v>
      </c>
    </row>
    <row r="11" spans="1:8" ht="15" customHeight="1" x14ac:dyDescent="0.2">
      <c r="A11" s="22" t="s">
        <v>199</v>
      </c>
      <c r="B11" s="22" t="s">
        <v>93</v>
      </c>
      <c r="C11" s="22" t="s">
        <v>148</v>
      </c>
      <c r="D11" s="38">
        <v>1</v>
      </c>
      <c r="E11" s="22" t="s">
        <v>801</v>
      </c>
      <c r="F11" s="43">
        <f>IFERROR(VLOOKUP(B11,'③ Billing Input'!B$4:F$103,4,FALSE()),0)</f>
        <v>1880</v>
      </c>
      <c r="G11" s="29">
        <f>F11*Settings!B8</f>
        <v>159800</v>
      </c>
      <c r="H11" s="43">
        <f t="shared" si="0"/>
        <v>1880</v>
      </c>
    </row>
    <row r="12" spans="1:8" ht="15" customHeight="1" x14ac:dyDescent="0.2">
      <c r="A12" s="22" t="s">
        <v>199</v>
      </c>
      <c r="B12" s="22" t="s">
        <v>101</v>
      </c>
      <c r="C12" s="22" t="s">
        <v>148</v>
      </c>
      <c r="D12" s="38">
        <v>0.5</v>
      </c>
      <c r="E12" s="22" t="s">
        <v>801</v>
      </c>
      <c r="F12" s="43">
        <f>IFERROR(VLOOKUP(B12,'③ Billing Input'!B$4:F$103,4,FALSE()),0)</f>
        <v>600</v>
      </c>
      <c r="G12" s="29">
        <f>F12*Settings!B8</f>
        <v>51000</v>
      </c>
      <c r="H12" s="43">
        <f t="shared" si="0"/>
        <v>1200</v>
      </c>
    </row>
    <row r="13" spans="1:8" ht="15" customHeight="1" x14ac:dyDescent="0.2">
      <c r="A13" s="22" t="s">
        <v>199</v>
      </c>
      <c r="B13" s="22" t="s">
        <v>108</v>
      </c>
      <c r="C13" s="22" t="s">
        <v>148</v>
      </c>
      <c r="D13" s="38">
        <v>0.5</v>
      </c>
      <c r="E13" s="22" t="s">
        <v>801</v>
      </c>
      <c r="F13" s="43">
        <f>IFERROR(VLOOKUP(B13,'③ Billing Input'!B$4:F$103,4,FALSE()),0)</f>
        <v>800</v>
      </c>
      <c r="G13" s="29">
        <f>F13*Settings!B8</f>
        <v>68000</v>
      </c>
      <c r="H13" s="43">
        <f t="shared" si="0"/>
        <v>1600</v>
      </c>
    </row>
    <row r="14" spans="1:8" ht="15" customHeight="1" x14ac:dyDescent="0.2">
      <c r="A14" s="22" t="s">
        <v>199</v>
      </c>
      <c r="B14" s="22" t="s">
        <v>803</v>
      </c>
      <c r="C14" s="22" t="s">
        <v>148</v>
      </c>
      <c r="D14" s="38">
        <v>0.5</v>
      </c>
      <c r="E14" s="22" t="s">
        <v>801</v>
      </c>
      <c r="F14" s="43">
        <f>IFERROR(VLOOKUP(B14,'③ Billing Input'!B$4:F$103,4,FALSE()),0)</f>
        <v>0</v>
      </c>
      <c r="G14" s="29">
        <f>F14*Settings!B8</f>
        <v>0</v>
      </c>
      <c r="H14" s="43">
        <f t="shared" si="0"/>
        <v>0</v>
      </c>
    </row>
    <row r="15" spans="1:8" ht="15" customHeight="1" x14ac:dyDescent="0.2">
      <c r="A15" s="22" t="s">
        <v>199</v>
      </c>
      <c r="B15" s="22" t="s">
        <v>109</v>
      </c>
      <c r="C15" s="22" t="s">
        <v>148</v>
      </c>
      <c r="D15" s="38">
        <v>0.5</v>
      </c>
      <c r="E15" s="22" t="s">
        <v>801</v>
      </c>
      <c r="F15" s="43">
        <f>IFERROR(VLOOKUP(B15,'③ Billing Input'!B$4:F$103,4,FALSE()),0)</f>
        <v>0</v>
      </c>
      <c r="G15" s="29">
        <f>F15*Settings!B8</f>
        <v>0</v>
      </c>
      <c r="H15" s="43">
        <f t="shared" si="0"/>
        <v>0</v>
      </c>
    </row>
    <row r="16" spans="1:8" ht="15" customHeight="1" x14ac:dyDescent="0.2">
      <c r="A16" s="22" t="s">
        <v>199</v>
      </c>
      <c r="B16" s="22" t="s">
        <v>112</v>
      </c>
      <c r="C16" s="22" t="s">
        <v>148</v>
      </c>
      <c r="D16" s="38">
        <v>0.5</v>
      </c>
      <c r="E16" s="22" t="s">
        <v>801</v>
      </c>
      <c r="F16" s="43">
        <f>IFERROR(VLOOKUP(B16,'③ Billing Input'!B$4:F$103,4,FALSE()),0)</f>
        <v>0</v>
      </c>
      <c r="G16" s="29">
        <f>F16*Settings!B8</f>
        <v>0</v>
      </c>
      <c r="H16" s="43">
        <f t="shared" si="0"/>
        <v>0</v>
      </c>
    </row>
    <row r="17" spans="1:8" ht="15" customHeight="1" x14ac:dyDescent="0.2">
      <c r="A17" s="22" t="s">
        <v>199</v>
      </c>
      <c r="B17" s="22" t="s">
        <v>114</v>
      </c>
      <c r="C17" s="22" t="s">
        <v>148</v>
      </c>
      <c r="D17" s="38">
        <v>1</v>
      </c>
      <c r="E17" s="22" t="s">
        <v>801</v>
      </c>
      <c r="F17" s="43">
        <f>IFERROR(VLOOKUP(B17,'③ Billing Input'!B$4:F$103,4,FALSE()),0)</f>
        <v>1000</v>
      </c>
      <c r="G17" s="29">
        <f>F17*Settings!B8</f>
        <v>85000</v>
      </c>
      <c r="H17" s="43">
        <f t="shared" si="0"/>
        <v>1000</v>
      </c>
    </row>
    <row r="18" spans="1:8" ht="15" customHeight="1" x14ac:dyDescent="0.2">
      <c r="A18" s="22" t="s">
        <v>199</v>
      </c>
      <c r="B18" s="22" t="s">
        <v>122</v>
      </c>
      <c r="C18" s="22" t="s">
        <v>148</v>
      </c>
      <c r="D18" s="38">
        <v>0.5</v>
      </c>
      <c r="E18" s="22" t="s">
        <v>801</v>
      </c>
      <c r="F18" s="43">
        <f>IFERROR(VLOOKUP(B18,'③ Billing Input'!B$4:F$103,4,FALSE()),0)</f>
        <v>500</v>
      </c>
      <c r="G18" s="29">
        <f>F18*Settings!B8</f>
        <v>42500</v>
      </c>
      <c r="H18" s="43">
        <f t="shared" si="0"/>
        <v>1000</v>
      </c>
    </row>
    <row r="19" spans="1:8" ht="15" customHeight="1" x14ac:dyDescent="0.2">
      <c r="A19" s="22" t="s">
        <v>199</v>
      </c>
      <c r="B19" s="22" t="s">
        <v>124</v>
      </c>
      <c r="C19" s="22" t="s">
        <v>148</v>
      </c>
      <c r="D19" s="38">
        <v>2</v>
      </c>
      <c r="E19" s="22" t="s">
        <v>801</v>
      </c>
      <c r="F19" s="43">
        <f>IFERROR(VLOOKUP(B19,'③ Billing Input'!B$4:F$103,4,FALSE()),0)</f>
        <v>3600</v>
      </c>
      <c r="G19" s="29">
        <f>F19*Settings!B8</f>
        <v>306000</v>
      </c>
      <c r="H19" s="43">
        <f t="shared" si="0"/>
        <v>1800</v>
      </c>
    </row>
    <row r="20" spans="1:8" ht="15" customHeight="1" x14ac:dyDescent="0.2">
      <c r="A20" s="22" t="s">
        <v>199</v>
      </c>
      <c r="B20" s="22" t="s">
        <v>804</v>
      </c>
      <c r="C20" s="22" t="s">
        <v>148</v>
      </c>
      <c r="D20" s="38">
        <v>1</v>
      </c>
      <c r="E20" s="22" t="s">
        <v>801</v>
      </c>
      <c r="F20" s="43">
        <f>IFERROR(VLOOKUP(B20,'③ Billing Input'!B$4:F$103,4,FALSE()),0)</f>
        <v>0</v>
      </c>
      <c r="G20" s="29">
        <f>F20*Settings!B8</f>
        <v>0</v>
      </c>
      <c r="H20" s="43">
        <f t="shared" si="0"/>
        <v>0</v>
      </c>
    </row>
    <row r="21" spans="1:8" ht="15" customHeight="1" x14ac:dyDescent="0.2">
      <c r="A21" s="22" t="s">
        <v>199</v>
      </c>
      <c r="B21" s="22" t="s">
        <v>126</v>
      </c>
      <c r="C21" s="22" t="s">
        <v>148</v>
      </c>
      <c r="D21" s="38">
        <v>1</v>
      </c>
      <c r="E21" s="22" t="s">
        <v>801</v>
      </c>
      <c r="F21" s="43">
        <f>IFERROR(VLOOKUP(B21,'③ Billing Input'!B$4:F$103,4,FALSE()),0)</f>
        <v>1000</v>
      </c>
      <c r="G21" s="29">
        <f>F21*Settings!B8</f>
        <v>85000</v>
      </c>
      <c r="H21" s="43">
        <f t="shared" si="0"/>
        <v>1000</v>
      </c>
    </row>
    <row r="22" spans="1:8" ht="15" customHeight="1" x14ac:dyDescent="0.2">
      <c r="A22" s="22" t="s">
        <v>199</v>
      </c>
      <c r="B22" s="22" t="s">
        <v>129</v>
      </c>
      <c r="C22" s="22" t="s">
        <v>148</v>
      </c>
      <c r="D22" s="38">
        <v>1.25</v>
      </c>
      <c r="E22" s="22" t="s">
        <v>801</v>
      </c>
      <c r="F22" s="43">
        <f>IFERROR(VLOOKUP(B22,'③ Billing Input'!B$4:F$103,4,FALSE()),0)</f>
        <v>0</v>
      </c>
      <c r="G22" s="29">
        <f>F22*Settings!B8</f>
        <v>0</v>
      </c>
      <c r="H22" s="43">
        <f t="shared" si="0"/>
        <v>0</v>
      </c>
    </row>
    <row r="23" spans="1:8" ht="15" customHeight="1" x14ac:dyDescent="0.2">
      <c r="A23" s="22" t="s">
        <v>177</v>
      </c>
      <c r="B23" s="22" t="s">
        <v>131</v>
      </c>
      <c r="C23" s="22" t="s">
        <v>148</v>
      </c>
      <c r="D23" s="38">
        <v>2</v>
      </c>
      <c r="E23" s="22" t="s">
        <v>801</v>
      </c>
      <c r="F23" s="43">
        <f>IFERROR(VLOOKUP(B23,'③ Billing Input'!B$4:F$103,4,FALSE()),0)</f>
        <v>2320</v>
      </c>
      <c r="G23" s="29">
        <f>F23*Settings!B8</f>
        <v>197200</v>
      </c>
      <c r="H23" s="43">
        <f t="shared" si="0"/>
        <v>1160</v>
      </c>
    </row>
    <row r="24" spans="1:8" ht="15" customHeight="1" x14ac:dyDescent="0.2">
      <c r="A24" s="22" t="s">
        <v>199</v>
      </c>
      <c r="B24" s="22" t="s">
        <v>132</v>
      </c>
      <c r="C24" s="22" t="s">
        <v>148</v>
      </c>
      <c r="D24" s="38">
        <v>1</v>
      </c>
      <c r="E24" s="22" t="s">
        <v>801</v>
      </c>
      <c r="F24" s="43">
        <f>IFERROR(VLOOKUP(B24,'③ Billing Input'!B$4:F$103,4,FALSE()),0)</f>
        <v>1800</v>
      </c>
      <c r="G24" s="29">
        <f>F24*Settings!B8</f>
        <v>153000</v>
      </c>
      <c r="H24" s="43">
        <f t="shared" si="0"/>
        <v>1800</v>
      </c>
    </row>
    <row r="25" spans="1:8" ht="15" customHeight="1" x14ac:dyDescent="0.2">
      <c r="A25" s="22" t="s">
        <v>199</v>
      </c>
      <c r="B25" s="22" t="s">
        <v>133</v>
      </c>
      <c r="C25" s="22" t="s">
        <v>148</v>
      </c>
      <c r="D25" s="38">
        <v>0.5</v>
      </c>
      <c r="E25" s="22" t="s">
        <v>801</v>
      </c>
      <c r="F25" s="43">
        <f>IFERROR(VLOOKUP(B25,'③ Billing Input'!B$4:F$103,4,FALSE()),0)</f>
        <v>600</v>
      </c>
      <c r="G25" s="29">
        <f>F25*Settings!B8</f>
        <v>51000</v>
      </c>
      <c r="H25" s="43">
        <f t="shared" si="0"/>
        <v>1200</v>
      </c>
    </row>
    <row r="26" spans="1:8" ht="15" customHeight="1" x14ac:dyDescent="0.2">
      <c r="A26" s="22" t="s">
        <v>199</v>
      </c>
      <c r="B26" s="22" t="s">
        <v>135</v>
      </c>
      <c r="C26" s="22" t="s">
        <v>148</v>
      </c>
      <c r="D26" s="38">
        <v>2</v>
      </c>
      <c r="E26" s="22" t="s">
        <v>801</v>
      </c>
      <c r="F26" s="43">
        <f>IFERROR(VLOOKUP(B26,'③ Billing Input'!B$4:F$103,4,FALSE()),0)</f>
        <v>2600</v>
      </c>
      <c r="G26" s="29">
        <f>F26*Settings!B8</f>
        <v>221000</v>
      </c>
      <c r="H26" s="43">
        <f t="shared" si="0"/>
        <v>1300</v>
      </c>
    </row>
    <row r="27" spans="1:8" ht="15" customHeight="1" x14ac:dyDescent="0.2">
      <c r="A27" s="22" t="s">
        <v>199</v>
      </c>
      <c r="B27" s="22" t="s">
        <v>136</v>
      </c>
      <c r="C27" s="22" t="s">
        <v>148</v>
      </c>
      <c r="D27" s="38">
        <v>1</v>
      </c>
      <c r="E27" s="22" t="s">
        <v>801</v>
      </c>
      <c r="F27" s="43">
        <f>IFERROR(VLOOKUP(B27,'③ Billing Input'!B$4:F$103,4,FALSE()),0)</f>
        <v>0</v>
      </c>
      <c r="G27" s="29">
        <f>F27*Settings!B8</f>
        <v>0</v>
      </c>
      <c r="H27" s="43">
        <f t="shared" si="0"/>
        <v>0</v>
      </c>
    </row>
    <row r="28" spans="1:8" ht="15" customHeight="1" x14ac:dyDescent="0.2">
      <c r="A28" s="22" t="s">
        <v>199</v>
      </c>
      <c r="B28" s="22" t="s">
        <v>139</v>
      </c>
      <c r="C28" s="22" t="s">
        <v>148</v>
      </c>
      <c r="D28" s="38">
        <v>1.5</v>
      </c>
      <c r="E28" s="22" t="s">
        <v>801</v>
      </c>
      <c r="F28" s="43">
        <f>IFERROR(VLOOKUP(B28,'③ Billing Input'!B$4:F$103,4,FALSE()),0)</f>
        <v>0</v>
      </c>
      <c r="G28" s="29">
        <f>F28*Settings!B8</f>
        <v>0</v>
      </c>
      <c r="H28" s="43">
        <f t="shared" si="0"/>
        <v>0</v>
      </c>
    </row>
    <row r="29" spans="1:8" ht="15" customHeight="1" x14ac:dyDescent="0.2">
      <c r="A29" s="22" t="s">
        <v>199</v>
      </c>
      <c r="B29" s="22" t="s">
        <v>140</v>
      </c>
      <c r="C29" s="22" t="s">
        <v>148</v>
      </c>
      <c r="D29" s="38">
        <v>0.5</v>
      </c>
      <c r="E29" s="22" t="s">
        <v>801</v>
      </c>
      <c r="F29" s="43">
        <f>IFERROR(VLOOKUP(B29,'③ Billing Input'!B$4:F$103,4,FALSE()),0)</f>
        <v>600</v>
      </c>
      <c r="G29" s="29">
        <f>F29*Settings!B8</f>
        <v>51000</v>
      </c>
      <c r="H29" s="43">
        <f t="shared" si="0"/>
        <v>1200</v>
      </c>
    </row>
    <row r="30" spans="1:8" ht="15" customHeight="1" x14ac:dyDescent="0.2">
      <c r="A30" s="22" t="s">
        <v>199</v>
      </c>
      <c r="B30" s="22" t="s">
        <v>141</v>
      </c>
      <c r="C30" s="22" t="s">
        <v>148</v>
      </c>
      <c r="D30" s="38">
        <v>1</v>
      </c>
      <c r="E30" s="22" t="s">
        <v>801</v>
      </c>
      <c r="F30" s="43">
        <f>IFERROR(VLOOKUP(B30,'③ Billing Input'!B$4:F$103,4,FALSE()),0)</f>
        <v>1100</v>
      </c>
      <c r="G30" s="29">
        <f>F30*Settings!B8</f>
        <v>93500</v>
      </c>
      <c r="H30" s="43">
        <f t="shared" si="0"/>
        <v>1100</v>
      </c>
    </row>
    <row r="31" spans="1:8" ht="15" customHeight="1" x14ac:dyDescent="0.2">
      <c r="A31" s="22" t="s">
        <v>145</v>
      </c>
      <c r="B31" s="22" t="s">
        <v>78</v>
      </c>
      <c r="C31" s="22" t="s">
        <v>148</v>
      </c>
      <c r="D31" s="38">
        <v>1</v>
      </c>
      <c r="E31" s="22" t="s">
        <v>801</v>
      </c>
      <c r="F31" s="43">
        <f>IFERROR(VLOOKUP(B31,'③ Billing Input'!B$4:F$103,4,FALSE()),0)</f>
        <v>1200</v>
      </c>
      <c r="G31" s="29">
        <f>F31*Settings!B8</f>
        <v>102000</v>
      </c>
      <c r="H31" s="43">
        <f t="shared" si="0"/>
        <v>1200</v>
      </c>
    </row>
    <row r="32" spans="1:8" ht="15" customHeight="1" x14ac:dyDescent="0.2">
      <c r="A32" s="22" t="s">
        <v>145</v>
      </c>
      <c r="B32" s="22" t="s">
        <v>80</v>
      </c>
      <c r="C32" s="22" t="s">
        <v>148</v>
      </c>
      <c r="D32" s="38">
        <v>4</v>
      </c>
      <c r="E32" s="22" t="s">
        <v>801</v>
      </c>
      <c r="F32" s="43">
        <f>IFERROR(VLOOKUP(B32,'③ Billing Input'!B$4:F$103,4,FALSE()),0)</f>
        <v>5800</v>
      </c>
      <c r="G32" s="29">
        <f>F32*Settings!B8</f>
        <v>493000</v>
      </c>
      <c r="H32" s="43">
        <f t="shared" si="0"/>
        <v>1450</v>
      </c>
    </row>
    <row r="33" spans="1:8" ht="15" customHeight="1" x14ac:dyDescent="0.2">
      <c r="A33" s="22" t="s">
        <v>145</v>
      </c>
      <c r="B33" s="22" t="s">
        <v>85</v>
      </c>
      <c r="C33" s="22" t="s">
        <v>148</v>
      </c>
      <c r="D33" s="38">
        <v>1</v>
      </c>
      <c r="E33" s="22" t="s">
        <v>801</v>
      </c>
      <c r="F33" s="43">
        <f>IFERROR(VLOOKUP(B33,'③ Billing Input'!B$4:F$103,4,FALSE()),0)</f>
        <v>1200</v>
      </c>
      <c r="G33" s="29">
        <f>F33*Settings!B8</f>
        <v>102000</v>
      </c>
      <c r="H33" s="43">
        <f t="shared" si="0"/>
        <v>1200</v>
      </c>
    </row>
    <row r="34" spans="1:8" ht="15" customHeight="1" x14ac:dyDescent="0.2">
      <c r="A34" s="22" t="s">
        <v>145</v>
      </c>
      <c r="B34" s="22" t="s">
        <v>88</v>
      </c>
      <c r="C34" s="22" t="s">
        <v>148</v>
      </c>
      <c r="D34" s="38">
        <v>0.5</v>
      </c>
      <c r="E34" s="22" t="s">
        <v>801</v>
      </c>
      <c r="F34" s="43">
        <f>IFERROR(VLOOKUP(B34,'③ Billing Input'!B$4:F$103,4,FALSE()),0)</f>
        <v>700</v>
      </c>
      <c r="G34" s="29">
        <f>F34*Settings!B8</f>
        <v>59500</v>
      </c>
      <c r="H34" s="43">
        <f t="shared" si="0"/>
        <v>1400</v>
      </c>
    </row>
    <row r="35" spans="1:8" ht="23.25" customHeight="1" x14ac:dyDescent="0.2">
      <c r="A35" s="22" t="s">
        <v>145</v>
      </c>
      <c r="B35" s="22" t="s">
        <v>89</v>
      </c>
      <c r="C35" s="22" t="s">
        <v>148</v>
      </c>
      <c r="D35" s="38">
        <v>2.5</v>
      </c>
      <c r="E35" s="22" t="s">
        <v>801</v>
      </c>
      <c r="F35" s="43">
        <f>IFERROR(VLOOKUP(B35,'③ Billing Input'!B$4:F$103,4,FALSE()),0)</f>
        <v>2600</v>
      </c>
      <c r="G35" s="29">
        <f>F35*Settings!B8</f>
        <v>221000</v>
      </c>
      <c r="H35" s="43">
        <f t="shared" si="0"/>
        <v>1040</v>
      </c>
    </row>
    <row r="36" spans="1:8" ht="15" customHeight="1" x14ac:dyDescent="0.2">
      <c r="A36" s="22" t="s">
        <v>145</v>
      </c>
      <c r="B36" s="22" t="s">
        <v>90</v>
      </c>
      <c r="C36" s="22" t="s">
        <v>148</v>
      </c>
      <c r="D36" s="38">
        <v>1</v>
      </c>
      <c r="E36" s="22" t="s">
        <v>801</v>
      </c>
      <c r="F36" s="43">
        <f>IFERROR(VLOOKUP(B36,'③ Billing Input'!B$4:F$103,4,FALSE()),0)</f>
        <v>1000</v>
      </c>
      <c r="G36" s="29">
        <f>F36*Settings!B8</f>
        <v>85000</v>
      </c>
      <c r="H36" s="43">
        <f t="shared" ref="H36:H67" si="1">IF(D36=0,0,F36/D36)</f>
        <v>1000</v>
      </c>
    </row>
    <row r="37" spans="1:8" ht="15" customHeight="1" x14ac:dyDescent="0.2">
      <c r="A37" s="22" t="s">
        <v>145</v>
      </c>
      <c r="B37" s="22" t="s">
        <v>91</v>
      </c>
      <c r="C37" s="22" t="s">
        <v>148</v>
      </c>
      <c r="D37" s="38">
        <v>1</v>
      </c>
      <c r="E37" s="22" t="s">
        <v>801</v>
      </c>
      <c r="F37" s="43">
        <f>IFERROR(VLOOKUP(B37,'③ Billing Input'!B$4:F$103,4,FALSE()),0)</f>
        <v>0</v>
      </c>
      <c r="G37" s="29">
        <f>F37*Settings!B8</f>
        <v>0</v>
      </c>
      <c r="H37" s="43">
        <f t="shared" si="1"/>
        <v>0</v>
      </c>
    </row>
    <row r="38" spans="1:8" ht="15" customHeight="1" x14ac:dyDescent="0.2">
      <c r="A38" s="22" t="s">
        <v>145</v>
      </c>
      <c r="B38" s="22" t="s">
        <v>791</v>
      </c>
      <c r="C38" s="22" t="s">
        <v>148</v>
      </c>
      <c r="D38" s="38">
        <v>1</v>
      </c>
      <c r="E38" s="22" t="s">
        <v>801</v>
      </c>
      <c r="F38" s="43">
        <f>IFERROR(VLOOKUP(B38,'③ Billing Input'!B$4:F$103,4,FALSE()),0)</f>
        <v>1400</v>
      </c>
      <c r="G38" s="29">
        <f>F38*Settings!B8</f>
        <v>119000</v>
      </c>
      <c r="H38" s="43">
        <f t="shared" si="1"/>
        <v>1400</v>
      </c>
    </row>
    <row r="39" spans="1:8" ht="15" customHeight="1" x14ac:dyDescent="0.2">
      <c r="A39" s="22" t="s">
        <v>145</v>
      </c>
      <c r="B39" s="22" t="s">
        <v>98</v>
      </c>
      <c r="C39" s="22" t="s">
        <v>148</v>
      </c>
      <c r="D39" s="38">
        <v>1.5</v>
      </c>
      <c r="E39" s="22" t="s">
        <v>801</v>
      </c>
      <c r="F39" s="43">
        <f>IFERROR(VLOOKUP(B39,'③ Billing Input'!B$4:F$103,4,FALSE()),0)</f>
        <v>2000</v>
      </c>
      <c r="G39" s="29">
        <f>F39*Settings!B8</f>
        <v>170000</v>
      </c>
      <c r="H39" s="43">
        <f t="shared" si="1"/>
        <v>1333.3333333333333</v>
      </c>
    </row>
    <row r="40" spans="1:8" ht="15" customHeight="1" x14ac:dyDescent="0.2">
      <c r="A40" s="22" t="s">
        <v>177</v>
      </c>
      <c r="B40" s="22" t="s">
        <v>100</v>
      </c>
      <c r="C40" s="22" t="s">
        <v>148</v>
      </c>
      <c r="D40" s="38">
        <v>2</v>
      </c>
      <c r="E40" s="22" t="s">
        <v>801</v>
      </c>
      <c r="F40" s="43">
        <f>IFERROR(VLOOKUP(B40,'③ Billing Input'!B$4:F$103,4,FALSE()),0)</f>
        <v>2600</v>
      </c>
      <c r="G40" s="29">
        <f>F40*Settings!B8</f>
        <v>221000</v>
      </c>
      <c r="H40" s="43">
        <f t="shared" si="1"/>
        <v>1300</v>
      </c>
    </row>
    <row r="41" spans="1:8" ht="15" customHeight="1" x14ac:dyDescent="0.2">
      <c r="A41" s="22" t="s">
        <v>145</v>
      </c>
      <c r="B41" s="22" t="s">
        <v>103</v>
      </c>
      <c r="C41" s="22" t="s">
        <v>148</v>
      </c>
      <c r="D41" s="38">
        <v>1</v>
      </c>
      <c r="E41" s="22" t="s">
        <v>801</v>
      </c>
      <c r="F41" s="43">
        <f>IFERROR(VLOOKUP(B41,'③ Billing Input'!B$4:F$103,4,FALSE()),0)</f>
        <v>1200</v>
      </c>
      <c r="G41" s="29">
        <f>F41*Settings!B8</f>
        <v>102000</v>
      </c>
      <c r="H41" s="43">
        <f t="shared" si="1"/>
        <v>1200</v>
      </c>
    </row>
    <row r="42" spans="1:8" ht="15" customHeight="1" x14ac:dyDescent="0.2">
      <c r="A42" s="22" t="s">
        <v>145</v>
      </c>
      <c r="B42" s="22" t="s">
        <v>104</v>
      </c>
      <c r="C42" s="22" t="s">
        <v>148</v>
      </c>
      <c r="D42" s="38">
        <v>3</v>
      </c>
      <c r="E42" s="22" t="s">
        <v>801</v>
      </c>
      <c r="F42" s="43">
        <f>IFERROR(VLOOKUP(B42,'③ Billing Input'!B$4:F$103,4,FALSE()),0)</f>
        <v>0</v>
      </c>
      <c r="G42" s="29">
        <f>F42*Settings!B8</f>
        <v>0</v>
      </c>
      <c r="H42" s="43">
        <f t="shared" si="1"/>
        <v>0</v>
      </c>
    </row>
    <row r="43" spans="1:8" ht="15" customHeight="1" x14ac:dyDescent="0.2">
      <c r="A43" s="22" t="s">
        <v>145</v>
      </c>
      <c r="B43" s="22" t="s">
        <v>106</v>
      </c>
      <c r="C43" s="22" t="s">
        <v>148</v>
      </c>
      <c r="D43" s="38">
        <v>2</v>
      </c>
      <c r="E43" s="22" t="s">
        <v>801</v>
      </c>
      <c r="F43" s="43">
        <f>IFERROR(VLOOKUP(B43,'③ Billing Input'!B$4:F$103,4,FALSE()),0)</f>
        <v>2640</v>
      </c>
      <c r="G43" s="29">
        <f>F43*Settings!B8</f>
        <v>224400</v>
      </c>
      <c r="H43" s="43">
        <f t="shared" si="1"/>
        <v>1320</v>
      </c>
    </row>
    <row r="44" spans="1:8" ht="15" customHeight="1" x14ac:dyDescent="0.2">
      <c r="A44" s="22" t="s">
        <v>145</v>
      </c>
      <c r="B44" s="22" t="s">
        <v>111</v>
      </c>
      <c r="C44" s="22" t="s">
        <v>148</v>
      </c>
      <c r="D44" s="38">
        <v>1</v>
      </c>
      <c r="E44" s="22" t="s">
        <v>801</v>
      </c>
      <c r="F44" s="43">
        <f>IFERROR(VLOOKUP(B44,'③ Billing Input'!B$4:F$103,4,FALSE()),0)</f>
        <v>1200</v>
      </c>
      <c r="G44" s="29">
        <f>F44*Settings!B8</f>
        <v>102000</v>
      </c>
      <c r="H44" s="43">
        <f t="shared" si="1"/>
        <v>1200</v>
      </c>
    </row>
    <row r="45" spans="1:8" ht="15" customHeight="1" x14ac:dyDescent="0.2">
      <c r="A45" s="22" t="s">
        <v>145</v>
      </c>
      <c r="B45" s="22" t="s">
        <v>113</v>
      </c>
      <c r="C45" s="22" t="s">
        <v>148</v>
      </c>
      <c r="D45" s="38">
        <v>1</v>
      </c>
      <c r="E45" s="22" t="s">
        <v>801</v>
      </c>
      <c r="F45" s="43">
        <f>IFERROR(VLOOKUP(B45,'③ Billing Input'!B$4:F$103,4,FALSE()),0)</f>
        <v>1200</v>
      </c>
      <c r="G45" s="29">
        <f>F45*Settings!B8</f>
        <v>102000</v>
      </c>
      <c r="H45" s="43">
        <f t="shared" si="1"/>
        <v>1200</v>
      </c>
    </row>
    <row r="46" spans="1:8" ht="15" customHeight="1" x14ac:dyDescent="0.2">
      <c r="A46" s="22" t="s">
        <v>145</v>
      </c>
      <c r="B46" s="22" t="s">
        <v>119</v>
      </c>
      <c r="C46" s="22" t="s">
        <v>148</v>
      </c>
      <c r="D46" s="38">
        <v>1</v>
      </c>
      <c r="E46" s="22" t="s">
        <v>801</v>
      </c>
      <c r="F46" s="43">
        <f>IFERROR(VLOOKUP(B46,'③ Billing Input'!B$4:F$103,4,FALSE()),0)</f>
        <v>1000</v>
      </c>
      <c r="G46" s="29">
        <f>F46*Settings!B8</f>
        <v>85000</v>
      </c>
      <c r="H46" s="43">
        <f t="shared" si="1"/>
        <v>1000</v>
      </c>
    </row>
    <row r="47" spans="1:8" ht="15" customHeight="1" x14ac:dyDescent="0.2">
      <c r="A47" s="22" t="s">
        <v>145</v>
      </c>
      <c r="B47" s="22" t="s">
        <v>127</v>
      </c>
      <c r="C47" s="22" t="s">
        <v>148</v>
      </c>
      <c r="D47" s="38">
        <v>0.25</v>
      </c>
      <c r="E47" s="22" t="s">
        <v>801</v>
      </c>
      <c r="F47" s="43">
        <f>IFERROR(VLOOKUP(B47,'③ Billing Input'!B$4:F$103,4,FALSE()),0)</f>
        <v>400</v>
      </c>
      <c r="G47" s="29">
        <f>F47*Settings!B8</f>
        <v>34000</v>
      </c>
      <c r="H47" s="43">
        <f t="shared" si="1"/>
        <v>1600</v>
      </c>
    </row>
    <row r="48" spans="1:8" ht="15" customHeight="1" x14ac:dyDescent="0.2">
      <c r="A48" s="22" t="s">
        <v>160</v>
      </c>
      <c r="B48" s="22" t="s">
        <v>138</v>
      </c>
      <c r="C48" s="22" t="s">
        <v>148</v>
      </c>
      <c r="D48" s="38">
        <v>1</v>
      </c>
      <c r="E48" s="22" t="s">
        <v>801</v>
      </c>
      <c r="F48" s="43">
        <f>IFERROR(VLOOKUP(B48,'③ Billing Input'!B$4:F$103,4,FALSE()),0)</f>
        <v>1800</v>
      </c>
      <c r="G48" s="29">
        <f>F48*Settings!B8</f>
        <v>153000</v>
      </c>
      <c r="H48" s="43">
        <f t="shared" si="1"/>
        <v>1800</v>
      </c>
    </row>
    <row r="49" spans="1:8" ht="15" customHeight="1" x14ac:dyDescent="0.2">
      <c r="A49" s="22" t="s">
        <v>194</v>
      </c>
      <c r="B49" s="22" t="s">
        <v>94</v>
      </c>
      <c r="C49" s="22" t="s">
        <v>148</v>
      </c>
      <c r="D49" s="38">
        <v>0.5</v>
      </c>
      <c r="E49" s="22" t="s">
        <v>801</v>
      </c>
      <c r="F49" s="43">
        <f>IFERROR(VLOOKUP(B49,'③ Billing Input'!B$4:F$103,4,FALSE()),0)</f>
        <v>700</v>
      </c>
      <c r="G49" s="29">
        <f>F49*Settings!B8</f>
        <v>59500</v>
      </c>
      <c r="H49" s="43">
        <f t="shared" si="1"/>
        <v>1400</v>
      </c>
    </row>
    <row r="50" spans="1:8" ht="15" customHeight="1" x14ac:dyDescent="0.2">
      <c r="A50" s="22" t="s">
        <v>194</v>
      </c>
      <c r="B50" s="22" t="s">
        <v>97</v>
      </c>
      <c r="C50" s="22" t="s">
        <v>148</v>
      </c>
      <c r="D50" s="38">
        <v>0.25</v>
      </c>
      <c r="E50" s="22" t="s">
        <v>801</v>
      </c>
      <c r="F50" s="43">
        <f>IFERROR(VLOOKUP(B50,'③ Billing Input'!B$4:F$103,4,FALSE()),0)</f>
        <v>350</v>
      </c>
      <c r="G50" s="29">
        <f>F50*Settings!B8</f>
        <v>29750</v>
      </c>
      <c r="H50" s="43">
        <f t="shared" si="1"/>
        <v>1400</v>
      </c>
    </row>
    <row r="51" spans="1:8" ht="15" customHeight="1" x14ac:dyDescent="0.2">
      <c r="A51" s="22" t="s">
        <v>194</v>
      </c>
      <c r="B51" s="22" t="s">
        <v>102</v>
      </c>
      <c r="C51" s="22" t="s">
        <v>148</v>
      </c>
      <c r="D51" s="38">
        <v>0.5</v>
      </c>
      <c r="E51" s="22" t="s">
        <v>801</v>
      </c>
      <c r="F51" s="43">
        <f>IFERROR(VLOOKUP(B51,'③ Billing Input'!B$4:F$103,4,FALSE()),0)</f>
        <v>600</v>
      </c>
      <c r="G51" s="29">
        <f>F51*Settings!B8</f>
        <v>51000</v>
      </c>
      <c r="H51" s="43">
        <f t="shared" si="1"/>
        <v>1200</v>
      </c>
    </row>
    <row r="52" spans="1:8" ht="23.25" customHeight="1" x14ac:dyDescent="0.2">
      <c r="A52" s="22" t="s">
        <v>194</v>
      </c>
      <c r="B52" s="22" t="s">
        <v>105</v>
      </c>
      <c r="C52" s="22" t="s">
        <v>148</v>
      </c>
      <c r="D52" s="38">
        <v>0.5</v>
      </c>
      <c r="E52" s="22" t="s">
        <v>801</v>
      </c>
      <c r="F52" s="43">
        <f>IFERROR(VLOOKUP(B52,'③ Billing Input'!B$4:F$103,4,FALSE()),0)</f>
        <v>450</v>
      </c>
      <c r="G52" s="29">
        <f>F52*Settings!B8</f>
        <v>38250</v>
      </c>
      <c r="H52" s="43">
        <f t="shared" si="1"/>
        <v>900</v>
      </c>
    </row>
    <row r="53" spans="1:8" ht="15" customHeight="1" x14ac:dyDescent="0.2">
      <c r="A53" s="22" t="s">
        <v>194</v>
      </c>
      <c r="B53" s="22" t="s">
        <v>110</v>
      </c>
      <c r="C53" s="22" t="s">
        <v>148</v>
      </c>
      <c r="D53" s="38">
        <v>1.5</v>
      </c>
      <c r="E53" s="22" t="s">
        <v>801</v>
      </c>
      <c r="F53" s="43">
        <f>IFERROR(VLOOKUP(B53,'③ Billing Input'!B$4:F$103,4,FALSE()),0)</f>
        <v>1900</v>
      </c>
      <c r="G53" s="29">
        <f>F53*Settings!B8</f>
        <v>161500</v>
      </c>
      <c r="H53" s="43">
        <f t="shared" si="1"/>
        <v>1266.6666666666667</v>
      </c>
    </row>
    <row r="54" spans="1:8" ht="15" customHeight="1" x14ac:dyDescent="0.2">
      <c r="A54" s="22" t="s">
        <v>194</v>
      </c>
      <c r="B54" s="22" t="s">
        <v>116</v>
      </c>
      <c r="C54" s="22" t="s">
        <v>148</v>
      </c>
      <c r="D54" s="38">
        <v>0.5</v>
      </c>
      <c r="E54" s="22" t="s">
        <v>801</v>
      </c>
      <c r="F54" s="43">
        <f>IFERROR(VLOOKUP(B54,'③ Billing Input'!B$4:F$103,4,FALSE()),0)</f>
        <v>600</v>
      </c>
      <c r="G54" s="29">
        <f>F54*Settings!B8</f>
        <v>51000</v>
      </c>
      <c r="H54" s="43">
        <f t="shared" si="1"/>
        <v>1200</v>
      </c>
    </row>
    <row r="55" spans="1:8" ht="15" customHeight="1" x14ac:dyDescent="0.2">
      <c r="A55" s="22" t="s">
        <v>194</v>
      </c>
      <c r="B55" s="22" t="s">
        <v>117</v>
      </c>
      <c r="C55" s="22" t="s">
        <v>148</v>
      </c>
      <c r="D55" s="38">
        <v>2</v>
      </c>
      <c r="E55" s="22" t="s">
        <v>801</v>
      </c>
      <c r="F55" s="43">
        <f>IFERROR(VLOOKUP(B55,'③ Billing Input'!B$4:F$103,4,FALSE()),0)</f>
        <v>4000</v>
      </c>
      <c r="G55" s="29">
        <f>F55*Settings!B8</f>
        <v>340000</v>
      </c>
      <c r="H55" s="43">
        <f t="shared" si="1"/>
        <v>2000</v>
      </c>
    </row>
    <row r="56" spans="1:8" ht="15" customHeight="1" x14ac:dyDescent="0.2">
      <c r="A56" s="22" t="s">
        <v>194</v>
      </c>
      <c r="B56" s="22" t="s">
        <v>118</v>
      </c>
      <c r="C56" s="22" t="s">
        <v>148</v>
      </c>
      <c r="D56" s="38">
        <v>1</v>
      </c>
      <c r="E56" s="22" t="s">
        <v>801</v>
      </c>
      <c r="F56" s="43">
        <f>IFERROR(VLOOKUP(B56,'③ Billing Input'!B$4:F$103,4,FALSE()),0)</f>
        <v>1000</v>
      </c>
      <c r="G56" s="29">
        <f>F56*Settings!B8</f>
        <v>85000</v>
      </c>
      <c r="H56" s="43">
        <f t="shared" si="1"/>
        <v>1000</v>
      </c>
    </row>
    <row r="57" spans="1:8" ht="15" customHeight="1" x14ac:dyDescent="0.2">
      <c r="A57" s="22" t="s">
        <v>194</v>
      </c>
      <c r="B57" s="22" t="s">
        <v>120</v>
      </c>
      <c r="C57" s="22" t="s">
        <v>148</v>
      </c>
      <c r="D57" s="38">
        <v>0.25</v>
      </c>
      <c r="E57" s="22" t="s">
        <v>801</v>
      </c>
      <c r="F57" s="43">
        <f>IFERROR(VLOOKUP(B57,'③ Billing Input'!B$4:F$103,4,FALSE()),0)</f>
        <v>450</v>
      </c>
      <c r="G57" s="29">
        <f>F57*Settings!B8</f>
        <v>38250</v>
      </c>
      <c r="H57" s="43">
        <f t="shared" si="1"/>
        <v>1800</v>
      </c>
    </row>
    <row r="58" spans="1:8" ht="15" customHeight="1" x14ac:dyDescent="0.2">
      <c r="A58" s="22" t="s">
        <v>194</v>
      </c>
      <c r="B58" s="22" t="s">
        <v>128</v>
      </c>
      <c r="C58" s="22" t="s">
        <v>148</v>
      </c>
      <c r="D58" s="38">
        <v>1</v>
      </c>
      <c r="E58" s="22" t="s">
        <v>801</v>
      </c>
      <c r="F58" s="43">
        <f>IFERROR(VLOOKUP(B58,'③ Billing Input'!B$4:F$103,4,FALSE()),0)</f>
        <v>0</v>
      </c>
      <c r="G58" s="29">
        <f>F58*Settings!B8</f>
        <v>0</v>
      </c>
      <c r="H58" s="43">
        <f t="shared" si="1"/>
        <v>0</v>
      </c>
    </row>
    <row r="59" spans="1:8" ht="15" customHeight="1" x14ac:dyDescent="0.2">
      <c r="A59" s="22" t="s">
        <v>194</v>
      </c>
      <c r="B59" s="22" t="s">
        <v>137</v>
      </c>
      <c r="C59" s="22" t="s">
        <v>148</v>
      </c>
      <c r="D59" s="38">
        <v>2</v>
      </c>
      <c r="E59" s="22" t="s">
        <v>801</v>
      </c>
      <c r="F59" s="43">
        <f>IFERROR(VLOOKUP(B59,'③ Billing Input'!B$4:F$103,4,FALSE()),0)</f>
        <v>0</v>
      </c>
      <c r="G59" s="29">
        <f>F59*Settings!B8</f>
        <v>0</v>
      </c>
      <c r="H59" s="43">
        <f t="shared" si="1"/>
        <v>0</v>
      </c>
    </row>
    <row r="60" spans="1:8" ht="15" customHeight="1" x14ac:dyDescent="0.2">
      <c r="A60" s="22" t="s">
        <v>194</v>
      </c>
      <c r="B60" s="22" t="s">
        <v>139</v>
      </c>
      <c r="C60" s="22" t="s">
        <v>148</v>
      </c>
      <c r="D60" s="38">
        <v>1</v>
      </c>
      <c r="E60" s="22" t="s">
        <v>801</v>
      </c>
      <c r="F60" s="43">
        <f>IFERROR(VLOOKUP(B60,'③ Billing Input'!B$4:F$103,4,FALSE()),0)</f>
        <v>0</v>
      </c>
      <c r="G60" s="29">
        <f>F60*Settings!B8</f>
        <v>0</v>
      </c>
      <c r="H60" s="43">
        <f t="shared" si="1"/>
        <v>0</v>
      </c>
    </row>
    <row r="61" spans="1:8" ht="15" customHeight="1" x14ac:dyDescent="0.2">
      <c r="A61" s="22" t="s">
        <v>269</v>
      </c>
      <c r="B61" s="22" t="s">
        <v>83</v>
      </c>
      <c r="C61" s="22" t="s">
        <v>221</v>
      </c>
      <c r="D61" s="38">
        <v>0.35</v>
      </c>
      <c r="E61" s="22" t="s">
        <v>801</v>
      </c>
      <c r="F61" s="43">
        <f>IFERROR(VLOOKUP(B61,'③ Billing Input'!B$4:F$103,4,FALSE()),0)</f>
        <v>1200</v>
      </c>
      <c r="G61" s="29">
        <f>F61*Settings!B8</f>
        <v>102000</v>
      </c>
      <c r="H61" s="43">
        <f t="shared" si="1"/>
        <v>3428.5714285714289</v>
      </c>
    </row>
    <row r="62" spans="1:8" ht="15" customHeight="1" x14ac:dyDescent="0.2">
      <c r="A62" s="22" t="s">
        <v>269</v>
      </c>
      <c r="B62" s="22" t="s">
        <v>93</v>
      </c>
      <c r="C62" s="22" t="s">
        <v>221</v>
      </c>
      <c r="D62" s="38">
        <v>1</v>
      </c>
      <c r="E62" s="22" t="s">
        <v>801</v>
      </c>
      <c r="F62" s="43">
        <f>IFERROR(VLOOKUP(B62,'③ Billing Input'!B$4:F$103,4,FALSE()),0)</f>
        <v>1880</v>
      </c>
      <c r="G62" s="29">
        <f>F62*Settings!B8</f>
        <v>159800</v>
      </c>
      <c r="H62" s="43">
        <f t="shared" si="1"/>
        <v>1880</v>
      </c>
    </row>
    <row r="63" spans="1:8" ht="15" customHeight="1" x14ac:dyDescent="0.2">
      <c r="A63" s="22" t="s">
        <v>269</v>
      </c>
      <c r="B63" s="22" t="s">
        <v>100</v>
      </c>
      <c r="C63" s="22" t="s">
        <v>221</v>
      </c>
      <c r="D63" s="38">
        <v>0.7</v>
      </c>
      <c r="E63" s="22" t="s">
        <v>801</v>
      </c>
      <c r="F63" s="43">
        <f>IFERROR(VLOOKUP(B63,'③ Billing Input'!B$4:F$103,4,FALSE()),0)</f>
        <v>2600</v>
      </c>
      <c r="G63" s="29">
        <f>F63*Settings!B8</f>
        <v>221000</v>
      </c>
      <c r="H63" s="43">
        <f t="shared" si="1"/>
        <v>3714.2857142857147</v>
      </c>
    </row>
    <row r="64" spans="1:8" ht="15" customHeight="1" x14ac:dyDescent="0.2">
      <c r="A64" s="22" t="s">
        <v>269</v>
      </c>
      <c r="B64" s="22" t="s">
        <v>106</v>
      </c>
      <c r="C64" s="22" t="s">
        <v>221</v>
      </c>
      <c r="D64" s="38">
        <v>0.7</v>
      </c>
      <c r="E64" s="22" t="s">
        <v>801</v>
      </c>
      <c r="F64" s="43">
        <f>IFERROR(VLOOKUP(B64,'③ Billing Input'!B$4:F$103,4,FALSE()),0)</f>
        <v>2640</v>
      </c>
      <c r="G64" s="29">
        <f>F64*Settings!B8</f>
        <v>224400</v>
      </c>
      <c r="H64" s="43">
        <f t="shared" si="1"/>
        <v>3771.4285714285716</v>
      </c>
    </row>
    <row r="65" spans="1:8" ht="15" customHeight="1" x14ac:dyDescent="0.2">
      <c r="A65" s="22" t="s">
        <v>269</v>
      </c>
      <c r="B65" s="22" t="s">
        <v>107</v>
      </c>
      <c r="C65" s="22" t="s">
        <v>221</v>
      </c>
      <c r="D65" s="38">
        <v>0.7</v>
      </c>
      <c r="E65" s="22" t="s">
        <v>801</v>
      </c>
      <c r="F65" s="43">
        <f>IFERROR(VLOOKUP(B65,'③ Billing Input'!B$4:F$103,4,FALSE()),0)</f>
        <v>0</v>
      </c>
      <c r="G65" s="29">
        <f>F65*Settings!B8</f>
        <v>0</v>
      </c>
      <c r="H65" s="43">
        <f t="shared" si="1"/>
        <v>0</v>
      </c>
    </row>
    <row r="66" spans="1:8" ht="15" customHeight="1" x14ac:dyDescent="0.2">
      <c r="A66" s="22" t="s">
        <v>269</v>
      </c>
      <c r="B66" s="22" t="s">
        <v>112</v>
      </c>
      <c r="C66" s="22" t="s">
        <v>221</v>
      </c>
      <c r="D66" s="38">
        <v>0.7</v>
      </c>
      <c r="E66" s="22" t="s">
        <v>801</v>
      </c>
      <c r="F66" s="43">
        <f>IFERROR(VLOOKUP(B66,'③ Billing Input'!B$4:F$103,4,FALSE()),0)</f>
        <v>0</v>
      </c>
      <c r="G66" s="29">
        <f>F66*Settings!B8</f>
        <v>0</v>
      </c>
      <c r="H66" s="43">
        <f t="shared" si="1"/>
        <v>0</v>
      </c>
    </row>
    <row r="67" spans="1:8" ht="15" customHeight="1" x14ac:dyDescent="0.2">
      <c r="A67" s="22" t="s">
        <v>269</v>
      </c>
      <c r="B67" s="22" t="s">
        <v>123</v>
      </c>
      <c r="C67" s="22" t="s">
        <v>221</v>
      </c>
      <c r="D67" s="38">
        <v>0.35</v>
      </c>
      <c r="E67" s="22" t="s">
        <v>801</v>
      </c>
      <c r="F67" s="43">
        <f>IFERROR(VLOOKUP(B67,'③ Billing Input'!B$4:F$103,4,FALSE()),0)</f>
        <v>250</v>
      </c>
      <c r="G67" s="29">
        <f>F67*Settings!B8</f>
        <v>21250</v>
      </c>
      <c r="H67" s="43">
        <f t="shared" si="1"/>
        <v>714.28571428571433</v>
      </c>
    </row>
    <row r="68" spans="1:8" ht="15" customHeight="1" x14ac:dyDescent="0.2">
      <c r="A68" s="22" t="s">
        <v>269</v>
      </c>
      <c r="B68" s="22" t="s">
        <v>124</v>
      </c>
      <c r="C68" s="22" t="s">
        <v>221</v>
      </c>
      <c r="D68" s="38">
        <v>0.7</v>
      </c>
      <c r="E68" s="22" t="s">
        <v>801</v>
      </c>
      <c r="F68" s="43">
        <f>IFERROR(VLOOKUP(B68,'③ Billing Input'!B$4:F$103,4,FALSE()),0)</f>
        <v>3600</v>
      </c>
      <c r="G68" s="29">
        <f>F68*Settings!B8</f>
        <v>306000</v>
      </c>
      <c r="H68" s="43">
        <f t="shared" ref="H68:H91" si="2">IF(D68=0,0,F68/D68)</f>
        <v>5142.8571428571431</v>
      </c>
    </row>
    <row r="69" spans="1:8" ht="15" customHeight="1" x14ac:dyDescent="0.2">
      <c r="A69" s="22" t="s">
        <v>269</v>
      </c>
      <c r="B69" s="22" t="s">
        <v>132</v>
      </c>
      <c r="C69" s="22" t="s">
        <v>221</v>
      </c>
      <c r="D69" s="38">
        <v>0.35</v>
      </c>
      <c r="E69" s="22" t="s">
        <v>801</v>
      </c>
      <c r="F69" s="43">
        <f>IFERROR(VLOOKUP(B69,'③ Billing Input'!B$4:F$103,4,FALSE()),0)</f>
        <v>1800</v>
      </c>
      <c r="G69" s="29">
        <f>F69*Settings!B8</f>
        <v>153000</v>
      </c>
      <c r="H69" s="43">
        <f t="shared" si="2"/>
        <v>5142.8571428571431</v>
      </c>
    </row>
    <row r="70" spans="1:8" ht="15" customHeight="1" x14ac:dyDescent="0.2">
      <c r="A70" s="22" t="s">
        <v>177</v>
      </c>
      <c r="B70" s="22" t="s">
        <v>83</v>
      </c>
      <c r="C70" s="22" t="s">
        <v>294</v>
      </c>
      <c r="D70" s="38">
        <v>0.15</v>
      </c>
      <c r="E70" s="22" t="s">
        <v>801</v>
      </c>
      <c r="F70" s="43">
        <f>IFERROR(VLOOKUP(B70,'③ Billing Input'!B$4:F$103,4,FALSE()),0)</f>
        <v>1200</v>
      </c>
      <c r="G70" s="29">
        <f>F70*Settings!B8</f>
        <v>102000</v>
      </c>
      <c r="H70" s="43">
        <f t="shared" si="2"/>
        <v>8000</v>
      </c>
    </row>
    <row r="71" spans="1:8" ht="15" customHeight="1" x14ac:dyDescent="0.2">
      <c r="A71" s="22" t="s">
        <v>177</v>
      </c>
      <c r="B71" s="22" t="s">
        <v>100</v>
      </c>
      <c r="C71" s="22" t="s">
        <v>294</v>
      </c>
      <c r="D71" s="38">
        <v>0.3</v>
      </c>
      <c r="E71" s="22" t="s">
        <v>801</v>
      </c>
      <c r="F71" s="43">
        <f>IFERROR(VLOOKUP(B71,'③ Billing Input'!B$4:F$103,4,FALSE()),0)</f>
        <v>2600</v>
      </c>
      <c r="G71" s="29">
        <f>F71*Settings!B8</f>
        <v>221000</v>
      </c>
      <c r="H71" s="43">
        <f t="shared" si="2"/>
        <v>8666.6666666666679</v>
      </c>
    </row>
    <row r="72" spans="1:8" ht="15" customHeight="1" x14ac:dyDescent="0.2">
      <c r="A72" s="22" t="s">
        <v>177</v>
      </c>
      <c r="B72" s="22" t="s">
        <v>106</v>
      </c>
      <c r="C72" s="22" t="s">
        <v>294</v>
      </c>
      <c r="D72" s="38">
        <v>0.3</v>
      </c>
      <c r="E72" s="22" t="s">
        <v>801</v>
      </c>
      <c r="F72" s="43">
        <f>IFERROR(VLOOKUP(B72,'③ Billing Input'!B$4:F$103,4,FALSE()),0)</f>
        <v>2640</v>
      </c>
      <c r="G72" s="29">
        <f>F72*Settings!B8</f>
        <v>224400</v>
      </c>
      <c r="H72" s="43">
        <f t="shared" si="2"/>
        <v>8800</v>
      </c>
    </row>
    <row r="73" spans="1:8" ht="15" customHeight="1" x14ac:dyDescent="0.2">
      <c r="A73" s="22" t="s">
        <v>177</v>
      </c>
      <c r="B73" s="22" t="s">
        <v>107</v>
      </c>
      <c r="C73" s="22" t="s">
        <v>294</v>
      </c>
      <c r="D73" s="38">
        <v>0.3</v>
      </c>
      <c r="E73" s="22" t="s">
        <v>801</v>
      </c>
      <c r="F73" s="43">
        <f>IFERROR(VLOOKUP(B73,'③ Billing Input'!B$4:F$103,4,FALSE()),0)</f>
        <v>0</v>
      </c>
      <c r="G73" s="29">
        <f>F73*Settings!B8</f>
        <v>0</v>
      </c>
      <c r="H73" s="43">
        <f t="shared" si="2"/>
        <v>0</v>
      </c>
    </row>
    <row r="74" spans="1:8" ht="15" customHeight="1" x14ac:dyDescent="0.2">
      <c r="A74" s="22" t="s">
        <v>177</v>
      </c>
      <c r="B74" s="22" t="s">
        <v>112</v>
      </c>
      <c r="C74" s="22" t="s">
        <v>294</v>
      </c>
      <c r="D74" s="38">
        <v>0.3</v>
      </c>
      <c r="E74" s="22" t="s">
        <v>801</v>
      </c>
      <c r="F74" s="43">
        <f>IFERROR(VLOOKUP(B74,'③ Billing Input'!B$4:F$103,4,FALSE()),0)</f>
        <v>0</v>
      </c>
      <c r="G74" s="29">
        <f>F74*Settings!B8</f>
        <v>0</v>
      </c>
      <c r="H74" s="43">
        <f t="shared" si="2"/>
        <v>0</v>
      </c>
    </row>
    <row r="75" spans="1:8" ht="15" customHeight="1" x14ac:dyDescent="0.2">
      <c r="A75" s="22" t="s">
        <v>177</v>
      </c>
      <c r="B75" s="22" t="s">
        <v>123</v>
      </c>
      <c r="C75" s="22" t="s">
        <v>294</v>
      </c>
      <c r="D75" s="38">
        <v>0.15</v>
      </c>
      <c r="E75" s="22" t="s">
        <v>801</v>
      </c>
      <c r="F75" s="43">
        <f>IFERROR(VLOOKUP(B75,'③ Billing Input'!B$4:F$103,4,FALSE()),0)</f>
        <v>250</v>
      </c>
      <c r="G75" s="29">
        <f>F75*Settings!B8</f>
        <v>21250</v>
      </c>
      <c r="H75" s="43">
        <f t="shared" si="2"/>
        <v>1666.6666666666667</v>
      </c>
    </row>
    <row r="76" spans="1:8" ht="15" customHeight="1" x14ac:dyDescent="0.2">
      <c r="A76" s="22" t="s">
        <v>177</v>
      </c>
      <c r="B76" s="22" t="s">
        <v>124</v>
      </c>
      <c r="C76" s="22" t="s">
        <v>294</v>
      </c>
      <c r="D76" s="38">
        <v>0.3</v>
      </c>
      <c r="E76" s="22" t="s">
        <v>801</v>
      </c>
      <c r="F76" s="43">
        <f>IFERROR(VLOOKUP(B76,'③ Billing Input'!B$4:F$103,4,FALSE()),0)</f>
        <v>3600</v>
      </c>
      <c r="G76" s="29">
        <f>F76*Settings!B8</f>
        <v>306000</v>
      </c>
      <c r="H76" s="43">
        <f t="shared" si="2"/>
        <v>12000</v>
      </c>
    </row>
    <row r="77" spans="1:8" ht="15" customHeight="1" x14ac:dyDescent="0.2">
      <c r="A77" s="22" t="s">
        <v>177</v>
      </c>
      <c r="B77" s="22" t="s">
        <v>132</v>
      </c>
      <c r="C77" s="22" t="s">
        <v>294</v>
      </c>
      <c r="D77" s="38">
        <v>0.15</v>
      </c>
      <c r="E77" s="22" t="s">
        <v>801</v>
      </c>
      <c r="F77" s="43">
        <f>IFERROR(VLOOKUP(B77,'③ Billing Input'!B$4:F$103,4,FALSE()),0)</f>
        <v>1800</v>
      </c>
      <c r="G77" s="29">
        <f>F77*Settings!B8</f>
        <v>153000</v>
      </c>
      <c r="H77" s="43">
        <f t="shared" si="2"/>
        <v>12000</v>
      </c>
    </row>
    <row r="78" spans="1:8" ht="15" customHeight="1" x14ac:dyDescent="0.2">
      <c r="A78" s="22" t="s">
        <v>177</v>
      </c>
      <c r="B78" s="22" t="s">
        <v>77</v>
      </c>
      <c r="C78" s="22" t="s">
        <v>294</v>
      </c>
      <c r="D78" s="38">
        <v>0.6</v>
      </c>
      <c r="E78" s="22" t="s">
        <v>801</v>
      </c>
      <c r="F78" s="43">
        <f>IFERROR(VLOOKUP(B78,'③ Billing Input'!B$4:F$103,4,FALSE()),0)</f>
        <v>3600</v>
      </c>
      <c r="G78" s="29">
        <f>F78*Settings!B8</f>
        <v>306000</v>
      </c>
      <c r="H78" s="43">
        <f t="shared" si="2"/>
        <v>6000</v>
      </c>
    </row>
    <row r="79" spans="1:8" ht="15" customHeight="1" x14ac:dyDescent="0.2">
      <c r="A79" s="22" t="s">
        <v>269</v>
      </c>
      <c r="B79" s="22" t="s">
        <v>77</v>
      </c>
      <c r="C79" s="22" t="s">
        <v>221</v>
      </c>
      <c r="D79" s="38">
        <v>1.4</v>
      </c>
      <c r="E79" s="22" t="s">
        <v>801</v>
      </c>
      <c r="F79" s="43">
        <f>IFERROR(VLOOKUP(B79,'③ Billing Input'!B$4:F$103,4,FALSE()),0)</f>
        <v>3600</v>
      </c>
      <c r="G79" s="29">
        <f>F79*Settings!B8</f>
        <v>306000</v>
      </c>
      <c r="H79" s="43">
        <f t="shared" si="2"/>
        <v>2571.4285714285716</v>
      </c>
    </row>
    <row r="80" spans="1:8" ht="15" customHeight="1" x14ac:dyDescent="0.2">
      <c r="A80" s="22" t="s">
        <v>237</v>
      </c>
      <c r="B80" s="22" t="s">
        <v>84</v>
      </c>
      <c r="C80" s="22" t="s">
        <v>238</v>
      </c>
      <c r="D80" s="38">
        <v>5</v>
      </c>
      <c r="E80" s="22" t="s">
        <v>801</v>
      </c>
      <c r="F80" s="43">
        <f>IFERROR(VLOOKUP(B80,'③ Billing Input'!B$4:F$103,4,FALSE()),0)</f>
        <v>0</v>
      </c>
      <c r="G80" s="29">
        <f>F80*Settings!B8</f>
        <v>0</v>
      </c>
      <c r="H80" s="43">
        <f t="shared" si="2"/>
        <v>0</v>
      </c>
    </row>
    <row r="81" spans="1:8" ht="15" customHeight="1" x14ac:dyDescent="0.2">
      <c r="A81" s="22" t="s">
        <v>202</v>
      </c>
      <c r="B81" s="22" t="s">
        <v>84</v>
      </c>
      <c r="C81" s="22" t="s">
        <v>184</v>
      </c>
      <c r="D81" s="38">
        <v>1</v>
      </c>
      <c r="E81" s="22" t="s">
        <v>801</v>
      </c>
      <c r="F81" s="43">
        <f>IFERROR(VLOOKUP(B81,'③ Billing Input'!B$4:F$103,4,FALSE()),0)</f>
        <v>0</v>
      </c>
      <c r="G81" s="29">
        <f>F81*Settings!B8</f>
        <v>0</v>
      </c>
      <c r="H81" s="43">
        <f t="shared" si="2"/>
        <v>0</v>
      </c>
    </row>
    <row r="82" spans="1:8" ht="15" customHeight="1" x14ac:dyDescent="0.2">
      <c r="A82" s="22" t="s">
        <v>194</v>
      </c>
      <c r="B82" s="22" t="s">
        <v>96</v>
      </c>
      <c r="C82" s="22" t="s">
        <v>148</v>
      </c>
      <c r="D82" s="38">
        <v>0.5</v>
      </c>
      <c r="E82" s="22" t="s">
        <v>801</v>
      </c>
      <c r="F82" s="43">
        <f>IFERROR(VLOOKUP(B82,'③ Billing Input'!B$4:F$103,4,FALSE()),0)</f>
        <v>0</v>
      </c>
      <c r="G82" s="29">
        <f>F82*Settings!B8</f>
        <v>0</v>
      </c>
      <c r="H82" s="43">
        <f t="shared" si="2"/>
        <v>0</v>
      </c>
    </row>
    <row r="83" spans="1:8" ht="15" customHeight="1" x14ac:dyDescent="0.2">
      <c r="A83" s="22" t="s">
        <v>626</v>
      </c>
      <c r="B83" s="22" t="s">
        <v>99</v>
      </c>
      <c r="C83" s="22" t="s">
        <v>148</v>
      </c>
      <c r="D83" s="38">
        <v>1</v>
      </c>
      <c r="E83" s="22" t="s">
        <v>801</v>
      </c>
      <c r="F83" s="43">
        <f>IFERROR(VLOOKUP(B83,'③ Billing Input'!B$4:F$103,4,FALSE()),0)</f>
        <v>3000</v>
      </c>
      <c r="G83" s="29">
        <f>F83*Settings!B8</f>
        <v>255000</v>
      </c>
      <c r="H83" s="43">
        <f t="shared" si="2"/>
        <v>3000</v>
      </c>
    </row>
    <row r="84" spans="1:8" ht="15" customHeight="1" x14ac:dyDescent="0.2">
      <c r="A84" s="22" t="s">
        <v>177</v>
      </c>
      <c r="B84" s="22" t="s">
        <v>99</v>
      </c>
      <c r="C84" s="22" t="s">
        <v>294</v>
      </c>
      <c r="D84" s="38">
        <v>0.5</v>
      </c>
      <c r="E84" s="22" t="s">
        <v>801</v>
      </c>
      <c r="F84" s="43">
        <f>IFERROR(VLOOKUP(B84,'③ Billing Input'!B$4:F$103,4,FALSE()),0)</f>
        <v>3000</v>
      </c>
      <c r="G84" s="29">
        <f>F84*Settings!B8</f>
        <v>255000</v>
      </c>
      <c r="H84" s="43">
        <f t="shared" si="2"/>
        <v>6000</v>
      </c>
    </row>
    <row r="85" spans="1:8" ht="15" customHeight="1" x14ac:dyDescent="0.2">
      <c r="A85" s="22" t="s">
        <v>269</v>
      </c>
      <c r="B85" s="22" t="s">
        <v>99</v>
      </c>
      <c r="C85" s="22" t="s">
        <v>221</v>
      </c>
      <c r="D85" s="38">
        <v>0.5</v>
      </c>
      <c r="E85" s="22" t="s">
        <v>801</v>
      </c>
      <c r="F85" s="43">
        <f>IFERROR(VLOOKUP(B85,'③ Billing Input'!B$4:F$103,4,FALSE()),0)</f>
        <v>3000</v>
      </c>
      <c r="G85" s="29">
        <f>F85*Settings!B8</f>
        <v>255000</v>
      </c>
      <c r="H85" s="43">
        <f t="shared" si="2"/>
        <v>6000</v>
      </c>
    </row>
    <row r="86" spans="1:8" ht="15" customHeight="1" x14ac:dyDescent="0.2">
      <c r="A86" s="22" t="s">
        <v>177</v>
      </c>
      <c r="B86" s="22" t="s">
        <v>100</v>
      </c>
      <c r="C86" s="22" t="s">
        <v>802</v>
      </c>
      <c r="D86" s="38">
        <v>1</v>
      </c>
      <c r="E86" s="22" t="s">
        <v>801</v>
      </c>
      <c r="F86" s="43">
        <f>IFERROR(VLOOKUP(B86,'③ Billing Input'!B$4:F$103,4,FALSE()),0)</f>
        <v>2600</v>
      </c>
      <c r="G86" s="29">
        <f>F86*Settings!B8</f>
        <v>221000</v>
      </c>
      <c r="H86" s="43">
        <f t="shared" si="2"/>
        <v>2600</v>
      </c>
    </row>
    <row r="87" spans="1:8" ht="15" customHeight="1" x14ac:dyDescent="0.2">
      <c r="A87" s="22" t="s">
        <v>199</v>
      </c>
      <c r="B87" s="22" t="s">
        <v>112</v>
      </c>
      <c r="C87" s="22" t="s">
        <v>802</v>
      </c>
      <c r="D87" s="38">
        <v>0.25</v>
      </c>
      <c r="E87" s="22" t="s">
        <v>801</v>
      </c>
      <c r="F87" s="43">
        <f>IFERROR(VLOOKUP(B87,'③ Billing Input'!B$4:F$103,4,FALSE()),0)</f>
        <v>0</v>
      </c>
      <c r="G87" s="29">
        <f>F87*Settings!B8</f>
        <v>0</v>
      </c>
      <c r="H87" s="43">
        <f t="shared" si="2"/>
        <v>0</v>
      </c>
    </row>
    <row r="88" spans="1:8" ht="15" customHeight="1" x14ac:dyDescent="0.2">
      <c r="A88" s="22" t="s">
        <v>177</v>
      </c>
      <c r="B88" s="22" t="s">
        <v>115</v>
      </c>
      <c r="C88" s="22" t="s">
        <v>148</v>
      </c>
      <c r="D88" s="38">
        <v>1</v>
      </c>
      <c r="E88" s="22" t="s">
        <v>801</v>
      </c>
      <c r="F88" s="43">
        <f>IFERROR(VLOOKUP(B88,'③ Billing Input'!B$4:F$103,4,FALSE()),0)</f>
        <v>1800</v>
      </c>
      <c r="G88" s="29">
        <f>F88*Settings!B8</f>
        <v>153000</v>
      </c>
      <c r="H88" s="43">
        <f t="shared" si="2"/>
        <v>1800</v>
      </c>
    </row>
    <row r="89" spans="1:8" ht="15" customHeight="1" x14ac:dyDescent="0.2">
      <c r="A89" s="22" t="s">
        <v>472</v>
      </c>
      <c r="B89" s="22" t="s">
        <v>121</v>
      </c>
      <c r="C89" s="22" t="s">
        <v>238</v>
      </c>
      <c r="D89" s="38">
        <v>0.75</v>
      </c>
      <c r="E89" s="22" t="s">
        <v>801</v>
      </c>
      <c r="F89" s="43">
        <f>IFERROR(VLOOKUP(B89,'③ Billing Input'!B$4:F$103,4,FALSE()),0)</f>
        <v>8300</v>
      </c>
      <c r="G89" s="29">
        <f>F89*Settings!B8</f>
        <v>705500</v>
      </c>
      <c r="H89" s="43">
        <f t="shared" si="2"/>
        <v>11066.666666666666</v>
      </c>
    </row>
    <row r="90" spans="1:8" ht="15" customHeight="1" x14ac:dyDescent="0.2">
      <c r="A90" s="22" t="s">
        <v>472</v>
      </c>
      <c r="B90" s="22" t="s">
        <v>121</v>
      </c>
      <c r="C90" s="22" t="s">
        <v>238</v>
      </c>
      <c r="D90" s="38">
        <v>1</v>
      </c>
      <c r="E90" s="22" t="s">
        <v>801</v>
      </c>
      <c r="F90" s="43">
        <f>IFERROR(VLOOKUP(B90,'③ Billing Input'!B$4:F$103,4,FALSE()),0)</f>
        <v>8300</v>
      </c>
      <c r="G90" s="29">
        <f>F90*Settings!B8</f>
        <v>705500</v>
      </c>
      <c r="H90" s="43">
        <f t="shared" si="2"/>
        <v>8300</v>
      </c>
    </row>
    <row r="91" spans="1:8" ht="15" customHeight="1" x14ac:dyDescent="0.2">
      <c r="A91" s="22" t="s">
        <v>412</v>
      </c>
      <c r="B91" s="22" t="s">
        <v>137</v>
      </c>
      <c r="C91" s="22" t="s">
        <v>238</v>
      </c>
      <c r="D91" s="38">
        <v>2</v>
      </c>
      <c r="E91" s="22" t="s">
        <v>801</v>
      </c>
      <c r="F91" s="43">
        <f>IFERROR(VLOOKUP(B91,'③ Billing Input'!B$4:F$103,4,FALSE()),0)</f>
        <v>0</v>
      </c>
      <c r="G91" s="29">
        <f>F91*Settings!B8</f>
        <v>0</v>
      </c>
      <c r="H91" s="43">
        <f t="shared" si="2"/>
        <v>0</v>
      </c>
    </row>
    <row r="92" spans="1:8" ht="15" customHeight="1" x14ac:dyDescent="0.2">
      <c r="A92" s="22"/>
      <c r="B92" s="22"/>
      <c r="C92" s="22"/>
      <c r="D92" s="22"/>
      <c r="E92" s="22"/>
      <c r="F92" s="43" t="str">
        <f>IF(A92="","",IFERROR(VLOOKUP(B92,'③ Billing Input'!B$4:F$103,4,FALSE()),0))</f>
        <v/>
      </c>
      <c r="G92" s="29" t="str">
        <f>IF(A92="","",F92*Settings!B8)</f>
        <v/>
      </c>
      <c r="H92" s="43" t="str">
        <f t="shared" ref="H92:H123" si="3">IF(A92="","",IF(D92=0,0,F92/D92))</f>
        <v/>
      </c>
    </row>
    <row r="93" spans="1:8" ht="15" customHeight="1" x14ac:dyDescent="0.2">
      <c r="A93" s="22"/>
      <c r="B93" s="22"/>
      <c r="C93" s="22"/>
      <c r="D93" s="22"/>
      <c r="E93" s="22"/>
      <c r="F93" s="43" t="str">
        <f>IF(A93="","",IFERROR(VLOOKUP(B93,'③ Billing Input'!B$4:F$103,4,FALSE()),0))</f>
        <v/>
      </c>
      <c r="G93" s="29" t="str">
        <f>IF(A93="","",F93*Settings!B8)</f>
        <v/>
      </c>
      <c r="H93" s="43" t="str">
        <f t="shared" si="3"/>
        <v/>
      </c>
    </row>
    <row r="94" spans="1:8" ht="15" customHeight="1" x14ac:dyDescent="0.2">
      <c r="A94" s="22"/>
      <c r="B94" s="22"/>
      <c r="C94" s="22"/>
      <c r="D94" s="22"/>
      <c r="E94" s="22"/>
      <c r="F94" s="43" t="str">
        <f>IF(A94="","",IFERROR(VLOOKUP(B94,'③ Billing Input'!B$4:F$103,4,FALSE()),0))</f>
        <v/>
      </c>
      <c r="G94" s="29" t="str">
        <f>IF(A94="","",F94*Settings!B8)</f>
        <v/>
      </c>
      <c r="H94" s="43" t="str">
        <f t="shared" si="3"/>
        <v/>
      </c>
    </row>
    <row r="95" spans="1:8" ht="15" customHeight="1" x14ac:dyDescent="0.2">
      <c r="A95" s="22"/>
      <c r="B95" s="22"/>
      <c r="C95" s="22"/>
      <c r="D95" s="22"/>
      <c r="E95" s="22"/>
      <c r="F95" s="43" t="str">
        <f>IF(A95="","",IFERROR(VLOOKUP(B95,'③ Billing Input'!B$4:F$103,4,FALSE()),0))</f>
        <v/>
      </c>
      <c r="G95" s="29" t="str">
        <f>IF(A95="","",F95*Settings!B8)</f>
        <v/>
      </c>
      <c r="H95" s="43" t="str">
        <f t="shared" si="3"/>
        <v/>
      </c>
    </row>
    <row r="96" spans="1:8" ht="15" customHeight="1" x14ac:dyDescent="0.2">
      <c r="A96" s="22"/>
      <c r="B96" s="22"/>
      <c r="C96" s="22"/>
      <c r="D96" s="22"/>
      <c r="E96" s="22"/>
      <c r="F96" s="43" t="str">
        <f>IF(A96="","",IFERROR(VLOOKUP(B96,'③ Billing Input'!B$4:F$103,4,FALSE()),0))</f>
        <v/>
      </c>
      <c r="G96" s="29" t="str">
        <f>IF(A96="","",F96*Settings!B8)</f>
        <v/>
      </c>
      <c r="H96" s="43" t="str">
        <f t="shared" si="3"/>
        <v/>
      </c>
    </row>
    <row r="97" spans="1:8" ht="15" customHeight="1" x14ac:dyDescent="0.2">
      <c r="A97" s="22"/>
      <c r="B97" s="22"/>
      <c r="C97" s="22"/>
      <c r="D97" s="22"/>
      <c r="E97" s="22"/>
      <c r="F97" s="43" t="str">
        <f>IF(A97="","",IFERROR(VLOOKUP(B97,'③ Billing Input'!B$4:F$103,4,FALSE()),0))</f>
        <v/>
      </c>
      <c r="G97" s="29" t="str">
        <f>IF(A97="","",F97*Settings!B8)</f>
        <v/>
      </c>
      <c r="H97" s="43" t="str">
        <f t="shared" si="3"/>
        <v/>
      </c>
    </row>
    <row r="98" spans="1:8" ht="15" customHeight="1" x14ac:dyDescent="0.2">
      <c r="A98" s="22"/>
      <c r="B98" s="22"/>
      <c r="C98" s="22"/>
      <c r="D98" s="22"/>
      <c r="E98" s="22"/>
      <c r="F98" s="43" t="str">
        <f>IF(A98="","",IFERROR(VLOOKUP(B98,'③ Billing Input'!B$4:F$103,4,FALSE()),0))</f>
        <v/>
      </c>
      <c r="G98" s="29" t="str">
        <f>IF(A98="","",F98*Settings!B8)</f>
        <v/>
      </c>
      <c r="H98" s="43" t="str">
        <f t="shared" si="3"/>
        <v/>
      </c>
    </row>
    <row r="99" spans="1:8" ht="15" customHeight="1" x14ac:dyDescent="0.2">
      <c r="A99" s="22"/>
      <c r="B99" s="22"/>
      <c r="C99" s="22"/>
      <c r="D99" s="22"/>
      <c r="E99" s="22"/>
      <c r="F99" s="43" t="str">
        <f>IF(A99="","",IFERROR(VLOOKUP(B99,'③ Billing Input'!B$4:F$103,4,FALSE()),0))</f>
        <v/>
      </c>
      <c r="G99" s="29" t="str">
        <f>IF(A99="","",F99*Settings!B8)</f>
        <v/>
      </c>
      <c r="H99" s="43" t="str">
        <f t="shared" si="3"/>
        <v/>
      </c>
    </row>
    <row r="100" spans="1:8" ht="15" customHeight="1" x14ac:dyDescent="0.2">
      <c r="A100" s="22"/>
      <c r="B100" s="22"/>
      <c r="C100" s="22"/>
      <c r="D100" s="22"/>
      <c r="E100" s="22"/>
      <c r="F100" s="43" t="str">
        <f>IF(A100="","",IFERROR(VLOOKUP(B100,'③ Billing Input'!B$4:F$103,4,FALSE()),0))</f>
        <v/>
      </c>
      <c r="G100" s="29" t="str">
        <f>IF(A100="","",F100*Settings!B8)</f>
        <v/>
      </c>
      <c r="H100" s="43" t="str">
        <f t="shared" si="3"/>
        <v/>
      </c>
    </row>
    <row r="101" spans="1:8" ht="15" customHeight="1" x14ac:dyDescent="0.2">
      <c r="A101" s="22"/>
      <c r="B101" s="22"/>
      <c r="C101" s="22"/>
      <c r="D101" s="22"/>
      <c r="E101" s="22"/>
      <c r="F101" s="43" t="str">
        <f>IF(A101="","",IFERROR(VLOOKUP(B101,'③ Billing Input'!B$4:F$103,4,FALSE()),0))</f>
        <v/>
      </c>
      <c r="G101" s="29" t="str">
        <f>IF(A101="","",F101*Settings!B8)</f>
        <v/>
      </c>
      <c r="H101" s="43" t="str">
        <f t="shared" si="3"/>
        <v/>
      </c>
    </row>
    <row r="102" spans="1:8" ht="15" customHeight="1" x14ac:dyDescent="0.2">
      <c r="A102" s="22"/>
      <c r="B102" s="22"/>
      <c r="C102" s="22"/>
      <c r="D102" s="22"/>
      <c r="E102" s="22"/>
      <c r="F102" s="43" t="str">
        <f>IF(A102="","",IFERROR(VLOOKUP(B102,'③ Billing Input'!B$4:F$103,4,FALSE()),0))</f>
        <v/>
      </c>
      <c r="G102" s="29" t="str">
        <f>IF(A102="","",F102*Settings!B8)</f>
        <v/>
      </c>
      <c r="H102" s="43" t="str">
        <f t="shared" si="3"/>
        <v/>
      </c>
    </row>
    <row r="103" spans="1:8" ht="15" customHeight="1" x14ac:dyDescent="0.2">
      <c r="A103" s="22"/>
      <c r="B103" s="22"/>
      <c r="C103" s="22"/>
      <c r="D103" s="22"/>
      <c r="E103" s="22"/>
      <c r="F103" s="43" t="str">
        <f>IF(A103="","",IFERROR(VLOOKUP(B103,'③ Billing Input'!B$4:F$103,4,FALSE()),0))</f>
        <v/>
      </c>
      <c r="G103" s="29" t="str">
        <f>IF(A103="","",F103*Settings!B8)</f>
        <v/>
      </c>
      <c r="H103" s="43" t="str">
        <f t="shared" si="3"/>
        <v/>
      </c>
    </row>
    <row r="104" spans="1:8" ht="15" customHeight="1" x14ac:dyDescent="0.2">
      <c r="A104" s="22"/>
      <c r="B104" s="22"/>
      <c r="C104" s="22"/>
      <c r="D104" s="22"/>
      <c r="E104" s="22"/>
      <c r="F104" s="43" t="str">
        <f>IF(A104="","",IFERROR(VLOOKUP(B104,'③ Billing Input'!B$4:F$103,4,FALSE()),0))</f>
        <v/>
      </c>
      <c r="G104" s="29" t="str">
        <f>IF(A104="","",F104*Settings!B8)</f>
        <v/>
      </c>
      <c r="H104" s="43" t="str">
        <f t="shared" si="3"/>
        <v/>
      </c>
    </row>
    <row r="105" spans="1:8" ht="15" customHeight="1" x14ac:dyDescent="0.2">
      <c r="A105" s="22"/>
      <c r="B105" s="22"/>
      <c r="C105" s="22"/>
      <c r="D105" s="22"/>
      <c r="E105" s="22"/>
      <c r="F105" s="43" t="str">
        <f>IF(A105="","",IFERROR(VLOOKUP(B105,'③ Billing Input'!B$4:F$103,4,FALSE()),0))</f>
        <v/>
      </c>
      <c r="G105" s="29" t="str">
        <f>IF(A105="","",F105*Settings!B8)</f>
        <v/>
      </c>
      <c r="H105" s="43" t="str">
        <f t="shared" si="3"/>
        <v/>
      </c>
    </row>
    <row r="106" spans="1:8" ht="15" customHeight="1" x14ac:dyDescent="0.2">
      <c r="A106" s="22"/>
      <c r="B106" s="22"/>
      <c r="C106" s="22"/>
      <c r="D106" s="22"/>
      <c r="E106" s="22"/>
      <c r="F106" s="43" t="str">
        <f>IF(A106="","",IFERROR(VLOOKUP(B106,'③ Billing Input'!B$4:F$103,4,FALSE()),0))</f>
        <v/>
      </c>
      <c r="G106" s="29" t="str">
        <f>IF(A106="","",F106*Settings!B8)</f>
        <v/>
      </c>
      <c r="H106" s="43" t="str">
        <f t="shared" si="3"/>
        <v/>
      </c>
    </row>
    <row r="107" spans="1:8" ht="15" customHeight="1" x14ac:dyDescent="0.2">
      <c r="A107" s="22"/>
      <c r="B107" s="22"/>
      <c r="C107" s="22"/>
      <c r="D107" s="22"/>
      <c r="E107" s="22"/>
      <c r="F107" s="43" t="str">
        <f>IF(A107="","",IFERROR(VLOOKUP(B107,'③ Billing Input'!B$4:F$103,4,FALSE()),0))</f>
        <v/>
      </c>
      <c r="G107" s="29" t="str">
        <f>IF(A107="","",F107*Settings!B8)</f>
        <v/>
      </c>
      <c r="H107" s="43" t="str">
        <f t="shared" si="3"/>
        <v/>
      </c>
    </row>
    <row r="108" spans="1:8" ht="15" customHeight="1" x14ac:dyDescent="0.2">
      <c r="A108" s="22"/>
      <c r="B108" s="22"/>
      <c r="C108" s="22"/>
      <c r="D108" s="22"/>
      <c r="E108" s="22"/>
      <c r="F108" s="43" t="str">
        <f>IF(A108="","",IFERROR(VLOOKUP(B108,'③ Billing Input'!B$4:F$103,4,FALSE()),0))</f>
        <v/>
      </c>
      <c r="G108" s="29" t="str">
        <f>IF(A108="","",F108*Settings!B8)</f>
        <v/>
      </c>
      <c r="H108" s="43" t="str">
        <f t="shared" si="3"/>
        <v/>
      </c>
    </row>
    <row r="109" spans="1:8" ht="15" customHeight="1" x14ac:dyDescent="0.2">
      <c r="A109" s="22"/>
      <c r="B109" s="22"/>
      <c r="C109" s="22"/>
      <c r="D109" s="22"/>
      <c r="E109" s="22"/>
      <c r="F109" s="43" t="str">
        <f>IF(A109="","",IFERROR(VLOOKUP(B109,'③ Billing Input'!B$4:F$103,4,FALSE()),0))</f>
        <v/>
      </c>
      <c r="G109" s="29" t="str">
        <f>IF(A109="","",F109*Settings!B8)</f>
        <v/>
      </c>
      <c r="H109" s="43" t="str">
        <f t="shared" si="3"/>
        <v/>
      </c>
    </row>
    <row r="110" spans="1:8" ht="15" customHeight="1" x14ac:dyDescent="0.2">
      <c r="A110" s="22"/>
      <c r="B110" s="22"/>
      <c r="C110" s="22"/>
      <c r="D110" s="22"/>
      <c r="E110" s="22"/>
      <c r="F110" s="43" t="str">
        <f>IF(A110="","",IFERROR(VLOOKUP(B110,'③ Billing Input'!B$4:F$103,4,FALSE()),0))</f>
        <v/>
      </c>
      <c r="G110" s="29" t="str">
        <f>IF(A110="","",F110*Settings!B8)</f>
        <v/>
      </c>
      <c r="H110" s="43" t="str">
        <f t="shared" si="3"/>
        <v/>
      </c>
    </row>
    <row r="111" spans="1:8" ht="15" customHeight="1" x14ac:dyDescent="0.2">
      <c r="A111" s="22"/>
      <c r="B111" s="22"/>
      <c r="C111" s="22"/>
      <c r="D111" s="22"/>
      <c r="E111" s="22"/>
      <c r="F111" s="43" t="str">
        <f>IF(A111="","",IFERROR(VLOOKUP(B111,'③ Billing Input'!B$4:F$103,4,FALSE()),0))</f>
        <v/>
      </c>
      <c r="G111" s="29" t="str">
        <f>IF(A111="","",F111*Settings!B8)</f>
        <v/>
      </c>
      <c r="H111" s="43" t="str">
        <f t="shared" si="3"/>
        <v/>
      </c>
    </row>
    <row r="112" spans="1:8" ht="15" customHeight="1" x14ac:dyDescent="0.2">
      <c r="A112" s="22"/>
      <c r="B112" s="22"/>
      <c r="C112" s="22"/>
      <c r="D112" s="22"/>
      <c r="E112" s="22"/>
      <c r="F112" s="43" t="str">
        <f>IF(A112="","",IFERROR(VLOOKUP(B112,'③ Billing Input'!B$4:F$103,4,FALSE()),0))</f>
        <v/>
      </c>
      <c r="G112" s="29" t="str">
        <f>IF(A112="","",F112*Settings!B8)</f>
        <v/>
      </c>
      <c r="H112" s="43" t="str">
        <f t="shared" si="3"/>
        <v/>
      </c>
    </row>
    <row r="113" spans="1:8" ht="15" customHeight="1" x14ac:dyDescent="0.2">
      <c r="A113" s="22"/>
      <c r="B113" s="22"/>
      <c r="C113" s="22"/>
      <c r="D113" s="22"/>
      <c r="E113" s="22"/>
      <c r="F113" s="43" t="str">
        <f>IF(A113="","",IFERROR(VLOOKUP(B113,'③ Billing Input'!B$4:F$103,4,FALSE()),0))</f>
        <v/>
      </c>
      <c r="G113" s="29" t="str">
        <f>IF(A113="","",F113*Settings!B8)</f>
        <v/>
      </c>
      <c r="H113" s="43" t="str">
        <f t="shared" si="3"/>
        <v/>
      </c>
    </row>
    <row r="114" spans="1:8" ht="15" customHeight="1" x14ac:dyDescent="0.2">
      <c r="A114" s="22"/>
      <c r="B114" s="22"/>
      <c r="C114" s="22"/>
      <c r="D114" s="22"/>
      <c r="E114" s="22"/>
      <c r="F114" s="43" t="str">
        <f>IF(A114="","",IFERROR(VLOOKUP(B114,'③ Billing Input'!B$4:F$103,4,FALSE()),0))</f>
        <v/>
      </c>
      <c r="G114" s="29" t="str">
        <f>IF(A114="","",F114*Settings!B8)</f>
        <v/>
      </c>
      <c r="H114" s="43" t="str">
        <f t="shared" si="3"/>
        <v/>
      </c>
    </row>
    <row r="115" spans="1:8" ht="15" customHeight="1" x14ac:dyDescent="0.2">
      <c r="A115" s="22"/>
      <c r="B115" s="22"/>
      <c r="C115" s="22"/>
      <c r="D115" s="22"/>
      <c r="E115" s="22"/>
      <c r="F115" s="43" t="str">
        <f>IF(A115="","",IFERROR(VLOOKUP(B115,'③ Billing Input'!B$4:F$103,4,FALSE()),0))</f>
        <v/>
      </c>
      <c r="G115" s="29" t="str">
        <f>IF(A115="","",F115*Settings!B8)</f>
        <v/>
      </c>
      <c r="H115" s="43" t="str">
        <f t="shared" si="3"/>
        <v/>
      </c>
    </row>
    <row r="116" spans="1:8" ht="15" customHeight="1" x14ac:dyDescent="0.2">
      <c r="A116" s="22"/>
      <c r="B116" s="22"/>
      <c r="C116" s="22"/>
      <c r="D116" s="22"/>
      <c r="E116" s="22"/>
      <c r="F116" s="43" t="str">
        <f>IF(A116="","",IFERROR(VLOOKUP(B116,'③ Billing Input'!B$4:F$103,4,FALSE()),0))</f>
        <v/>
      </c>
      <c r="G116" s="29" t="str">
        <f>IF(A116="","",F116*Settings!B8)</f>
        <v/>
      </c>
      <c r="H116" s="43" t="str">
        <f t="shared" si="3"/>
        <v/>
      </c>
    </row>
    <row r="117" spans="1:8" ht="15" customHeight="1" x14ac:dyDescent="0.2">
      <c r="A117" s="22"/>
      <c r="B117" s="22"/>
      <c r="C117" s="22"/>
      <c r="D117" s="22"/>
      <c r="E117" s="22"/>
      <c r="F117" s="43" t="str">
        <f>IF(A117="","",IFERROR(VLOOKUP(B117,'③ Billing Input'!B$4:F$103,4,FALSE()),0))</f>
        <v/>
      </c>
      <c r="G117" s="29" t="str">
        <f>IF(A117="","",F117*Settings!B8)</f>
        <v/>
      </c>
      <c r="H117" s="43" t="str">
        <f t="shared" si="3"/>
        <v/>
      </c>
    </row>
    <row r="118" spans="1:8" ht="15" customHeight="1" x14ac:dyDescent="0.2">
      <c r="A118" s="22"/>
      <c r="B118" s="22"/>
      <c r="C118" s="22"/>
      <c r="D118" s="22"/>
      <c r="E118" s="22"/>
      <c r="F118" s="43" t="str">
        <f>IF(A118="","",IFERROR(VLOOKUP(B118,'③ Billing Input'!B$4:F$103,4,FALSE()),0))</f>
        <v/>
      </c>
      <c r="G118" s="29" t="str">
        <f>IF(A118="","",F118*Settings!B8)</f>
        <v/>
      </c>
      <c r="H118" s="43" t="str">
        <f t="shared" si="3"/>
        <v/>
      </c>
    </row>
    <row r="119" spans="1:8" ht="15" customHeight="1" x14ac:dyDescent="0.2">
      <c r="A119" s="22"/>
      <c r="B119" s="22"/>
      <c r="C119" s="22"/>
      <c r="D119" s="22"/>
      <c r="E119" s="22"/>
      <c r="F119" s="43" t="str">
        <f>IF(A119="","",IFERROR(VLOOKUP(B119,'③ Billing Input'!B$4:F$103,4,FALSE()),0))</f>
        <v/>
      </c>
      <c r="G119" s="29" t="str">
        <f>IF(A119="","",F119*Settings!B8)</f>
        <v/>
      </c>
      <c r="H119" s="43" t="str">
        <f t="shared" si="3"/>
        <v/>
      </c>
    </row>
    <row r="120" spans="1:8" ht="15" customHeight="1" x14ac:dyDescent="0.2">
      <c r="A120" s="22"/>
      <c r="B120" s="22"/>
      <c r="C120" s="22"/>
      <c r="D120" s="22"/>
      <c r="E120" s="22"/>
      <c r="F120" s="43" t="str">
        <f>IF(A120="","",IFERROR(VLOOKUP(B120,'③ Billing Input'!B$4:F$103,4,FALSE()),0))</f>
        <v/>
      </c>
      <c r="G120" s="29" t="str">
        <f>IF(A120="","",F120*Settings!B8)</f>
        <v/>
      </c>
      <c r="H120" s="43" t="str">
        <f t="shared" si="3"/>
        <v/>
      </c>
    </row>
    <row r="121" spans="1:8" ht="15" customHeight="1" x14ac:dyDescent="0.2">
      <c r="A121" s="22"/>
      <c r="B121" s="22"/>
      <c r="C121" s="22"/>
      <c r="D121" s="22"/>
      <c r="E121" s="22"/>
      <c r="F121" s="43" t="str">
        <f>IF(A121="","",IFERROR(VLOOKUP(B121,'③ Billing Input'!B$4:F$103,4,FALSE()),0))</f>
        <v/>
      </c>
      <c r="G121" s="29" t="str">
        <f>IF(A121="","",F121*Settings!B8)</f>
        <v/>
      </c>
      <c r="H121" s="43" t="str">
        <f t="shared" si="3"/>
        <v/>
      </c>
    </row>
    <row r="122" spans="1:8" ht="15" customHeight="1" x14ac:dyDescent="0.2">
      <c r="A122" s="22"/>
      <c r="B122" s="22"/>
      <c r="C122" s="22"/>
      <c r="D122" s="22"/>
      <c r="E122" s="22"/>
      <c r="F122" s="43" t="str">
        <f>IF(A122="","",IFERROR(VLOOKUP(B122,'③ Billing Input'!B$4:F$103,4,FALSE()),0))</f>
        <v/>
      </c>
      <c r="G122" s="29" t="str">
        <f>IF(A122="","",F122*Settings!B8)</f>
        <v/>
      </c>
      <c r="H122" s="43" t="str">
        <f t="shared" si="3"/>
        <v/>
      </c>
    </row>
    <row r="123" spans="1:8" ht="15" customHeight="1" x14ac:dyDescent="0.2">
      <c r="A123" s="22"/>
      <c r="B123" s="22"/>
      <c r="C123" s="22"/>
      <c r="D123" s="22"/>
      <c r="E123" s="22"/>
      <c r="F123" s="43" t="str">
        <f>IF(A123="","",IFERROR(VLOOKUP(B123,'③ Billing Input'!B$4:F$103,4,FALSE()),0))</f>
        <v/>
      </c>
      <c r="G123" s="29" t="str">
        <f>IF(A123="","",F123*Settings!B8)</f>
        <v/>
      </c>
      <c r="H123" s="43" t="str">
        <f t="shared" si="3"/>
        <v/>
      </c>
    </row>
    <row r="124" spans="1:8" ht="15" customHeight="1" x14ac:dyDescent="0.2">
      <c r="A124" s="22"/>
      <c r="B124" s="22"/>
      <c r="C124" s="22"/>
      <c r="D124" s="22"/>
      <c r="E124" s="22"/>
      <c r="F124" s="43" t="str">
        <f>IF(A124="","",IFERROR(VLOOKUP(B124,'③ Billing Input'!B$4:F$103,4,FALSE()),0))</f>
        <v/>
      </c>
      <c r="G124" s="29" t="str">
        <f>IF(A124="","",F124*Settings!B8)</f>
        <v/>
      </c>
      <c r="H124" s="43" t="str">
        <f t="shared" ref="H124:H153" si="4">IF(A124="","",IF(D124=0,0,F124/D124))</f>
        <v/>
      </c>
    </row>
    <row r="125" spans="1:8" ht="15" customHeight="1" x14ac:dyDescent="0.2">
      <c r="A125" s="22"/>
      <c r="B125" s="22"/>
      <c r="C125" s="22"/>
      <c r="D125" s="22"/>
      <c r="E125" s="22"/>
      <c r="F125" s="43" t="str">
        <f>IF(A125="","",IFERROR(VLOOKUP(B125,'③ Billing Input'!B$4:F$103,4,FALSE()),0))</f>
        <v/>
      </c>
      <c r="G125" s="29" t="str">
        <f>IF(A125="","",F125*Settings!B8)</f>
        <v/>
      </c>
      <c r="H125" s="43" t="str">
        <f t="shared" si="4"/>
        <v/>
      </c>
    </row>
    <row r="126" spans="1:8" ht="15" customHeight="1" x14ac:dyDescent="0.2">
      <c r="A126" s="22"/>
      <c r="B126" s="22"/>
      <c r="C126" s="22"/>
      <c r="D126" s="22"/>
      <c r="E126" s="22"/>
      <c r="F126" s="43" t="str">
        <f>IF(A126="","",IFERROR(VLOOKUP(B126,'③ Billing Input'!B$4:F$103,4,FALSE()),0))</f>
        <v/>
      </c>
      <c r="G126" s="29" t="str">
        <f>IF(A126="","",F126*Settings!B8)</f>
        <v/>
      </c>
      <c r="H126" s="43" t="str">
        <f t="shared" si="4"/>
        <v/>
      </c>
    </row>
    <row r="127" spans="1:8" ht="15" customHeight="1" x14ac:dyDescent="0.2">
      <c r="A127" s="22"/>
      <c r="B127" s="22"/>
      <c r="C127" s="22"/>
      <c r="D127" s="22"/>
      <c r="E127" s="22"/>
      <c r="F127" s="43" t="str">
        <f>IF(A127="","",IFERROR(VLOOKUP(B127,'③ Billing Input'!B$4:F$103,4,FALSE()),0))</f>
        <v/>
      </c>
      <c r="G127" s="29" t="str">
        <f>IF(A127="","",F127*Settings!B8)</f>
        <v/>
      </c>
      <c r="H127" s="43" t="str">
        <f t="shared" si="4"/>
        <v/>
      </c>
    </row>
    <row r="128" spans="1:8" ht="15" customHeight="1" x14ac:dyDescent="0.2">
      <c r="A128" s="22"/>
      <c r="B128" s="22"/>
      <c r="C128" s="22"/>
      <c r="D128" s="22"/>
      <c r="E128" s="22"/>
      <c r="F128" s="43" t="str">
        <f>IF(A128="","",IFERROR(VLOOKUP(B128,'③ Billing Input'!B$4:F$103,4,FALSE()),0))</f>
        <v/>
      </c>
      <c r="G128" s="29" t="str">
        <f>IF(A128="","",F128*Settings!B8)</f>
        <v/>
      </c>
      <c r="H128" s="43" t="str">
        <f t="shared" si="4"/>
        <v/>
      </c>
    </row>
    <row r="129" spans="1:8" ht="15" customHeight="1" x14ac:dyDescent="0.2">
      <c r="A129" s="22"/>
      <c r="B129" s="22"/>
      <c r="C129" s="22"/>
      <c r="D129" s="22"/>
      <c r="E129" s="22"/>
      <c r="F129" s="43" t="str">
        <f>IF(A129="","",IFERROR(VLOOKUP(B129,'③ Billing Input'!B$4:F$103,4,FALSE()),0))</f>
        <v/>
      </c>
      <c r="G129" s="29" t="str">
        <f>IF(A129="","",F129*Settings!B8)</f>
        <v/>
      </c>
      <c r="H129" s="43" t="str">
        <f t="shared" si="4"/>
        <v/>
      </c>
    </row>
    <row r="130" spans="1:8" ht="15" customHeight="1" x14ac:dyDescent="0.2">
      <c r="A130" s="22"/>
      <c r="B130" s="22"/>
      <c r="C130" s="22"/>
      <c r="D130" s="22"/>
      <c r="E130" s="22"/>
      <c r="F130" s="43" t="str">
        <f>IF(A130="","",IFERROR(VLOOKUP(B130,'③ Billing Input'!B$4:F$103,4,FALSE()),0))</f>
        <v/>
      </c>
      <c r="G130" s="29" t="str">
        <f>IF(A130="","",F130*Settings!B8)</f>
        <v/>
      </c>
      <c r="H130" s="43" t="str">
        <f t="shared" si="4"/>
        <v/>
      </c>
    </row>
    <row r="131" spans="1:8" ht="15" customHeight="1" x14ac:dyDescent="0.2">
      <c r="A131" s="22"/>
      <c r="B131" s="22"/>
      <c r="C131" s="22"/>
      <c r="D131" s="22"/>
      <c r="E131" s="22"/>
      <c r="F131" s="43" t="str">
        <f>IF(A131="","",IFERROR(VLOOKUP(B131,'③ Billing Input'!B$4:F$103,4,FALSE()),0))</f>
        <v/>
      </c>
      <c r="G131" s="29" t="str">
        <f>IF(A131="","",F131*Settings!B8)</f>
        <v/>
      </c>
      <c r="H131" s="43" t="str">
        <f t="shared" si="4"/>
        <v/>
      </c>
    </row>
    <row r="132" spans="1:8" ht="15" customHeight="1" x14ac:dyDescent="0.2">
      <c r="A132" s="22"/>
      <c r="B132" s="22"/>
      <c r="C132" s="22"/>
      <c r="D132" s="22"/>
      <c r="E132" s="22"/>
      <c r="F132" s="43" t="str">
        <f>IF(A132="","",IFERROR(VLOOKUP(B132,'③ Billing Input'!B$4:F$103,4,FALSE()),0))</f>
        <v/>
      </c>
      <c r="G132" s="29" t="str">
        <f>IF(A132="","",F132*Settings!B8)</f>
        <v/>
      </c>
      <c r="H132" s="43" t="str">
        <f t="shared" si="4"/>
        <v/>
      </c>
    </row>
    <row r="133" spans="1:8" ht="15" customHeight="1" x14ac:dyDescent="0.2">
      <c r="A133" s="22"/>
      <c r="B133" s="22"/>
      <c r="C133" s="22"/>
      <c r="D133" s="22"/>
      <c r="E133" s="22"/>
      <c r="F133" s="43" t="str">
        <f>IF(A133="","",IFERROR(VLOOKUP(B133,'③ Billing Input'!B$4:F$103,4,FALSE()),0))</f>
        <v/>
      </c>
      <c r="G133" s="29" t="str">
        <f>IF(A133="","",F133*Settings!B8)</f>
        <v/>
      </c>
      <c r="H133" s="43" t="str">
        <f t="shared" si="4"/>
        <v/>
      </c>
    </row>
    <row r="134" spans="1:8" ht="15" customHeight="1" x14ac:dyDescent="0.2">
      <c r="A134" s="22"/>
      <c r="B134" s="22"/>
      <c r="C134" s="22"/>
      <c r="D134" s="22"/>
      <c r="E134" s="22"/>
      <c r="F134" s="43" t="str">
        <f>IF(A134="","",IFERROR(VLOOKUP(B134,'③ Billing Input'!B$4:F$103,4,FALSE()),0))</f>
        <v/>
      </c>
      <c r="G134" s="29" t="str">
        <f>IF(A134="","",F134*Settings!B8)</f>
        <v/>
      </c>
      <c r="H134" s="43" t="str">
        <f t="shared" si="4"/>
        <v/>
      </c>
    </row>
    <row r="135" spans="1:8" ht="15" customHeight="1" x14ac:dyDescent="0.2">
      <c r="A135" s="22"/>
      <c r="B135" s="22"/>
      <c r="C135" s="22"/>
      <c r="D135" s="22"/>
      <c r="E135" s="22"/>
      <c r="F135" s="43" t="str">
        <f>IF(A135="","",IFERROR(VLOOKUP(B135,'③ Billing Input'!B$4:F$103,4,FALSE()),0))</f>
        <v/>
      </c>
      <c r="G135" s="29" t="str">
        <f>IF(A135="","",F135*Settings!B8)</f>
        <v/>
      </c>
      <c r="H135" s="43" t="str">
        <f t="shared" si="4"/>
        <v/>
      </c>
    </row>
    <row r="136" spans="1:8" ht="15" customHeight="1" x14ac:dyDescent="0.2">
      <c r="A136" s="22"/>
      <c r="B136" s="22"/>
      <c r="C136" s="22"/>
      <c r="D136" s="22"/>
      <c r="E136" s="22"/>
      <c r="F136" s="43" t="str">
        <f>IF(A136="","",IFERROR(VLOOKUP(B136,'③ Billing Input'!B$4:F$103,4,FALSE()),0))</f>
        <v/>
      </c>
      <c r="G136" s="29" t="str">
        <f>IF(A136="","",F136*Settings!B8)</f>
        <v/>
      </c>
      <c r="H136" s="43" t="str">
        <f t="shared" si="4"/>
        <v/>
      </c>
    </row>
    <row r="137" spans="1:8" ht="15" customHeight="1" x14ac:dyDescent="0.2">
      <c r="A137" s="22"/>
      <c r="B137" s="22"/>
      <c r="C137" s="22"/>
      <c r="D137" s="22"/>
      <c r="E137" s="22"/>
      <c r="F137" s="43" t="str">
        <f>IF(A137="","",IFERROR(VLOOKUP(B137,'③ Billing Input'!B$4:F$103,4,FALSE()),0))</f>
        <v/>
      </c>
      <c r="G137" s="29" t="str">
        <f>IF(A137="","",F137*Settings!B8)</f>
        <v/>
      </c>
      <c r="H137" s="43" t="str">
        <f t="shared" si="4"/>
        <v/>
      </c>
    </row>
    <row r="138" spans="1:8" ht="15" customHeight="1" x14ac:dyDescent="0.2">
      <c r="A138" s="22"/>
      <c r="B138" s="22"/>
      <c r="C138" s="22"/>
      <c r="D138" s="22"/>
      <c r="E138" s="22"/>
      <c r="F138" s="43" t="str">
        <f>IF(A138="","",IFERROR(VLOOKUP(B138,'③ Billing Input'!B$4:F$103,4,FALSE()),0))</f>
        <v/>
      </c>
      <c r="G138" s="29" t="str">
        <f>IF(A138="","",F138*Settings!B8)</f>
        <v/>
      </c>
      <c r="H138" s="43" t="str">
        <f t="shared" si="4"/>
        <v/>
      </c>
    </row>
    <row r="139" spans="1:8" ht="15" customHeight="1" x14ac:dyDescent="0.2">
      <c r="A139" s="22"/>
      <c r="B139" s="22"/>
      <c r="C139" s="22"/>
      <c r="D139" s="22"/>
      <c r="E139" s="22"/>
      <c r="F139" s="43" t="str">
        <f>IF(A139="","",IFERROR(VLOOKUP(B139,'③ Billing Input'!B$4:F$103,4,FALSE()),0))</f>
        <v/>
      </c>
      <c r="G139" s="29" t="str">
        <f>IF(A139="","",F139*Settings!B8)</f>
        <v/>
      </c>
      <c r="H139" s="43" t="str">
        <f t="shared" si="4"/>
        <v/>
      </c>
    </row>
    <row r="140" spans="1:8" ht="15" customHeight="1" x14ac:dyDescent="0.2">
      <c r="A140" s="22"/>
      <c r="B140" s="22"/>
      <c r="C140" s="22"/>
      <c r="D140" s="22"/>
      <c r="E140" s="22"/>
      <c r="F140" s="43" t="str">
        <f>IF(A140="","",IFERROR(VLOOKUP(B140,'③ Billing Input'!B$4:F$103,4,FALSE()),0))</f>
        <v/>
      </c>
      <c r="G140" s="29" t="str">
        <f>IF(A140="","",F140*Settings!B8)</f>
        <v/>
      </c>
      <c r="H140" s="43" t="str">
        <f t="shared" si="4"/>
        <v/>
      </c>
    </row>
    <row r="141" spans="1:8" ht="15" customHeight="1" x14ac:dyDescent="0.2">
      <c r="A141" s="22"/>
      <c r="B141" s="22"/>
      <c r="C141" s="22"/>
      <c r="D141" s="22"/>
      <c r="E141" s="22"/>
      <c r="F141" s="43" t="str">
        <f>IF(A141="","",IFERROR(VLOOKUP(B141,'③ Billing Input'!B$4:F$103,4,FALSE()),0))</f>
        <v/>
      </c>
      <c r="G141" s="29" t="str">
        <f>IF(A141="","",F141*Settings!B8)</f>
        <v/>
      </c>
      <c r="H141" s="43" t="str">
        <f t="shared" si="4"/>
        <v/>
      </c>
    </row>
    <row r="142" spans="1:8" ht="15" customHeight="1" x14ac:dyDescent="0.2">
      <c r="A142" s="22"/>
      <c r="B142" s="22"/>
      <c r="C142" s="22"/>
      <c r="D142" s="22"/>
      <c r="E142" s="22"/>
      <c r="F142" s="43" t="str">
        <f>IF(A142="","",IFERROR(VLOOKUP(B142,'③ Billing Input'!B$4:F$103,4,FALSE()),0))</f>
        <v/>
      </c>
      <c r="G142" s="29" t="str">
        <f>IF(A142="","",F142*Settings!B8)</f>
        <v/>
      </c>
      <c r="H142" s="43" t="str">
        <f t="shared" si="4"/>
        <v/>
      </c>
    </row>
    <row r="143" spans="1:8" ht="15" customHeight="1" x14ac:dyDescent="0.2">
      <c r="A143" s="22"/>
      <c r="B143" s="22"/>
      <c r="C143" s="22"/>
      <c r="D143" s="22"/>
      <c r="E143" s="22"/>
      <c r="F143" s="43" t="str">
        <f>IF(A143="","",IFERROR(VLOOKUP(B143,'③ Billing Input'!B$4:F$103,4,FALSE()),0))</f>
        <v/>
      </c>
      <c r="G143" s="29" t="str">
        <f>IF(A143="","",F143*Settings!B8)</f>
        <v/>
      </c>
      <c r="H143" s="43" t="str">
        <f t="shared" si="4"/>
        <v/>
      </c>
    </row>
    <row r="144" spans="1:8" ht="15" customHeight="1" x14ac:dyDescent="0.2">
      <c r="A144" s="22"/>
      <c r="B144" s="22"/>
      <c r="C144" s="22"/>
      <c r="D144" s="22"/>
      <c r="E144" s="22"/>
      <c r="F144" s="43" t="str">
        <f>IF(A144="","",IFERROR(VLOOKUP(B144,'③ Billing Input'!B$4:F$103,4,FALSE()),0))</f>
        <v/>
      </c>
      <c r="G144" s="29" t="str">
        <f>IF(A144="","",F144*Settings!B8)</f>
        <v/>
      </c>
      <c r="H144" s="43" t="str">
        <f t="shared" si="4"/>
        <v/>
      </c>
    </row>
    <row r="145" spans="1:8" ht="15" customHeight="1" x14ac:dyDescent="0.2">
      <c r="A145" s="22"/>
      <c r="B145" s="22"/>
      <c r="C145" s="22"/>
      <c r="D145" s="22"/>
      <c r="E145" s="22"/>
      <c r="F145" s="43" t="str">
        <f>IF(A145="","",IFERROR(VLOOKUP(B145,'③ Billing Input'!B$4:F$103,4,FALSE()),0))</f>
        <v/>
      </c>
      <c r="G145" s="29" t="str">
        <f>IF(A145="","",F145*Settings!B8)</f>
        <v/>
      </c>
      <c r="H145" s="43" t="str">
        <f t="shared" si="4"/>
        <v/>
      </c>
    </row>
    <row r="146" spans="1:8" ht="15" customHeight="1" x14ac:dyDescent="0.2">
      <c r="A146" s="22"/>
      <c r="B146" s="22"/>
      <c r="C146" s="22"/>
      <c r="D146" s="22"/>
      <c r="E146" s="22"/>
      <c r="F146" s="43" t="str">
        <f>IF(A146="","",IFERROR(VLOOKUP(B146,'③ Billing Input'!B$4:F$103,4,FALSE()),0))</f>
        <v/>
      </c>
      <c r="G146" s="29" t="str">
        <f>IF(A146="","",F146*Settings!B8)</f>
        <v/>
      </c>
      <c r="H146" s="43" t="str">
        <f t="shared" si="4"/>
        <v/>
      </c>
    </row>
    <row r="147" spans="1:8" ht="15" customHeight="1" x14ac:dyDescent="0.2">
      <c r="A147" s="22"/>
      <c r="B147" s="22"/>
      <c r="C147" s="22"/>
      <c r="D147" s="22"/>
      <c r="E147" s="22"/>
      <c r="F147" s="43" t="str">
        <f>IF(A147="","",IFERROR(VLOOKUP(B147,'③ Billing Input'!B$4:F$103,4,FALSE()),0))</f>
        <v/>
      </c>
      <c r="G147" s="29" t="str">
        <f>IF(A147="","",F147*Settings!B8)</f>
        <v/>
      </c>
      <c r="H147" s="43" t="str">
        <f t="shared" si="4"/>
        <v/>
      </c>
    </row>
    <row r="148" spans="1:8" ht="15" customHeight="1" x14ac:dyDescent="0.2">
      <c r="A148" s="22"/>
      <c r="B148" s="22"/>
      <c r="C148" s="22"/>
      <c r="D148" s="22"/>
      <c r="E148" s="22"/>
      <c r="F148" s="43" t="str">
        <f>IF(A148="","",IFERROR(VLOOKUP(B148,'③ Billing Input'!B$4:F$103,4,FALSE()),0))</f>
        <v/>
      </c>
      <c r="G148" s="29" t="str">
        <f>IF(A148="","",F148*Settings!B8)</f>
        <v/>
      </c>
      <c r="H148" s="43" t="str">
        <f t="shared" si="4"/>
        <v/>
      </c>
    </row>
    <row r="149" spans="1:8" ht="15" customHeight="1" x14ac:dyDescent="0.2">
      <c r="A149" s="22"/>
      <c r="B149" s="22"/>
      <c r="C149" s="22"/>
      <c r="D149" s="22"/>
      <c r="E149" s="22"/>
      <c r="F149" s="43" t="str">
        <f>IF(A149="","",IFERROR(VLOOKUP(B149,'③ Billing Input'!B$4:F$103,4,FALSE()),0))</f>
        <v/>
      </c>
      <c r="G149" s="29" t="str">
        <f>IF(A149="","",F149*Settings!B8)</f>
        <v/>
      </c>
      <c r="H149" s="43" t="str">
        <f t="shared" si="4"/>
        <v/>
      </c>
    </row>
    <row r="150" spans="1:8" ht="15" customHeight="1" x14ac:dyDescent="0.2">
      <c r="A150" s="22"/>
      <c r="B150" s="22"/>
      <c r="C150" s="22"/>
      <c r="D150" s="22"/>
      <c r="E150" s="22"/>
      <c r="F150" s="43" t="str">
        <f>IF(A150="","",IFERROR(VLOOKUP(B150,'③ Billing Input'!B$4:F$103,4,FALSE()),0))</f>
        <v/>
      </c>
      <c r="G150" s="29" t="str">
        <f>IF(A150="","",F150*Settings!B8)</f>
        <v/>
      </c>
      <c r="H150" s="43" t="str">
        <f t="shared" si="4"/>
        <v/>
      </c>
    </row>
    <row r="151" spans="1:8" ht="15" customHeight="1" x14ac:dyDescent="0.2">
      <c r="A151" s="22"/>
      <c r="B151" s="22"/>
      <c r="C151" s="22"/>
      <c r="D151" s="22"/>
      <c r="E151" s="22"/>
      <c r="F151" s="43" t="str">
        <f>IF(A151="","",IFERROR(VLOOKUP(B151,'③ Billing Input'!B$4:F$103,4,FALSE()),0))</f>
        <v/>
      </c>
      <c r="G151" s="29" t="str">
        <f>IF(A151="","",F151*Settings!B8)</f>
        <v/>
      </c>
      <c r="H151" s="43" t="str">
        <f t="shared" si="4"/>
        <v/>
      </c>
    </row>
    <row r="152" spans="1:8" ht="15" customHeight="1" x14ac:dyDescent="0.2">
      <c r="A152" s="22"/>
      <c r="B152" s="22"/>
      <c r="C152" s="22"/>
      <c r="D152" s="22"/>
      <c r="E152" s="22"/>
      <c r="F152" s="43" t="str">
        <f>IF(A152="","",IFERROR(VLOOKUP(B152,'③ Billing Input'!B$4:F$103,4,FALSE()),0))</f>
        <v/>
      </c>
      <c r="G152" s="29" t="str">
        <f>IF(A152="","",F152*Settings!B8)</f>
        <v/>
      </c>
      <c r="H152" s="43" t="str">
        <f t="shared" si="4"/>
        <v/>
      </c>
    </row>
    <row r="153" spans="1:8" ht="15" customHeight="1" x14ac:dyDescent="0.2">
      <c r="A153" s="22"/>
      <c r="B153" s="22"/>
      <c r="C153" s="22"/>
      <c r="D153" s="22"/>
      <c r="E153" s="22"/>
      <c r="F153" s="43" t="str">
        <f>IF(A153="","",IFERROR(VLOOKUP(B153,'③ Billing Input'!B$4:F$103,4,FALSE()),0))</f>
        <v/>
      </c>
      <c r="G153" s="29" t="str">
        <f>IF(A153="","",F153*Settings!B8)</f>
        <v/>
      </c>
      <c r="H153" s="43" t="str">
        <f t="shared" si="4"/>
        <v/>
      </c>
    </row>
    <row r="154" spans="1:8" ht="15" customHeight="1" x14ac:dyDescent="0.2">
      <c r="A154" s="31" t="s">
        <v>825</v>
      </c>
      <c r="B154" s="32"/>
      <c r="C154" s="32"/>
      <c r="D154" s="44">
        <f>SUM(D4:D153)</f>
        <v>89</v>
      </c>
      <c r="E154" s="32"/>
      <c r="F154" s="45">
        <f>SUM(F4:F153)</f>
        <v>124900</v>
      </c>
      <c r="G154" s="33">
        <f>SUM(G4:G153)</f>
        <v>10616500</v>
      </c>
      <c r="H154" s="3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R203"/>
  <sheetViews>
    <sheetView topLeftCell="B1" zoomScaleNormal="100" workbookViewId="0">
      <selection activeCell="B18" sqref="B18"/>
    </sheetView>
  </sheetViews>
  <sheetFormatPr baseColWidth="10" defaultColWidth="8.6640625" defaultRowHeight="15" customHeight="1" x14ac:dyDescent="0.2"/>
  <cols>
    <col min="1" max="1" width="6" customWidth="1"/>
    <col min="2" max="2" width="16" customWidth="1"/>
    <col min="3" max="3" width="20" customWidth="1"/>
    <col min="4" max="4" width="14" customWidth="1"/>
    <col min="5" max="5" width="18" customWidth="1"/>
    <col min="6" max="6" width="28" customWidth="1"/>
    <col min="7" max="8" width="16" customWidth="1"/>
    <col min="9" max="9" width="10" customWidth="1"/>
    <col min="10" max="10" width="12" customWidth="1"/>
    <col min="11" max="12" width="10" customWidth="1"/>
    <col min="13" max="13" width="12" customWidth="1"/>
    <col min="14" max="16" width="14" customWidth="1"/>
    <col min="17" max="17" width="12" customWidth="1"/>
    <col min="18" max="18" width="10" customWidth="1"/>
  </cols>
  <sheetData>
    <row r="1" spans="1:18" ht="17.25" customHeight="1" x14ac:dyDescent="0.2">
      <c r="A1" s="143" t="s">
        <v>834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 spans="1:18" ht="15" customHeight="1" x14ac:dyDescent="0.2">
      <c r="A2" s="147" t="s">
        <v>835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</row>
    <row r="3" spans="1:18" ht="23.25" customHeight="1" x14ac:dyDescent="0.2">
      <c r="A3" s="12" t="s">
        <v>694</v>
      </c>
      <c r="B3" s="12" t="s">
        <v>64</v>
      </c>
      <c r="C3" s="12" t="s">
        <v>63</v>
      </c>
      <c r="D3" s="12" t="s">
        <v>67</v>
      </c>
      <c r="E3" s="12" t="s">
        <v>68</v>
      </c>
      <c r="F3" s="12" t="s">
        <v>69</v>
      </c>
      <c r="G3" s="12" t="s">
        <v>66</v>
      </c>
      <c r="H3" s="12" t="s">
        <v>65</v>
      </c>
      <c r="I3" s="12" t="s">
        <v>70</v>
      </c>
      <c r="J3" s="12" t="s">
        <v>71</v>
      </c>
      <c r="K3" s="12" t="s">
        <v>836</v>
      </c>
      <c r="L3" s="12" t="s">
        <v>837</v>
      </c>
      <c r="M3" s="12" t="s">
        <v>838</v>
      </c>
      <c r="N3" s="12" t="s">
        <v>839</v>
      </c>
      <c r="O3" s="12" t="s">
        <v>840</v>
      </c>
      <c r="P3" s="12" t="s">
        <v>841</v>
      </c>
      <c r="Q3" s="12" t="s">
        <v>34</v>
      </c>
      <c r="R3" s="12" t="s">
        <v>800</v>
      </c>
    </row>
    <row r="4" spans="1:18" ht="15" customHeight="1" x14ac:dyDescent="0.2">
      <c r="A4" s="46">
        <f>IF('① Timelog Input'!B4="","",ROW()-3)</f>
        <v>1</v>
      </c>
      <c r="B4" s="46" t="str">
        <f>IF('① Timelog Input'!B4="","",'① Timelog Input'!C4)</f>
        <v>CAS-IH_1070</v>
      </c>
      <c r="C4" s="46" t="str">
        <f>IF('① Timelog Input'!B4="","",'① Timelog Input'!B4)</f>
        <v>Ankit</v>
      </c>
      <c r="D4" s="46" t="str">
        <f>IF('① Timelog Input'!B4="","",'① Timelog Input'!F4)</f>
        <v>In-house</v>
      </c>
      <c r="E4" s="46" t="str">
        <f>IF('① Timelog Input'!B4="","",'① Timelog Input'!G4)</f>
        <v>Associate</v>
      </c>
      <c r="F4" s="46" t="str">
        <f>IF('① Timelog Input'!B4="","",'① Timelog Input'!H4)</f>
        <v>Accounting</v>
      </c>
      <c r="G4" s="46" t="str">
        <f>IF('① Timelog Input'!B4="","",'① Timelog Input'!E4)</f>
        <v>Jasleen.D</v>
      </c>
      <c r="H4" s="46" t="str">
        <f>IF('① Timelog Input'!B4="","",'① Timelog Input'!D4)</f>
        <v>Jasleen.D</v>
      </c>
      <c r="I4" s="47">
        <f>IF('① Timelog Input'!B4="","",IF(ISNUMBER('① Timelog Input'!I4),'① Timelog Input'!I4,0))</f>
        <v>113.42</v>
      </c>
      <c r="J4" s="46">
        <f>IF('① Timelog Input'!B4="","",IF(ISNUMBER('① Timelog Input'!J4),'① Timelog Input'!J4,0))</f>
        <v>113.42</v>
      </c>
      <c r="K4" s="46">
        <f>IF('① Timelog Input'!B4="","",Settings!B6)</f>
        <v>160</v>
      </c>
      <c r="L4" s="48">
        <f>IF(OR('① Timelog Input'!B4="",K4=0),"",J4/K4)</f>
        <v>0.70887500000000003</v>
      </c>
      <c r="M4" s="49">
        <f>IF('① Timelog Input'!B4="","",IFERROR(VLOOKUP(B4,'② Salary Input'!A:V,14,FALSE()),0))</f>
        <v>60000</v>
      </c>
      <c r="N4" s="49">
        <f>IF('① Timelog Input'!B4="","",IFERROR(VLOOKUP(B4,'② Salary Input'!A:V,10,FALSE()),0))</f>
        <v>0</v>
      </c>
      <c r="O4" s="49">
        <f>IF('① Timelog Input'!B4="","",IF(AND(D4="Remote",N4&gt;0),N4,IF(K4=0,0,M4/K4)))</f>
        <v>375</v>
      </c>
      <c r="P4" s="49">
        <f>IF(OR('① Timelog Input'!B4="",J4=0),"",M4/J4)</f>
        <v>529.00722976547343</v>
      </c>
      <c r="Q4" s="46" t="str">
        <f>IF('① Timelog Input'!B4="","",'① Timelog Input'!L4)</f>
        <v>100%</v>
      </c>
      <c r="R4" s="46" t="str">
        <f>IF('① Timelog Input'!B4="","",IF(NOT(ISNUMBER(L4)),"No Data",IF(L4&gt;=Settings!B13,"HIGH",IF(L4&gt;=Settings!B14,"MEDIUM","LOW"))))</f>
        <v>MEDIUM</v>
      </c>
    </row>
    <row r="5" spans="1:18" ht="15" customHeight="1" x14ac:dyDescent="0.2">
      <c r="A5" s="46">
        <f>IF('① Timelog Input'!B5="","",ROW()-3)</f>
        <v>2</v>
      </c>
      <c r="B5" s="46" t="str">
        <f>IF('① Timelog Input'!B5="","",'① Timelog Input'!C5)</f>
        <v>CAS-IH_1092</v>
      </c>
      <c r="C5" s="46" t="str">
        <f>IF('① Timelog Input'!B5="","",'① Timelog Input'!B5)</f>
        <v>Astha.D</v>
      </c>
      <c r="D5" s="46" t="str">
        <f>IF('① Timelog Input'!B5="","",'① Timelog Input'!F5)</f>
        <v>In-house</v>
      </c>
      <c r="E5" s="46" t="str">
        <f>IF('① Timelog Input'!B5="","",'① Timelog Input'!G5)</f>
        <v>Associate</v>
      </c>
      <c r="F5" s="46" t="str">
        <f>IF('① Timelog Input'!B5="","",'① Timelog Input'!H5)</f>
        <v>Accounting</v>
      </c>
      <c r="G5" s="46" t="str">
        <f>IF('① Timelog Input'!B5="","",'① Timelog Input'!E5)</f>
        <v>Jasleen.D</v>
      </c>
      <c r="H5" s="46" t="str">
        <f>IF('① Timelog Input'!B5="","",'① Timelog Input'!D5)</f>
        <v>Anshul Ohri</v>
      </c>
      <c r="I5" s="47">
        <f>IF('① Timelog Input'!B5="","",IF(ISNUMBER('① Timelog Input'!I5),'① Timelog Input'!I5,0))</f>
        <v>156.75</v>
      </c>
      <c r="J5" s="46">
        <f>IF('① Timelog Input'!B5="","",IF(ISNUMBER('① Timelog Input'!J5),'① Timelog Input'!J5,0))</f>
        <v>156.75</v>
      </c>
      <c r="K5" s="46">
        <f>IF('① Timelog Input'!B5="","",Settings!B6)</f>
        <v>160</v>
      </c>
      <c r="L5" s="48">
        <f>IF(OR('① Timelog Input'!B5="",K5=0),"",J5/K5)</f>
        <v>0.97968750000000004</v>
      </c>
      <c r="M5" s="49">
        <f>IF('① Timelog Input'!B5="","",IFERROR(VLOOKUP(B5,'② Salary Input'!A:V,14,FALSE()),0))</f>
        <v>45000</v>
      </c>
      <c r="N5" s="49">
        <f>IF('① Timelog Input'!B5="","",IFERROR(VLOOKUP(B5,'② Salary Input'!A:V,10,FALSE()),0))</f>
        <v>0</v>
      </c>
      <c r="O5" s="49">
        <f>IF('① Timelog Input'!B5="","",IF(AND(D5="Remote",N5&gt;0),N5,IF(K5=0,0,M5/K5)))</f>
        <v>281.25</v>
      </c>
      <c r="P5" s="49">
        <f>IF(OR('① Timelog Input'!B5="",J5=0),"",M5/J5)</f>
        <v>287.08133971291863</v>
      </c>
      <c r="Q5" s="46" t="str">
        <f>IF('① Timelog Input'!B5="","",'① Timelog Input'!L5)</f>
        <v>100%</v>
      </c>
      <c r="R5" s="46" t="str">
        <f>IF('① Timelog Input'!B5="","",IF(NOT(ISNUMBER(L5)),"No Data",IF(L5&gt;=Settings!B13,"HIGH",IF(L5&gt;=Settings!B14,"MEDIUM","LOW"))))</f>
        <v>HIGH</v>
      </c>
    </row>
    <row r="6" spans="1:18" ht="15" customHeight="1" x14ac:dyDescent="0.2">
      <c r="A6" s="46">
        <f>IF('① Timelog Input'!B6="","",ROW()-3)</f>
        <v>3</v>
      </c>
      <c r="B6" s="46" t="str">
        <f>IF('① Timelog Input'!B6="","",'① Timelog Input'!C6)</f>
        <v>CAS-IH_1105</v>
      </c>
      <c r="C6" s="46" t="str">
        <f>IF('① Timelog Input'!B6="","",'① Timelog Input'!B6)</f>
        <v>Pragati.S</v>
      </c>
      <c r="D6" s="46" t="str">
        <f>IF('① Timelog Input'!B6="","",'① Timelog Input'!F6)</f>
        <v>In-house</v>
      </c>
      <c r="E6" s="46" t="str">
        <f>IF('① Timelog Input'!B6="","",'① Timelog Input'!G6)</f>
        <v>Asst. Team Lead</v>
      </c>
      <c r="F6" s="46" t="str">
        <f>IF('① Timelog Input'!B6="","",'① Timelog Input'!H6)</f>
        <v>Accounting</v>
      </c>
      <c r="G6" s="46" t="str">
        <f>IF('① Timelog Input'!B6="","",'① Timelog Input'!E6)</f>
        <v>Jasleen.D</v>
      </c>
      <c r="H6" s="46" t="str">
        <f>IF('① Timelog Input'!B6="","",'① Timelog Input'!D6)</f>
        <v>Anshul Ohri</v>
      </c>
      <c r="I6" s="47">
        <f>IF('① Timelog Input'!B6="","",IF(ISNUMBER('① Timelog Input'!I6),'① Timelog Input'!I6,0))</f>
        <v>125.58</v>
      </c>
      <c r="J6" s="46">
        <f>IF('① Timelog Input'!B6="","",IF(ISNUMBER('① Timelog Input'!J6),'① Timelog Input'!J6,0))</f>
        <v>125.58</v>
      </c>
      <c r="K6" s="46">
        <f>IF('① Timelog Input'!B6="","",Settings!B6)</f>
        <v>160</v>
      </c>
      <c r="L6" s="48">
        <f>IF(OR('① Timelog Input'!B6="",K6=0),"",J6/K6)</f>
        <v>0.78487499999999999</v>
      </c>
      <c r="M6" s="49">
        <f>IF('① Timelog Input'!B6="","",IFERROR(VLOOKUP(B6,'② Salary Input'!A:V,14,FALSE()),0))</f>
        <v>65000</v>
      </c>
      <c r="N6" s="49">
        <f>IF('① Timelog Input'!B6="","",IFERROR(VLOOKUP(B6,'② Salary Input'!A:V,10,FALSE()),0))</f>
        <v>0</v>
      </c>
      <c r="O6" s="49">
        <f>IF('① Timelog Input'!B6="","",IF(AND(D6="Remote",N6&gt;0),N6,IF(K6=0,0,M6/K6)))</f>
        <v>406.25</v>
      </c>
      <c r="P6" s="49">
        <f>IF(OR('① Timelog Input'!B6="",J6=0),"",M6/J6)</f>
        <v>517.59834368530016</v>
      </c>
      <c r="Q6" s="46" t="str">
        <f>IF('① Timelog Input'!B6="","",'① Timelog Input'!L6)</f>
        <v>100%</v>
      </c>
      <c r="R6" s="46" t="str">
        <f>IF('① Timelog Input'!B6="","",IF(NOT(ISNUMBER(L6)),"No Data",IF(L6&gt;=Settings!B13,"HIGH",IF(L6&gt;=Settings!B14,"MEDIUM","LOW"))))</f>
        <v>MEDIUM</v>
      </c>
    </row>
    <row r="7" spans="1:18" ht="15" customHeight="1" x14ac:dyDescent="0.2">
      <c r="A7" s="46">
        <f>IF('① Timelog Input'!B7="","",ROW()-3)</f>
        <v>4</v>
      </c>
      <c r="B7" s="46" t="str">
        <f>IF('① Timelog Input'!B7="","",'① Timelog Input'!C7)</f>
        <v>CAS-IH_1109</v>
      </c>
      <c r="C7" s="46" t="str">
        <f>IF('① Timelog Input'!B7="","",'① Timelog Input'!B7)</f>
        <v>Anshul.O</v>
      </c>
      <c r="D7" s="46" t="str">
        <f>IF('① Timelog Input'!B7="","",'① Timelog Input'!F7)</f>
        <v>In-house</v>
      </c>
      <c r="E7" s="46" t="str">
        <f>IF('① Timelog Input'!B7="","",'① Timelog Input'!G7)</f>
        <v>Team Lead</v>
      </c>
      <c r="F7" s="46" t="str">
        <f>IF('① Timelog Input'!B7="","",'① Timelog Input'!H7)</f>
        <v>Accounting</v>
      </c>
      <c r="G7" s="46" t="str">
        <f>IF('① Timelog Input'!B7="","",'① Timelog Input'!E7)</f>
        <v>Jasleen.D</v>
      </c>
      <c r="H7" s="46" t="str">
        <f>IF('① Timelog Input'!B7="","",'① Timelog Input'!D7)</f>
        <v>Jasleen.D</v>
      </c>
      <c r="I7" s="47">
        <f>IF('① Timelog Input'!B7="","",IF(ISNUMBER('① Timelog Input'!I7),'① Timelog Input'!I7,0))</f>
        <v>157.41999999999999</v>
      </c>
      <c r="J7" s="46">
        <f>IF('① Timelog Input'!B7="","",IF(ISNUMBER('① Timelog Input'!J7),'① Timelog Input'!J7,0))</f>
        <v>157.41999999999999</v>
      </c>
      <c r="K7" s="46">
        <f>IF('① Timelog Input'!B7="","",Settings!B6)</f>
        <v>160</v>
      </c>
      <c r="L7" s="48">
        <f>IF(OR('① Timelog Input'!B7="",K7=0),"",J7/K7)</f>
        <v>0.98387499999999994</v>
      </c>
      <c r="M7" s="49">
        <f>IF('① Timelog Input'!B7="","",IFERROR(VLOOKUP(B7,'② Salary Input'!A:V,14,FALSE()),0))</f>
        <v>84000</v>
      </c>
      <c r="N7" s="49">
        <f>IF('① Timelog Input'!B7="","",IFERROR(VLOOKUP(B7,'② Salary Input'!A:V,10,FALSE()),0))</f>
        <v>0</v>
      </c>
      <c r="O7" s="49">
        <f>IF('① Timelog Input'!B7="","",IF(AND(D7="Remote",N7&gt;0),N7,IF(K7=0,0,M7/K7)))</f>
        <v>525</v>
      </c>
      <c r="P7" s="49">
        <f>IF(OR('① Timelog Input'!B7="",J7=0),"",M7/J7)</f>
        <v>533.60437047389155</v>
      </c>
      <c r="Q7" s="46" t="str">
        <f>IF('① Timelog Input'!B7="","",'① Timelog Input'!L7)</f>
        <v>100%</v>
      </c>
      <c r="R7" s="46" t="str">
        <f>IF('① Timelog Input'!B7="","",IF(NOT(ISNUMBER(L7)),"No Data",IF(L7&gt;=Settings!B13,"HIGH",IF(L7&gt;=Settings!B14,"MEDIUM","LOW"))))</f>
        <v>HIGH</v>
      </c>
    </row>
    <row r="8" spans="1:18" ht="15" customHeight="1" x14ac:dyDescent="0.2">
      <c r="A8" s="46">
        <f>IF('① Timelog Input'!B8="","",ROW()-3)</f>
        <v>5</v>
      </c>
      <c r="B8" s="46" t="str">
        <f>IF('① Timelog Input'!B8="","",'① Timelog Input'!C8)</f>
        <v>CAS-IH_1122</v>
      </c>
      <c r="C8" s="46" t="str">
        <f>IF('① Timelog Input'!B8="","",'① Timelog Input'!B8)</f>
        <v>Shefali.B</v>
      </c>
      <c r="D8" s="46" t="str">
        <f>IF('① Timelog Input'!B8="","",'① Timelog Input'!F8)</f>
        <v>In-house</v>
      </c>
      <c r="E8" s="46" t="str">
        <f>IF('① Timelog Input'!B8="","",'① Timelog Input'!G8)</f>
        <v>Associate</v>
      </c>
      <c r="F8" s="46" t="str">
        <f>IF('① Timelog Input'!B8="","",'① Timelog Input'!H8)</f>
        <v>Accounting</v>
      </c>
      <c r="G8" s="46" t="str">
        <f>IF('① Timelog Input'!B8="","",'① Timelog Input'!E8)</f>
        <v>Jasleen.D</v>
      </c>
      <c r="H8" s="46" t="str">
        <f>IF('① Timelog Input'!B8="","",'① Timelog Input'!D8)</f>
        <v>Anshul Ohri</v>
      </c>
      <c r="I8" s="47">
        <f>IF('① Timelog Input'!B8="","",IF(ISNUMBER('① Timelog Input'!I8),'① Timelog Input'!I8,0))</f>
        <v>147.41</v>
      </c>
      <c r="J8" s="46">
        <f>IF('① Timelog Input'!B8="","",IF(ISNUMBER('① Timelog Input'!J8),'① Timelog Input'!J8,0))</f>
        <v>147.41</v>
      </c>
      <c r="K8" s="46">
        <f>IF('① Timelog Input'!B8="","",Settings!B6)</f>
        <v>160</v>
      </c>
      <c r="L8" s="48">
        <f>IF(OR('① Timelog Input'!B8="",K8=0),"",J8/K8)</f>
        <v>0.92131249999999998</v>
      </c>
      <c r="M8" s="49">
        <f>IF('① Timelog Input'!B8="","",IFERROR(VLOOKUP(B8,'② Salary Input'!A:V,14,FALSE()),0))</f>
        <v>45000</v>
      </c>
      <c r="N8" s="49">
        <f>IF('① Timelog Input'!B8="","",IFERROR(VLOOKUP(B8,'② Salary Input'!A:V,10,FALSE()),0))</f>
        <v>0</v>
      </c>
      <c r="O8" s="49">
        <f>IF('① Timelog Input'!B8="","",IF(AND(D8="Remote",N8&gt;0),N8,IF(K8=0,0,M8/K8)))</f>
        <v>281.25</v>
      </c>
      <c r="P8" s="49">
        <f>IF(OR('① Timelog Input'!B8="",J8=0),"",M8/J8)</f>
        <v>305.27101282138256</v>
      </c>
      <c r="Q8" s="46" t="str">
        <f>IF('① Timelog Input'!B8="","",'① Timelog Input'!L8)</f>
        <v>100%</v>
      </c>
      <c r="R8" s="46" t="str">
        <f>IF('① Timelog Input'!B8="","",IF(NOT(ISNUMBER(L8)),"No Data",IF(L8&gt;=Settings!B13,"HIGH",IF(L8&gt;=Settings!B14,"MEDIUM","LOW"))))</f>
        <v>HIGH</v>
      </c>
    </row>
    <row r="9" spans="1:18" ht="15" customHeight="1" x14ac:dyDescent="0.2">
      <c r="A9" s="46">
        <f>IF('① Timelog Input'!B9="","",ROW()-3)</f>
        <v>6</v>
      </c>
      <c r="B9" s="46" t="str">
        <f>IF('① Timelog Input'!B9="","",'① Timelog Input'!C9)</f>
        <v>CAS-IH_1149</v>
      </c>
      <c r="C9" s="46" t="str">
        <f>IF('① Timelog Input'!B9="","",'① Timelog Input'!B9)</f>
        <v>Sandesh.H</v>
      </c>
      <c r="D9" s="46" t="str">
        <f>IF('① Timelog Input'!B9="","",'① Timelog Input'!F9)</f>
        <v>In-house</v>
      </c>
      <c r="E9" s="46" t="str">
        <f>IF('① Timelog Input'!B9="","",'① Timelog Input'!G9)</f>
        <v>Associate</v>
      </c>
      <c r="F9" s="46" t="str">
        <f>IF('① Timelog Input'!B9="","",'① Timelog Input'!H9)</f>
        <v>Accounting</v>
      </c>
      <c r="G9" s="46" t="str">
        <f>IF('① Timelog Input'!B9="","",'① Timelog Input'!E9)</f>
        <v>Jasleen.D</v>
      </c>
      <c r="H9" s="46" t="str">
        <f>IF('① Timelog Input'!B9="","",'① Timelog Input'!D9)</f>
        <v>Anshul Ohri</v>
      </c>
      <c r="I9" s="47">
        <f>IF('① Timelog Input'!B9="","",IF(ISNUMBER('① Timelog Input'!I9),'① Timelog Input'!I9,0))</f>
        <v>166</v>
      </c>
      <c r="J9" s="46">
        <f>IF('① Timelog Input'!B9="","",IF(ISNUMBER('① Timelog Input'!J9),'① Timelog Input'!J9,0))</f>
        <v>166</v>
      </c>
      <c r="K9" s="46">
        <f>IF('① Timelog Input'!B9="","",Settings!B6)</f>
        <v>160</v>
      </c>
      <c r="L9" s="48">
        <f>IF(OR('① Timelog Input'!B9="",K9=0),"",J9/K9)</f>
        <v>1.0375000000000001</v>
      </c>
      <c r="M9" s="49">
        <f>IF('① Timelog Input'!B9="","",IFERROR(VLOOKUP(B9,'② Salary Input'!A:V,14,FALSE()),0))</f>
        <v>40000</v>
      </c>
      <c r="N9" s="49">
        <f>IF('① Timelog Input'!B9="","",IFERROR(VLOOKUP(B9,'② Salary Input'!A:V,10,FALSE()),0))</f>
        <v>0</v>
      </c>
      <c r="O9" s="49">
        <f>IF('① Timelog Input'!B9="","",IF(AND(D9="Remote",N9&gt;0),N9,IF(K9=0,0,M9/K9)))</f>
        <v>250</v>
      </c>
      <c r="P9" s="49">
        <f>IF(OR('① Timelog Input'!B9="",J9=0),"",M9/J9)</f>
        <v>240.96385542168676</v>
      </c>
      <c r="Q9" s="46" t="str">
        <f>IF('① Timelog Input'!B9="","",'① Timelog Input'!L9)</f>
        <v>100%</v>
      </c>
      <c r="R9" s="46" t="str">
        <f>IF('① Timelog Input'!B9="","",IF(NOT(ISNUMBER(L9)),"No Data",IF(L9&gt;=Settings!B13,"HIGH",IF(L9&gt;=Settings!B14,"MEDIUM","LOW"))))</f>
        <v>HIGH</v>
      </c>
    </row>
    <row r="10" spans="1:18" ht="15" customHeight="1" x14ac:dyDescent="0.2">
      <c r="A10" s="46">
        <f>IF('① Timelog Input'!B10="","",ROW()-3)</f>
        <v>7</v>
      </c>
      <c r="B10" s="46" t="str">
        <f>IF('① Timelog Input'!B10="","",'① Timelog Input'!C10)</f>
        <v>CAS-IH_1162</v>
      </c>
      <c r="C10" s="46" t="str">
        <f>IF('① Timelog Input'!B10="","",'① Timelog Input'!B10)</f>
        <v>Robin.S</v>
      </c>
      <c r="D10" s="46" t="str">
        <f>IF('① Timelog Input'!B10="","",'① Timelog Input'!F10)</f>
        <v>Remote</v>
      </c>
      <c r="E10" s="46" t="str">
        <f>IF('① Timelog Input'!B10="","",'① Timelog Input'!G10)</f>
        <v>Associate</v>
      </c>
      <c r="F10" s="46" t="str">
        <f>IF('① Timelog Input'!B10="","",'① Timelog Input'!H10)</f>
        <v>Accounting</v>
      </c>
      <c r="G10" s="46" t="str">
        <f>IF('① Timelog Input'!B10="","",'① Timelog Input'!E10)</f>
        <v>Jasleen.D</v>
      </c>
      <c r="H10" s="46" t="str">
        <f>IF('① Timelog Input'!B10="","",'① Timelog Input'!D10)</f>
        <v>Anshul Ohri</v>
      </c>
      <c r="I10" s="47">
        <f>IF('① Timelog Input'!B10="","",IF(ISNUMBER('① Timelog Input'!I10),'① Timelog Input'!I10,0))</f>
        <v>141.24</v>
      </c>
      <c r="J10" s="46">
        <f>IF('① Timelog Input'!B10="","",IF(ISNUMBER('① Timelog Input'!J10),'① Timelog Input'!J10,0))</f>
        <v>141.24</v>
      </c>
      <c r="K10" s="46">
        <f>IF('① Timelog Input'!B10="","",Settings!B6)</f>
        <v>160</v>
      </c>
      <c r="L10" s="48">
        <f>IF(OR('① Timelog Input'!B10="",K10=0),"",J10/K10)</f>
        <v>0.88275000000000003</v>
      </c>
      <c r="M10" s="49">
        <f>IF('① Timelog Input'!B10="","",IFERROR(VLOOKUP(B10,'② Salary Input'!A:V,14,FALSE()),0))</f>
        <v>40000</v>
      </c>
      <c r="N10" s="49">
        <f>IF('① Timelog Input'!B10="","",IFERROR(VLOOKUP(B10,'② Salary Input'!A:V,10,FALSE()),0))</f>
        <v>0</v>
      </c>
      <c r="O10" s="49">
        <f>IF('① Timelog Input'!B10="","",IF(AND(D10="Remote",N10&gt;0),N10,IF(K10=0,0,M10/K10)))</f>
        <v>250</v>
      </c>
      <c r="P10" s="49">
        <f>IF(OR('① Timelog Input'!B10="",J10=0),"",M10/J10)</f>
        <v>283.20589068252616</v>
      </c>
      <c r="Q10" s="46" t="str">
        <f>IF('① Timelog Input'!B10="","",'① Timelog Input'!L10)</f>
        <v>100%</v>
      </c>
      <c r="R10" s="46" t="str">
        <f>IF('① Timelog Input'!B10="","",IF(NOT(ISNUMBER(L10)),"No Data",IF(L10&gt;=Settings!B13,"HIGH",IF(L10&gt;=Settings!B14,"MEDIUM","LOW"))))</f>
        <v>HIGH</v>
      </c>
    </row>
    <row r="11" spans="1:18" ht="15" customHeight="1" x14ac:dyDescent="0.2">
      <c r="A11" s="46">
        <f>IF('① Timelog Input'!B11="","",ROW()-3)</f>
        <v>8</v>
      </c>
      <c r="B11" s="46" t="str">
        <f>IF('① Timelog Input'!B11="","",'① Timelog Input'!C11)</f>
        <v>CAS-RR_2371</v>
      </c>
      <c r="C11" s="46" t="str">
        <f>IF('① Timelog Input'!B11="","",'① Timelog Input'!B11)</f>
        <v>Vijet.B</v>
      </c>
      <c r="D11" s="46" t="str">
        <f>IF('① Timelog Input'!B11="","",'① Timelog Input'!F11)</f>
        <v>Remote</v>
      </c>
      <c r="E11" s="46" t="str">
        <f>IF('① Timelog Input'!B11="","",'① Timelog Input'!G11)</f>
        <v>Associate</v>
      </c>
      <c r="F11" s="46" t="str">
        <f>IF('① Timelog Input'!B11="","",'① Timelog Input'!H11)</f>
        <v>Accounting</v>
      </c>
      <c r="G11" s="46" t="str">
        <f>IF('① Timelog Input'!B11="","",'① Timelog Input'!E11)</f>
        <v>Jasleen.D</v>
      </c>
      <c r="H11" s="46" t="str">
        <f>IF('① Timelog Input'!B11="","",'① Timelog Input'!D11)</f>
        <v>Anshul Ohri</v>
      </c>
      <c r="I11" s="47">
        <f>IF('① Timelog Input'!B11="","",IF(ISNUMBER('① Timelog Input'!I11),'① Timelog Input'!I11,0))</f>
        <v>157.75</v>
      </c>
      <c r="J11" s="46">
        <f>IF('① Timelog Input'!B11="","",IF(ISNUMBER('① Timelog Input'!J11),'① Timelog Input'!J11,0))</f>
        <v>157.75</v>
      </c>
      <c r="K11" s="46">
        <f>IF('① Timelog Input'!B11="","",Settings!B6)</f>
        <v>160</v>
      </c>
      <c r="L11" s="48">
        <f>IF(OR('① Timelog Input'!B11="",K11=0),"",J11/K11)</f>
        <v>0.98593750000000002</v>
      </c>
      <c r="M11" s="49">
        <f>IF('① Timelog Input'!B11="","",IFERROR(VLOOKUP(B11,'② Salary Input'!A:V,14,FALSE()),0))</f>
        <v>32000</v>
      </c>
      <c r="N11" s="49">
        <f>IF('① Timelog Input'!B11="","",IFERROR(VLOOKUP(B11,'② Salary Input'!A:V,10,FALSE()),0))</f>
        <v>0</v>
      </c>
      <c r="O11" s="49">
        <f>IF('① Timelog Input'!B11="","",IF(AND(D11="Remote",N11&gt;0),N11,IF(K11=0,0,M11/K11)))</f>
        <v>200</v>
      </c>
      <c r="P11" s="49">
        <f>IF(OR('① Timelog Input'!B11="",J11=0),"",M11/J11)</f>
        <v>202.85261489698891</v>
      </c>
      <c r="Q11" s="46" t="str">
        <f>IF('① Timelog Input'!B11="","",'① Timelog Input'!L11)</f>
        <v>100%</v>
      </c>
      <c r="R11" s="46" t="str">
        <f>IF('① Timelog Input'!B11="","",IF(NOT(ISNUMBER(L11)),"No Data",IF(L11&gt;=Settings!B13,"HIGH",IF(L11&gt;=Settings!B14,"MEDIUM","LOW"))))</f>
        <v>HIGH</v>
      </c>
    </row>
    <row r="12" spans="1:18" ht="15" customHeight="1" x14ac:dyDescent="0.2">
      <c r="A12" s="46">
        <f>IF('① Timelog Input'!B12="","",ROW()-3)</f>
        <v>9</v>
      </c>
      <c r="B12" s="46" t="str">
        <f>IF('① Timelog Input'!B12="","",'① Timelog Input'!C12)</f>
        <v>CAS-IH_1169</v>
      </c>
      <c r="C12" s="46" t="str">
        <f>IF('① Timelog Input'!B12="","",'① Timelog Input'!B12)</f>
        <v>Somya.B</v>
      </c>
      <c r="D12" s="46" t="str">
        <f>IF('① Timelog Input'!B12="","",'① Timelog Input'!F12)</f>
        <v>Retainer</v>
      </c>
      <c r="E12" s="46" t="str">
        <f>IF('① Timelog Input'!B12="","",'① Timelog Input'!G12)</f>
        <v>Sr. Associate</v>
      </c>
      <c r="F12" s="46" t="str">
        <f>IF('① Timelog Input'!B12="","",'① Timelog Input'!H12)</f>
        <v>Accounting</v>
      </c>
      <c r="G12" s="46" t="str">
        <f>IF('① Timelog Input'!B12="","",'① Timelog Input'!E12)</f>
        <v>Jasleen.D</v>
      </c>
      <c r="H12" s="46" t="str">
        <f>IF('① Timelog Input'!B12="","",'① Timelog Input'!D12)</f>
        <v>Anshul Ohri</v>
      </c>
      <c r="I12" s="47">
        <f>IF('① Timelog Input'!B12="","",IF(ISNUMBER('① Timelog Input'!I12),'① Timelog Input'!I12,0))</f>
        <v>146.75</v>
      </c>
      <c r="J12" s="46">
        <f>IF('① Timelog Input'!B12="","",IF(ISNUMBER('① Timelog Input'!J12),'① Timelog Input'!J12,0))</f>
        <v>146.75</v>
      </c>
      <c r="K12" s="46">
        <f>IF('① Timelog Input'!B12="","",Settings!B6)</f>
        <v>160</v>
      </c>
      <c r="L12" s="48">
        <f>IF(OR('① Timelog Input'!B12="",K12=0),"",J12/K12)</f>
        <v>0.91718750000000004</v>
      </c>
      <c r="M12" s="49">
        <f>IF('① Timelog Input'!B12="","",IFERROR(VLOOKUP(B12,'② Salary Input'!A:V,14,FALSE()),0))</f>
        <v>50000</v>
      </c>
      <c r="N12" s="49">
        <f>IF('① Timelog Input'!B12="","",IFERROR(VLOOKUP(B12,'② Salary Input'!A:V,10,FALSE()),0))</f>
        <v>0</v>
      </c>
      <c r="O12" s="49">
        <f>IF('① Timelog Input'!B12="","",IF(AND(D12="Remote",N12&gt;0),N12,IF(K12=0,0,M12/K12)))</f>
        <v>312.5</v>
      </c>
      <c r="P12" s="49">
        <f>IF(OR('① Timelog Input'!B12="",J12=0),"",M12/J12)</f>
        <v>340.71550255536624</v>
      </c>
      <c r="Q12" s="46" t="str">
        <f>IF('① Timelog Input'!B12="","",'① Timelog Input'!L12)</f>
        <v>100%</v>
      </c>
      <c r="R12" s="46" t="str">
        <f>IF('① Timelog Input'!B12="","",IF(NOT(ISNUMBER(L12)),"No Data",IF(L12&gt;=Settings!B13,"HIGH",IF(L12&gt;=Settings!B14,"MEDIUM","LOW"))))</f>
        <v>HIGH</v>
      </c>
    </row>
    <row r="13" spans="1:18" ht="15" customHeight="1" x14ac:dyDescent="0.2">
      <c r="A13" s="46">
        <f>IF('① Timelog Input'!B13="","",ROW()-3)</f>
        <v>10</v>
      </c>
      <c r="B13" s="46" t="str">
        <f>IF('① Timelog Input'!B13="","",'① Timelog Input'!C13)</f>
        <v>CAS-IH_1069</v>
      </c>
      <c r="C13" s="46" t="str">
        <f>IF('① Timelog Input'!B13="","",'① Timelog Input'!B13)</f>
        <v>Jasleen.D</v>
      </c>
      <c r="D13" s="46" t="str">
        <f>IF('① Timelog Input'!B13="","",'① Timelog Input'!F13)</f>
        <v>In-house</v>
      </c>
      <c r="E13" s="46" t="str">
        <f>IF('① Timelog Input'!B13="","",'① Timelog Input'!G13)</f>
        <v>Controller</v>
      </c>
      <c r="F13" s="46" t="str">
        <f>IF('① Timelog Input'!B13="","",'① Timelog Input'!H13)</f>
        <v>Accounting</v>
      </c>
      <c r="G13" s="46" t="str">
        <f>IF('① Timelog Input'!B13="","",'① Timelog Input'!E13)</f>
        <v>--</v>
      </c>
      <c r="H13" s="46" t="str">
        <f>IF('① Timelog Input'!B13="","",'① Timelog Input'!D13)</f>
        <v>Andrew Jindal</v>
      </c>
      <c r="I13" s="47">
        <f>IF('① Timelog Input'!B13="","",IF(ISNUMBER('① Timelog Input'!I13),'① Timelog Input'!I13,0))</f>
        <v>107</v>
      </c>
      <c r="J13" s="46">
        <f>IF('① Timelog Input'!B13="","",IF(ISNUMBER('① Timelog Input'!J13),'① Timelog Input'!J13,0))</f>
        <v>107</v>
      </c>
      <c r="K13" s="46">
        <f>IF('① Timelog Input'!B13="","",Settings!B6)</f>
        <v>160</v>
      </c>
      <c r="L13" s="48">
        <f>IF(OR('① Timelog Input'!B13="",K13=0),"",J13/K13)</f>
        <v>0.66874999999999996</v>
      </c>
      <c r="M13" s="49">
        <f>IF('① Timelog Input'!B13="","",IFERROR(VLOOKUP(B13,'② Salary Input'!A:V,14,FALSE()),0))</f>
        <v>245000</v>
      </c>
      <c r="N13" s="49">
        <f>IF('① Timelog Input'!B13="","",IFERROR(VLOOKUP(B13,'② Salary Input'!A:V,10,FALSE()),0))</f>
        <v>0</v>
      </c>
      <c r="O13" s="49">
        <f>IF('① Timelog Input'!B13="","",IF(AND(D13="Remote",N13&gt;0),N13,IF(K13=0,0,M13/K13)))</f>
        <v>1531.25</v>
      </c>
      <c r="P13" s="49">
        <f>IF(OR('① Timelog Input'!B13="",J13=0),"",M13/J13)</f>
        <v>2289.7196261682243</v>
      </c>
      <c r="Q13" s="46" t="str">
        <f>IF('① Timelog Input'!B13="","",'① Timelog Input'!L13)</f>
        <v>100%</v>
      </c>
      <c r="R13" s="46" t="str">
        <f>IF('① Timelog Input'!B13="","",IF(NOT(ISNUMBER(L13)),"No Data",IF(L13&gt;=Settings!B13,"HIGH",IF(L13&gt;=Settings!B14,"MEDIUM","LOW"))))</f>
        <v>MEDIUM</v>
      </c>
    </row>
    <row r="14" spans="1:18" ht="15" customHeight="1" x14ac:dyDescent="0.2">
      <c r="A14" s="46">
        <f>IF('① Timelog Input'!B14="","",ROW()-3)</f>
        <v>11</v>
      </c>
      <c r="B14" s="46" t="str">
        <f>IF('① Timelog Input'!B14="","",'① Timelog Input'!C14)</f>
        <v>CAS-IH_1037</v>
      </c>
      <c r="C14" s="46" t="str">
        <f>IF('① Timelog Input'!B14="","",'① Timelog Input'!B14)</f>
        <v>Jyoti</v>
      </c>
      <c r="D14" s="46" t="str">
        <f>IF('① Timelog Input'!B14="","",'① Timelog Input'!F14)</f>
        <v>In-house</v>
      </c>
      <c r="E14" s="46" t="str">
        <f>IF('① Timelog Input'!B14="","",'① Timelog Input'!G14)</f>
        <v>Controller</v>
      </c>
      <c r="F14" s="46" t="str">
        <f>IF('① Timelog Input'!B14="","",'① Timelog Input'!H14)</f>
        <v>Accounting, Business Tax, VA</v>
      </c>
      <c r="G14" s="46" t="str">
        <f>IF('① Timelog Input'!B14="","",'① Timelog Input'!E14)</f>
        <v>--</v>
      </c>
      <c r="H14" s="46" t="str">
        <f>IF('① Timelog Input'!B14="","",'① Timelog Input'!D14)</f>
        <v>Andrew Jindal</v>
      </c>
      <c r="I14" s="47">
        <f>IF('① Timelog Input'!B14="","",IF(ISNUMBER('① Timelog Input'!I14),'① Timelog Input'!I14,0))</f>
        <v>151.9</v>
      </c>
      <c r="J14" s="46">
        <f>IF('① Timelog Input'!B14="","",IF(ISNUMBER('① Timelog Input'!J14),'① Timelog Input'!J14,0))</f>
        <v>151.9</v>
      </c>
      <c r="K14" s="46">
        <f>IF('① Timelog Input'!B14="","",Settings!B6)</f>
        <v>160</v>
      </c>
      <c r="L14" s="48">
        <f>IF(OR('① Timelog Input'!B14="",K14=0),"",J14/K14)</f>
        <v>0.94937500000000008</v>
      </c>
      <c r="M14" s="49">
        <f>IF('① Timelog Input'!B14="","",IFERROR(VLOOKUP(B14,'② Salary Input'!A:V,14,FALSE()),0))</f>
        <v>0</v>
      </c>
      <c r="N14" s="49">
        <f>IF('① Timelog Input'!B14="","",IFERROR(VLOOKUP(B14,'② Salary Input'!A:V,10,FALSE()),0))</f>
        <v>0</v>
      </c>
      <c r="O14" s="49">
        <f>IF('① Timelog Input'!B14="","",IF(AND(D14="Remote",N14&gt;0),N14,IF(K14=0,0,M14/K14)))</f>
        <v>0</v>
      </c>
      <c r="P14" s="49">
        <f>IF(OR('① Timelog Input'!B14="",J14=0),"",M14/J14)</f>
        <v>0</v>
      </c>
      <c r="Q14" s="46" t="str">
        <f>IF('① Timelog Input'!B14="","",'① Timelog Input'!L14)</f>
        <v>100%</v>
      </c>
      <c r="R14" s="46" t="str">
        <f>IF('① Timelog Input'!B14="","",IF(NOT(ISNUMBER(L14)),"No Data",IF(L14&gt;=Settings!B13,"HIGH",IF(L14&gt;=Settings!B14,"MEDIUM","LOW"))))</f>
        <v>HIGH</v>
      </c>
    </row>
    <row r="15" spans="1:18" ht="15" customHeight="1" x14ac:dyDescent="0.2">
      <c r="A15" s="46">
        <f>IF('① Timelog Input'!B15="","",ROW()-3)</f>
        <v>12</v>
      </c>
      <c r="B15" s="46" t="str">
        <f>IF('① Timelog Input'!B15="","",'① Timelog Input'!C15)</f>
        <v>CAS-IH_1018</v>
      </c>
      <c r="C15" s="46" t="str">
        <f>IF('① Timelog Input'!B15="","",'① Timelog Input'!B15)</f>
        <v>Vini</v>
      </c>
      <c r="D15" s="46" t="str">
        <f>IF('① Timelog Input'!B15="","",'① Timelog Input'!F15)</f>
        <v>In-house</v>
      </c>
      <c r="E15" s="46" t="str">
        <f>IF('① Timelog Input'!B15="","",'① Timelog Input'!G15)</f>
        <v>Controller</v>
      </c>
      <c r="F15" s="46" t="str">
        <f>IF('① Timelog Input'!B15="","",'① Timelog Input'!H15)</f>
        <v>HR</v>
      </c>
      <c r="G15" s="46" t="str">
        <f>IF('① Timelog Input'!B15="","",'① Timelog Input'!E15)</f>
        <v>--</v>
      </c>
      <c r="H15" s="46" t="str">
        <f>IF('① Timelog Input'!B15="","",'① Timelog Input'!D15)</f>
        <v>Andrew Jindal</v>
      </c>
      <c r="I15" s="47">
        <f>IF('① Timelog Input'!B15="","",IF(ISNUMBER('① Timelog Input'!I15),'① Timelog Input'!I15,0))</f>
        <v>10.42</v>
      </c>
      <c r="J15" s="46">
        <f>IF('① Timelog Input'!B15="","",IF(ISNUMBER('① Timelog Input'!J15),'① Timelog Input'!J15,0))</f>
        <v>10.42</v>
      </c>
      <c r="K15" s="46">
        <f>IF('① Timelog Input'!B15="","",Settings!B6)</f>
        <v>160</v>
      </c>
      <c r="L15" s="48">
        <f>IF(OR('① Timelog Input'!B15="",K15=0),"",J15/K15)</f>
        <v>6.5125000000000002E-2</v>
      </c>
      <c r="M15" s="49">
        <f>IF('① Timelog Input'!B15="","",IFERROR(VLOOKUP(B15,'② Salary Input'!A:V,14,FALSE()),0))</f>
        <v>175000</v>
      </c>
      <c r="N15" s="49">
        <f>IF('① Timelog Input'!B15="","",IFERROR(VLOOKUP(B15,'② Salary Input'!A:V,10,FALSE()),0))</f>
        <v>0</v>
      </c>
      <c r="O15" s="49">
        <f>IF('① Timelog Input'!B15="","",IF(AND(D15="Remote",N15&gt;0),N15,IF(K15=0,0,M15/K15)))</f>
        <v>1093.75</v>
      </c>
      <c r="P15" s="49">
        <f>IF(OR('① Timelog Input'!B15="",J15=0),"",M15/J15)</f>
        <v>16794.625719769672</v>
      </c>
      <c r="Q15" s="46" t="str">
        <f>IF('① Timelog Input'!B15="","",'① Timelog Input'!L15)</f>
        <v>100%</v>
      </c>
      <c r="R15" s="46" t="str">
        <f>IF('① Timelog Input'!B15="","",IF(NOT(ISNUMBER(L15)),"No Data",IF(L15&gt;=Settings!B13,"HIGH",IF(L15&gt;=Settings!B14,"MEDIUM","LOW"))))</f>
        <v>LOW</v>
      </c>
    </row>
    <row r="16" spans="1:18" ht="15" customHeight="1" x14ac:dyDescent="0.2">
      <c r="A16" s="46">
        <f>IF('① Timelog Input'!B16="","",ROW()-3)</f>
        <v>13</v>
      </c>
      <c r="B16" s="46" t="str">
        <f>IF('① Timelog Input'!B16="","",'① Timelog Input'!C16)</f>
        <v>CAS-IH_1049</v>
      </c>
      <c r="C16" s="46" t="str">
        <f>IF('① Timelog Input'!B16="","",'① Timelog Input'!B16)</f>
        <v>Asmita</v>
      </c>
      <c r="D16" s="46" t="str">
        <f>IF('① Timelog Input'!B16="","",'① Timelog Input'!F16)</f>
        <v>In-house</v>
      </c>
      <c r="E16" s="46" t="str">
        <f>IF('① Timelog Input'!B16="","",'① Timelog Input'!G16)</f>
        <v>Sr. Associate</v>
      </c>
      <c r="F16" s="46" t="str">
        <f>IF('① Timelog Input'!B16="","",'① Timelog Input'!H16)</f>
        <v>Accounting, Business Tax</v>
      </c>
      <c r="G16" s="46" t="str">
        <f>IF('① Timelog Input'!B16="","",'① Timelog Input'!E16)</f>
        <v>Jyoti</v>
      </c>
      <c r="H16" s="46" t="str">
        <f>IF('① Timelog Input'!B16="","",'① Timelog Input'!D16)</f>
        <v>Jyoti</v>
      </c>
      <c r="I16" s="47">
        <f>IF('① Timelog Input'!B16="","",IF(ISNUMBER('① Timelog Input'!I16),'① Timelog Input'!I16,0))</f>
        <v>115.67</v>
      </c>
      <c r="J16" s="46">
        <f>IF('① Timelog Input'!B16="","",IF(ISNUMBER('① Timelog Input'!J16),'① Timelog Input'!J16,0))</f>
        <v>115.67</v>
      </c>
      <c r="K16" s="46">
        <f>IF('① Timelog Input'!B16="","",Settings!B6)</f>
        <v>160</v>
      </c>
      <c r="L16" s="48">
        <f>IF(OR('① Timelog Input'!B16="",K16=0),"",J16/K16)</f>
        <v>0.72293750000000001</v>
      </c>
      <c r="M16" s="49">
        <f>IF('① Timelog Input'!B16="","",IFERROR(VLOOKUP(B16,'② Salary Input'!A:V,14,FALSE()),0))</f>
        <v>62500</v>
      </c>
      <c r="N16" s="49">
        <f>IF('① Timelog Input'!B16="","",IFERROR(VLOOKUP(B16,'② Salary Input'!A:V,10,FALSE()),0))</f>
        <v>0</v>
      </c>
      <c r="O16" s="49">
        <f>IF('① Timelog Input'!B16="","",IF(AND(D16="Remote",N16&gt;0),N16,IF(K16=0,0,M16/K16)))</f>
        <v>390.625</v>
      </c>
      <c r="P16" s="49">
        <f>IF(OR('① Timelog Input'!B16="",J16=0),"",M16/J16)</f>
        <v>540.33024984870747</v>
      </c>
      <c r="Q16" s="46" t="str">
        <f>IF('① Timelog Input'!B16="","",'① Timelog Input'!L16)</f>
        <v>100%</v>
      </c>
      <c r="R16" s="46" t="str">
        <f>IF('① Timelog Input'!B16="","",IF(NOT(ISNUMBER(L16)),"No Data",IF(L16&gt;=Settings!B13,"HIGH",IF(L16&gt;=Settings!B14,"MEDIUM","LOW"))))</f>
        <v>MEDIUM</v>
      </c>
    </row>
    <row r="17" spans="1:18" ht="15" customHeight="1" x14ac:dyDescent="0.2">
      <c r="A17" s="46">
        <f>IF('① Timelog Input'!B17="","",ROW()-3)</f>
        <v>14</v>
      </c>
      <c r="B17" s="46" t="str">
        <f>IF('① Timelog Input'!B17="","",'① Timelog Input'!C17)</f>
        <v>CAS-IH_1041</v>
      </c>
      <c r="C17" s="46" t="str">
        <f>IF('① Timelog Input'!B17="","",'① Timelog Input'!B17)</f>
        <v>Nikita</v>
      </c>
      <c r="D17" s="46" t="str">
        <f>IF('① Timelog Input'!B17="","",'① Timelog Input'!F17)</f>
        <v>In-house</v>
      </c>
      <c r="E17" s="46" t="str">
        <f>IF('① Timelog Input'!B17="","",'① Timelog Input'!G17)</f>
        <v>Controller</v>
      </c>
      <c r="F17" s="46" t="str">
        <f>IF('① Timelog Input'!B17="","",'① Timelog Input'!H17)</f>
        <v>Accounting, Business Tax, VA, L&amp;D</v>
      </c>
      <c r="G17" s="46" t="str">
        <f>IF('① Timelog Input'!B17="","",'① Timelog Input'!E17)</f>
        <v>--</v>
      </c>
      <c r="H17" s="46" t="str">
        <f>IF('① Timelog Input'!B17="","",'① Timelog Input'!D17)</f>
        <v>Andrew Jindal</v>
      </c>
      <c r="I17" s="46">
        <f>IF('① Timelog Input'!B17="","",IF(ISNUMBER('① Timelog Input'!I17),'① Timelog Input'!I17,0))</f>
        <v>101</v>
      </c>
      <c r="J17" s="46">
        <f>IF('① Timelog Input'!B17="","",IF(ISNUMBER('① Timelog Input'!J17),'① Timelog Input'!J17,0))</f>
        <v>101</v>
      </c>
      <c r="K17" s="46">
        <f>IF('① Timelog Input'!B17="","",Settings!B6)</f>
        <v>160</v>
      </c>
      <c r="L17" s="48">
        <f>IF(OR('① Timelog Input'!B17="",K17=0),"",J17/K17)</f>
        <v>0.63124999999999998</v>
      </c>
      <c r="M17" s="49">
        <f>IF('① Timelog Input'!B17="","",IFERROR(VLOOKUP(B17,'② Salary Input'!A:V,14,FALSE()),0))</f>
        <v>280000</v>
      </c>
      <c r="N17" s="49">
        <f>IF('① Timelog Input'!B17="","",IFERROR(VLOOKUP(B17,'② Salary Input'!A:V,10,FALSE()),0))</f>
        <v>0</v>
      </c>
      <c r="O17" s="49">
        <f>IF('① Timelog Input'!B17="","",IF(AND(D17="Remote",N17&gt;0),N17,IF(K17=0,0,M17/K17)))</f>
        <v>1750</v>
      </c>
      <c r="P17" s="49">
        <f>IF(OR('① Timelog Input'!B17="",J17=0),"",M17/J17)</f>
        <v>2772.2772277227723</v>
      </c>
      <c r="Q17" s="46" t="str">
        <f>IF('① Timelog Input'!B17="","",'① Timelog Input'!L17)</f>
        <v>100%</v>
      </c>
      <c r="R17" s="46" t="str">
        <f>IF('① Timelog Input'!B17="","",IF(NOT(ISNUMBER(L17)),"No Data",IF(L17&gt;=Settings!B13,"HIGH",IF(L17&gt;=Settings!B14,"MEDIUM","LOW"))))</f>
        <v>LOW</v>
      </c>
    </row>
    <row r="18" spans="1:18" ht="15" customHeight="1" x14ac:dyDescent="0.2">
      <c r="A18" s="46">
        <f>IF('① Timelog Input'!B18="","",ROW()-3)</f>
        <v>15</v>
      </c>
      <c r="B18" s="46" t="str">
        <f>IF('① Timelog Input'!B18="","",'① Timelog Input'!C18)</f>
        <v>CAS-IH_1051</v>
      </c>
      <c r="C18" s="46" t="str">
        <f>IF('① Timelog Input'!B18="","",'① Timelog Input'!B18)</f>
        <v>Ayushi</v>
      </c>
      <c r="D18" s="46" t="str">
        <f>IF('① Timelog Input'!B18="","",'① Timelog Input'!F18)</f>
        <v>In-house</v>
      </c>
      <c r="E18" s="46" t="str">
        <f>IF('① Timelog Input'!B18="","",'① Timelog Input'!G18)</f>
        <v>Asst. Controller</v>
      </c>
      <c r="F18" s="46" t="str">
        <f>IF('① Timelog Input'!B18="","",'① Timelog Input'!H18)</f>
        <v>Accounting, Business Tax</v>
      </c>
      <c r="G18" s="46" t="str">
        <f>IF('① Timelog Input'!B18="","",'① Timelog Input'!E18)</f>
        <v>--</v>
      </c>
      <c r="H18" s="46" t="str">
        <f>IF('① Timelog Input'!B18="","",'① Timelog Input'!D18)</f>
        <v>Andrew Jindal</v>
      </c>
      <c r="I18" s="47">
        <f>IF('① Timelog Input'!B18="","",IF(ISNUMBER('① Timelog Input'!I18),'① Timelog Input'!I18,0))</f>
        <v>0</v>
      </c>
      <c r="J18" s="46">
        <f>IF('① Timelog Input'!B18="","",IF(ISNUMBER('① Timelog Input'!J18),'① Timelog Input'!J18,0))</f>
        <v>0</v>
      </c>
      <c r="K18" s="46">
        <f>IF('① Timelog Input'!B18="","",Settings!B6)</f>
        <v>160</v>
      </c>
      <c r="L18" s="48">
        <f>IF(OR('① Timelog Input'!B18="",K18=0),"",J18/K18)</f>
        <v>0</v>
      </c>
      <c r="M18" s="49">
        <f>IF('① Timelog Input'!B18="","",IFERROR(VLOOKUP(B18,'② Salary Input'!A:V,14,FALSE()),0))</f>
        <v>145000</v>
      </c>
      <c r="N18" s="49">
        <f>IF('① Timelog Input'!B18="","",IFERROR(VLOOKUP(B18,'② Salary Input'!A:V,10,FALSE()),0))</f>
        <v>0</v>
      </c>
      <c r="O18" s="49">
        <f>IF('① Timelog Input'!B18="","",IF(AND(D18="Remote",N18&gt;0),N18,IF(K18=0,0,M18/K18)))</f>
        <v>906.25</v>
      </c>
      <c r="P18" s="49" t="str">
        <f>IF(OR('① Timelog Input'!B18="",J18=0),"",M18/J18)</f>
        <v/>
      </c>
      <c r="Q18" s="46" t="str">
        <f>IF('① Timelog Input'!B18="","",'① Timelog Input'!L18)</f>
        <v>--</v>
      </c>
      <c r="R18" s="46" t="str">
        <f>IF('① Timelog Input'!B18="","",IF(NOT(ISNUMBER(L18)),"No Data",IF(L18&gt;=Settings!B13,"HIGH",IF(L18&gt;=Settings!B14,"MEDIUM","LOW"))))</f>
        <v>LOW</v>
      </c>
    </row>
    <row r="19" spans="1:18" ht="15" customHeight="1" x14ac:dyDescent="0.2">
      <c r="A19" s="46">
        <f>IF('① Timelog Input'!B19="","",ROW()-3)</f>
        <v>16</v>
      </c>
      <c r="B19" s="46" t="str">
        <f>IF('① Timelog Input'!B19="","",'① Timelog Input'!C19)</f>
        <v>CAS-IH_1065</v>
      </c>
      <c r="C19" s="46" t="str">
        <f>IF('① Timelog Input'!B19="","",'① Timelog Input'!B19)</f>
        <v>Shefali</v>
      </c>
      <c r="D19" s="46" t="str">
        <f>IF('① Timelog Input'!B19="","",'① Timelog Input'!F19)</f>
        <v>In-house</v>
      </c>
      <c r="E19" s="46" t="str">
        <f>IF('① Timelog Input'!B19="","",'① Timelog Input'!G19)</f>
        <v>Team Lead</v>
      </c>
      <c r="F19" s="46" t="str">
        <f>IF('① Timelog Input'!B19="","",'① Timelog Input'!H19)</f>
        <v>Accounting</v>
      </c>
      <c r="G19" s="46" t="str">
        <f>IF('① Timelog Input'!B19="","",'① Timelog Input'!E19)</f>
        <v>Nikita Shah</v>
      </c>
      <c r="H19" s="46" t="str">
        <f>IF('① Timelog Input'!B19="","",'① Timelog Input'!D19)</f>
        <v>Nikita Shah</v>
      </c>
      <c r="I19" s="46">
        <f>IF('① Timelog Input'!B19="","",IF(ISNUMBER('① Timelog Input'!I19),'① Timelog Input'!I19,0))</f>
        <v>144.35</v>
      </c>
      <c r="J19" s="46">
        <f>IF('① Timelog Input'!B19="","",IF(ISNUMBER('① Timelog Input'!J19),'① Timelog Input'!J19,0))</f>
        <v>144.35</v>
      </c>
      <c r="K19" s="46">
        <f>IF('① Timelog Input'!B19="","",Settings!B6)</f>
        <v>160</v>
      </c>
      <c r="L19" s="48">
        <f>IF(OR('① Timelog Input'!B19="",K19=0),"",J19/K19)</f>
        <v>0.90218749999999992</v>
      </c>
      <c r="M19" s="49">
        <f>IF('① Timelog Input'!B19="","",IFERROR(VLOOKUP(B19,'② Salary Input'!A:V,14,FALSE()),0))</f>
        <v>135000</v>
      </c>
      <c r="N19" s="49">
        <f>IF('① Timelog Input'!B19="","",IFERROR(VLOOKUP(B19,'② Salary Input'!A:V,10,FALSE()),0))</f>
        <v>0</v>
      </c>
      <c r="O19" s="49">
        <f>IF('① Timelog Input'!B19="","",IF(AND(D19="Remote",N19&gt;0),N19,IF(K19=0,0,M19/K19)))</f>
        <v>843.75</v>
      </c>
      <c r="P19" s="49">
        <f>IF(OR('① Timelog Input'!B19="",J19=0),"",M19/J19)</f>
        <v>935.22687911326636</v>
      </c>
      <c r="Q19" s="46" t="str">
        <f>IF('① Timelog Input'!B19="","",'① Timelog Input'!L19)</f>
        <v>100%</v>
      </c>
      <c r="R19" s="46" t="str">
        <f>IF('① Timelog Input'!B19="","",IF(NOT(ISNUMBER(L19)),"No Data",IF(L19&gt;=Settings!B13,"HIGH",IF(L19&gt;=Settings!B14,"MEDIUM","LOW"))))</f>
        <v>HIGH</v>
      </c>
    </row>
    <row r="20" spans="1:18" ht="15" customHeight="1" x14ac:dyDescent="0.2">
      <c r="A20" s="46">
        <f>IF('① Timelog Input'!B20="","",ROW()-3)</f>
        <v>17</v>
      </c>
      <c r="B20" s="46" t="str">
        <f>IF('① Timelog Input'!B20="","",'① Timelog Input'!C20)</f>
        <v>CAS-IH_1077</v>
      </c>
      <c r="C20" s="46" t="str">
        <f>IF('① Timelog Input'!B20="","",'① Timelog Input'!B20)</f>
        <v>Rashi</v>
      </c>
      <c r="D20" s="46" t="str">
        <f>IF('① Timelog Input'!B20="","",'① Timelog Input'!F20)</f>
        <v>In-house</v>
      </c>
      <c r="E20" s="46" t="str">
        <f>IF('① Timelog Input'!B20="","",'① Timelog Input'!G20)</f>
        <v>Asst. Manager</v>
      </c>
      <c r="F20" s="46" t="str">
        <f>IF('① Timelog Input'!B20="","",'① Timelog Input'!H20)</f>
        <v>HR</v>
      </c>
      <c r="G20" s="46" t="str">
        <f>IF('① Timelog Input'!B20="","",'① Timelog Input'!E20)</f>
        <v>Vinita Dagar</v>
      </c>
      <c r="H20" s="46" t="str">
        <f>IF('① Timelog Input'!B20="","",'① Timelog Input'!D20)</f>
        <v>Vinita Dagar</v>
      </c>
      <c r="I20" s="46">
        <f>IF('① Timelog Input'!B20="","",IF(ISNUMBER('① Timelog Input'!I20),'① Timelog Input'!I20,0))</f>
        <v>0</v>
      </c>
      <c r="J20" s="46">
        <f>IF('① Timelog Input'!B20="","",IF(ISNUMBER('① Timelog Input'!J20),'① Timelog Input'!J20,0))</f>
        <v>0</v>
      </c>
      <c r="K20" s="46">
        <f>IF('① Timelog Input'!B20="","",Settings!B6)</f>
        <v>160</v>
      </c>
      <c r="L20" s="48">
        <f>IF(OR('① Timelog Input'!B20="",K20=0),"",J20/K20)</f>
        <v>0</v>
      </c>
      <c r="M20" s="49">
        <f>IF('① Timelog Input'!B20="","",IFERROR(VLOOKUP(B20,'② Salary Input'!A:V,14,FALSE()),0))</f>
        <v>70000</v>
      </c>
      <c r="N20" s="49">
        <f>IF('① Timelog Input'!B20="","",IFERROR(VLOOKUP(B20,'② Salary Input'!A:V,10,FALSE()),0))</f>
        <v>0</v>
      </c>
      <c r="O20" s="49">
        <f>IF('① Timelog Input'!B20="","",IF(AND(D20="Remote",N20&gt;0),N20,IF(K20=0,0,M20/K20)))</f>
        <v>437.5</v>
      </c>
      <c r="P20" s="49" t="str">
        <f>IF(OR('① Timelog Input'!B20="",J20=0),"",M20/J20)</f>
        <v/>
      </c>
      <c r="Q20" s="46" t="str">
        <f>IF('① Timelog Input'!B20="","",'① Timelog Input'!L20)</f>
        <v>--</v>
      </c>
      <c r="R20" s="46" t="str">
        <f>IF('① Timelog Input'!B20="","",IF(NOT(ISNUMBER(L20)),"No Data",IF(L20&gt;=Settings!B13,"HIGH",IF(L20&gt;=Settings!B14,"MEDIUM","LOW"))))</f>
        <v>LOW</v>
      </c>
    </row>
    <row r="21" spans="1:18" ht="15" customHeight="1" x14ac:dyDescent="0.2">
      <c r="A21" s="46">
        <f>IF('① Timelog Input'!B21="","",ROW()-3)</f>
        <v>18</v>
      </c>
      <c r="B21" s="46" t="str">
        <f>IF('① Timelog Input'!B21="","",'① Timelog Input'!C21)</f>
        <v>CAS-IH_1159</v>
      </c>
      <c r="C21" s="46" t="str">
        <f>IF('① Timelog Input'!B21="","",'① Timelog Input'!B21)</f>
        <v>Gaganjot</v>
      </c>
      <c r="D21" s="46" t="str">
        <f>IF('① Timelog Input'!B21="","",'① Timelog Input'!F21)</f>
        <v>In-house</v>
      </c>
      <c r="E21" s="46" t="str">
        <f>IF('① Timelog Input'!B21="","",'① Timelog Input'!G21)</f>
        <v>Asst. Team Lead</v>
      </c>
      <c r="F21" s="46" t="str">
        <f>IF('① Timelog Input'!B21="","",'① Timelog Input'!H21)</f>
        <v>Accounting, Business Tax</v>
      </c>
      <c r="G21" s="46" t="str">
        <f>IF('① Timelog Input'!B21="","",'① Timelog Input'!E21)</f>
        <v>Nikita Shah</v>
      </c>
      <c r="H21" s="46" t="str">
        <f>IF('① Timelog Input'!B21="","",'① Timelog Input'!D21)</f>
        <v>Shefali</v>
      </c>
      <c r="I21" s="47">
        <f>IF('① Timelog Input'!B21="","",IF(ISNUMBER('① Timelog Input'!I21),'① Timelog Input'!I21,0))</f>
        <v>0</v>
      </c>
      <c r="J21" s="46">
        <f>IF('① Timelog Input'!B21="","",IF(ISNUMBER('① Timelog Input'!J21),'① Timelog Input'!J21,0))</f>
        <v>0</v>
      </c>
      <c r="K21" s="46">
        <f>IF('① Timelog Input'!B21="","",Settings!B6)</f>
        <v>160</v>
      </c>
      <c r="L21" s="48">
        <f>IF(OR('① Timelog Input'!B21="",K21=0),"",J21/K21)</f>
        <v>0</v>
      </c>
      <c r="M21" s="49">
        <f>IF('① Timelog Input'!B21="","",IFERROR(VLOOKUP(B21,'② Salary Input'!A:V,14,FALSE()),0))</f>
        <v>70000</v>
      </c>
      <c r="N21" s="49">
        <f>IF('① Timelog Input'!B21="","",IFERROR(VLOOKUP(B21,'② Salary Input'!A:V,10,FALSE()),0))</f>
        <v>0</v>
      </c>
      <c r="O21" s="49">
        <f>IF('① Timelog Input'!B21="","",IF(AND(D21="Remote",N21&gt;0),N21,IF(K21=0,0,M21/K21)))</f>
        <v>437.5</v>
      </c>
      <c r="P21" s="49" t="str">
        <f>IF(OR('① Timelog Input'!B21="",J21=0),"",M21/J21)</f>
        <v/>
      </c>
      <c r="Q21" s="46" t="str">
        <f>IF('① Timelog Input'!B21="","",'① Timelog Input'!L21)</f>
        <v>--</v>
      </c>
      <c r="R21" s="46" t="str">
        <f>IF('① Timelog Input'!B21="","",IF(NOT(ISNUMBER(L21)),"No Data",IF(L21&gt;=Settings!B13,"HIGH",IF(L21&gt;=Settings!B14,"MEDIUM","LOW"))))</f>
        <v>LOW</v>
      </c>
    </row>
    <row r="22" spans="1:18" ht="15" customHeight="1" x14ac:dyDescent="0.2">
      <c r="A22" s="46">
        <f>IF('① Timelog Input'!B22="","",ROW()-3)</f>
        <v>19</v>
      </c>
      <c r="B22" s="46" t="str">
        <f>IF('① Timelog Input'!B22="","",'① Timelog Input'!C22)</f>
        <v>CAS-IH_1005</v>
      </c>
      <c r="C22" s="46" t="str">
        <f>IF('① Timelog Input'!B22="","",'① Timelog Input'!B22)</f>
        <v>Robin</v>
      </c>
      <c r="D22" s="46" t="str">
        <f>IF('① Timelog Input'!B22="","",'① Timelog Input'!F22)</f>
        <v>In-house</v>
      </c>
      <c r="E22" s="46" t="str">
        <f>IF('① Timelog Input'!B22="","",'① Timelog Input'!G22)</f>
        <v>Sr. Associate</v>
      </c>
      <c r="F22" s="46" t="str">
        <f>IF('① Timelog Input'!B22="","",'① Timelog Input'!H22)</f>
        <v>Accounting</v>
      </c>
      <c r="G22" s="46" t="str">
        <f>IF('① Timelog Input'!B22="","",'① Timelog Input'!E22)</f>
        <v>Jyoti</v>
      </c>
      <c r="H22" s="46" t="str">
        <f>IF('① Timelog Input'!B22="","",'① Timelog Input'!D22)</f>
        <v>Jyoti</v>
      </c>
      <c r="I22" s="47">
        <f>IF('① Timelog Input'!B22="","",IF(ISNUMBER('① Timelog Input'!I22),'① Timelog Input'!I22,0))</f>
        <v>165.25</v>
      </c>
      <c r="J22" s="46">
        <f>IF('① Timelog Input'!B22="","",IF(ISNUMBER('① Timelog Input'!J22),'① Timelog Input'!J22,0))</f>
        <v>162.25</v>
      </c>
      <c r="K22" s="46">
        <f>IF('① Timelog Input'!B22="","",Settings!B6)</f>
        <v>160</v>
      </c>
      <c r="L22" s="48">
        <f>IF(OR('① Timelog Input'!B22="",K22=0),"",J22/K22)</f>
        <v>1.0140625000000001</v>
      </c>
      <c r="M22" s="49">
        <f>IF('① Timelog Input'!B22="","",IFERROR(VLOOKUP(B22,'② Salary Input'!A:V,14,FALSE()),0))</f>
        <v>70000</v>
      </c>
      <c r="N22" s="49">
        <f>IF('① Timelog Input'!B22="","",IFERROR(VLOOKUP(B22,'② Salary Input'!A:V,10,FALSE()),0))</f>
        <v>0</v>
      </c>
      <c r="O22" s="49">
        <f>IF('① Timelog Input'!B22="","",IF(AND(D22="Remote",N22&gt;0),N22,IF(K22=0,0,M22/K22)))</f>
        <v>437.5</v>
      </c>
      <c r="P22" s="49">
        <f>IF(OR('① Timelog Input'!B22="",J22=0),"",M22/J22)</f>
        <v>431.43297380585517</v>
      </c>
      <c r="Q22" s="46" t="str">
        <f>IF('① Timelog Input'!B22="","",'① Timelog Input'!L22)</f>
        <v>98.18%</v>
      </c>
      <c r="R22" s="46" t="str">
        <f>IF('① Timelog Input'!B22="","",IF(NOT(ISNUMBER(L22)),"No Data",IF(L22&gt;=Settings!B13,"HIGH",IF(L22&gt;=Settings!B14,"MEDIUM","LOW"))))</f>
        <v>HIGH</v>
      </c>
    </row>
    <row r="23" spans="1:18" ht="15" customHeight="1" x14ac:dyDescent="0.2">
      <c r="A23" s="46">
        <f>IF('① Timelog Input'!B23="","",ROW()-3)</f>
        <v>20</v>
      </c>
      <c r="B23" s="46" t="str">
        <f>IF('① Timelog Input'!B23="","",'① Timelog Input'!C23)</f>
        <v>CAS-IH_1038</v>
      </c>
      <c r="C23" s="46" t="str">
        <f>IF('① Timelog Input'!B23="","",'① Timelog Input'!B23)</f>
        <v>Nishu</v>
      </c>
      <c r="D23" s="46" t="str">
        <f>IF('① Timelog Input'!B23="","",'① Timelog Input'!F23)</f>
        <v>In-house</v>
      </c>
      <c r="E23" s="46" t="str">
        <f>IF('① Timelog Input'!B23="","",'① Timelog Input'!G23)</f>
        <v>Associate</v>
      </c>
      <c r="F23" s="46" t="str">
        <f>IF('① Timelog Input'!B23="","",'① Timelog Input'!H23)</f>
        <v>Accounting, Business Tax, VA</v>
      </c>
      <c r="G23" s="46" t="str">
        <f>IF('① Timelog Input'!B23="","",'① Timelog Input'!E23)</f>
        <v>Jyoti</v>
      </c>
      <c r="H23" s="46" t="str">
        <f>IF('① Timelog Input'!B23="","",'① Timelog Input'!D23)</f>
        <v>Robin</v>
      </c>
      <c r="I23" s="47">
        <f>IF('① Timelog Input'!B23="","",IF(ISNUMBER('① Timelog Input'!I23),'① Timelog Input'!I23,0))</f>
        <v>132.66999999999999</v>
      </c>
      <c r="J23" s="46">
        <f>IF('① Timelog Input'!B23="","",IF(ISNUMBER('① Timelog Input'!J23),'① Timelog Input'!J23,0))</f>
        <v>132.66999999999999</v>
      </c>
      <c r="K23" s="46">
        <f>IF('① Timelog Input'!B23="","",Settings!B6)</f>
        <v>160</v>
      </c>
      <c r="L23" s="48">
        <f>IF(OR('① Timelog Input'!B23="",K23=0),"",J23/K23)</f>
        <v>0.82918749999999997</v>
      </c>
      <c r="M23" s="49">
        <f>IF('① Timelog Input'!B23="","",IFERROR(VLOOKUP(B23,'② Salary Input'!A:V,14,FALSE()),0))</f>
        <v>43000</v>
      </c>
      <c r="N23" s="49">
        <f>IF('① Timelog Input'!B23="","",IFERROR(VLOOKUP(B23,'② Salary Input'!A:V,10,FALSE()),0))</f>
        <v>0</v>
      </c>
      <c r="O23" s="49">
        <f>IF('① Timelog Input'!B23="","",IF(AND(D23="Remote",N23&gt;0),N23,IF(K23=0,0,M23/K23)))</f>
        <v>268.75</v>
      </c>
      <c r="P23" s="49">
        <f>IF(OR('① Timelog Input'!B23="",J23=0),"",M23/J23)</f>
        <v>324.11245948594262</v>
      </c>
      <c r="Q23" s="46" t="str">
        <f>IF('① Timelog Input'!B23="","",'① Timelog Input'!L23)</f>
        <v>100%</v>
      </c>
      <c r="R23" s="46" t="str">
        <f>IF('① Timelog Input'!B23="","",IF(NOT(ISNUMBER(L23)),"No Data",IF(L23&gt;=Settings!B13,"HIGH",IF(L23&gt;=Settings!B14,"MEDIUM","LOW"))))</f>
        <v>MEDIUM</v>
      </c>
    </row>
    <row r="24" spans="1:18" ht="15" customHeight="1" x14ac:dyDescent="0.2">
      <c r="A24" s="46">
        <f>IF('① Timelog Input'!B24="","",ROW()-3)</f>
        <v>21</v>
      </c>
      <c r="B24" s="46" t="str">
        <f>IF('① Timelog Input'!B24="","",'① Timelog Input'!C24)</f>
        <v>CAS-RT_2045</v>
      </c>
      <c r="C24" s="46" t="str">
        <f>IF('① Timelog Input'!B24="","",'① Timelog Input'!B24)</f>
        <v>Pinky</v>
      </c>
      <c r="D24" s="46" t="str">
        <f>IF('① Timelog Input'!B24="","",'① Timelog Input'!F24)</f>
        <v>Remote</v>
      </c>
      <c r="E24" s="46" t="str">
        <f>IF('① Timelog Input'!B24="","",'① Timelog Input'!G24)</f>
        <v>Manager</v>
      </c>
      <c r="F24" s="46" t="str">
        <f>IF('① Timelog Input'!B24="","",'① Timelog Input'!H24)</f>
        <v>Accounting</v>
      </c>
      <c r="G24" s="46" t="str">
        <f>IF('① Timelog Input'!B24="","",'① Timelog Input'!E24)</f>
        <v>Nikita Shah</v>
      </c>
      <c r="H24" s="46" t="str">
        <f>IF('① Timelog Input'!B24="","",'① Timelog Input'!D24)</f>
        <v>Nikita Shah</v>
      </c>
      <c r="I24" s="47">
        <f>IF('① Timelog Input'!B24="","",IF(ISNUMBER('① Timelog Input'!I24),'① Timelog Input'!I24,0))</f>
        <v>64.27</v>
      </c>
      <c r="J24" s="46">
        <f>IF('① Timelog Input'!B24="","",IF(ISNUMBER('① Timelog Input'!J24),'① Timelog Input'!J24,0))</f>
        <v>64.27</v>
      </c>
      <c r="K24" s="46">
        <f>IF('① Timelog Input'!B24="","",Settings!B6)</f>
        <v>160</v>
      </c>
      <c r="L24" s="48">
        <f>IF(OR('① Timelog Input'!B24="",K24=0),"",J24/K24)</f>
        <v>0.40168749999999998</v>
      </c>
      <c r="M24" s="49">
        <f>IF('① Timelog Input'!B24="","",IFERROR(VLOOKUP(B24,'② Salary Input'!A:V,14,FALSE()),0))</f>
        <v>68640</v>
      </c>
      <c r="N24" s="49">
        <f>IF('① Timelog Input'!B24="","",IFERROR(VLOOKUP(B24,'② Salary Input'!A:V,10,FALSE()),0))</f>
        <v>38240</v>
      </c>
      <c r="O24" s="49">
        <f>IF('① Timelog Input'!B24="","",IF(AND(D24="Remote",N24&gt;0),N24,IF(K24=0,0,M24/K24)))</f>
        <v>38240</v>
      </c>
      <c r="P24" s="49">
        <f>IF(OR('① Timelog Input'!B24="",J24=0),"",M24/J24)</f>
        <v>1067.9943986307765</v>
      </c>
      <c r="Q24" s="46" t="str">
        <f>IF('① Timelog Input'!B24="","",'① Timelog Input'!L24)</f>
        <v>100%</v>
      </c>
      <c r="R24" s="46" t="str">
        <f>IF('① Timelog Input'!B24="","",IF(NOT(ISNUMBER(L24)),"No Data",IF(L24&gt;=Settings!B13,"HIGH",IF(L24&gt;=Settings!B14,"MEDIUM","LOW"))))</f>
        <v>LOW</v>
      </c>
    </row>
    <row r="25" spans="1:18" ht="15" customHeight="1" x14ac:dyDescent="0.2">
      <c r="A25" s="46">
        <f>IF('① Timelog Input'!B25="","",ROW()-3)</f>
        <v>22</v>
      </c>
      <c r="B25" s="46" t="str">
        <f>IF('① Timelog Input'!B25="","",'① Timelog Input'!C25)</f>
        <v>CAS-IH_1056</v>
      </c>
      <c r="C25" s="46" t="str">
        <f>IF('① Timelog Input'!B25="","",'① Timelog Input'!B25)</f>
        <v>Preety</v>
      </c>
      <c r="D25" s="46" t="str">
        <f>IF('① Timelog Input'!B25="","",'① Timelog Input'!F25)</f>
        <v>In-house</v>
      </c>
      <c r="E25" s="46" t="str">
        <f>IF('① Timelog Input'!B25="","",'① Timelog Input'!G25)</f>
        <v>Team Lead</v>
      </c>
      <c r="F25" s="46" t="str">
        <f>IF('① Timelog Input'!B25="","",'① Timelog Input'!H25)</f>
        <v>Accounting, Business Tax</v>
      </c>
      <c r="G25" s="46" t="str">
        <f>IF('① Timelog Input'!B25="","",'① Timelog Input'!E25)</f>
        <v>Nikita Shah</v>
      </c>
      <c r="H25" s="46" t="str">
        <f>IF('① Timelog Input'!B25="","",'① Timelog Input'!D25)</f>
        <v>Nikita Shah</v>
      </c>
      <c r="I25" s="47">
        <f>IF('① Timelog Input'!B25="","",IF(ISNUMBER('① Timelog Input'!I25),'① Timelog Input'!I25,0))</f>
        <v>81</v>
      </c>
      <c r="J25" s="46">
        <f>IF('① Timelog Input'!B25="","",IF(ISNUMBER('① Timelog Input'!J25),'① Timelog Input'!J25,0))</f>
        <v>81</v>
      </c>
      <c r="K25" s="46">
        <f>IF('① Timelog Input'!B25="","",Settings!B6)</f>
        <v>160</v>
      </c>
      <c r="L25" s="48">
        <f>IF(OR('① Timelog Input'!B25="",K25=0),"",J25/K25)</f>
        <v>0.50624999999999998</v>
      </c>
      <c r="M25" s="49">
        <f>IF('① Timelog Input'!B25="","",IFERROR(VLOOKUP(B25,'② Salary Input'!A:V,14,FALSE()),0))</f>
        <v>100000</v>
      </c>
      <c r="N25" s="49">
        <f>IF('① Timelog Input'!B25="","",IFERROR(VLOOKUP(B25,'② Salary Input'!A:V,10,FALSE()),0))</f>
        <v>0</v>
      </c>
      <c r="O25" s="49">
        <f>IF('① Timelog Input'!B25="","",IF(AND(D25="Remote",N25&gt;0),N25,IF(K25=0,0,M25/K25)))</f>
        <v>625</v>
      </c>
      <c r="P25" s="49">
        <f>IF(OR('① Timelog Input'!B25="",J25=0),"",M25/J25)</f>
        <v>1234.5679012345679</v>
      </c>
      <c r="Q25" s="46" t="str">
        <f>IF('① Timelog Input'!B25="","",'① Timelog Input'!L25)</f>
        <v>100%</v>
      </c>
      <c r="R25" s="46" t="str">
        <f>IF('① Timelog Input'!B25="","",IF(NOT(ISNUMBER(L25)),"No Data",IF(L25&gt;=Settings!B13,"HIGH",IF(L25&gt;=Settings!B14,"MEDIUM","LOW"))))</f>
        <v>LOW</v>
      </c>
    </row>
    <row r="26" spans="1:18" ht="15" customHeight="1" x14ac:dyDescent="0.2">
      <c r="A26" s="46">
        <f>IF('① Timelog Input'!B26="","",ROW()-3)</f>
        <v>23</v>
      </c>
      <c r="B26" s="46" t="str">
        <f>IF('① Timelog Input'!B26="","",'① Timelog Input'!C26)</f>
        <v>CAS-RT_2063</v>
      </c>
      <c r="C26" s="46" t="str">
        <f>IF('① Timelog Input'!B26="","",'① Timelog Input'!B26)</f>
        <v>Urvashi</v>
      </c>
      <c r="D26" s="46" t="str">
        <f>IF('① Timelog Input'!B26="","",'① Timelog Input'!F26)</f>
        <v>Remote</v>
      </c>
      <c r="E26" s="46" t="str">
        <f>IF('① Timelog Input'!B26="","",'① Timelog Input'!G26)</f>
        <v>Associate</v>
      </c>
      <c r="F26" s="46" t="str">
        <f>IF('① Timelog Input'!B26="","",'① Timelog Input'!H26)</f>
        <v>Accounting</v>
      </c>
      <c r="G26" s="46" t="str">
        <f>IF('① Timelog Input'!B26="","",'① Timelog Input'!E26)</f>
        <v>Nikita Shah</v>
      </c>
      <c r="H26" s="46" t="str">
        <f>IF('① Timelog Input'!B26="","",'① Timelog Input'!D26)</f>
        <v>Pinky</v>
      </c>
      <c r="I26" s="47">
        <f>IF('① Timelog Input'!B26="","",IF(ISNUMBER('① Timelog Input'!I26),'① Timelog Input'!I26,0))</f>
        <v>104.09</v>
      </c>
      <c r="J26" s="46">
        <f>IF('① Timelog Input'!B26="","",IF(ISNUMBER('① Timelog Input'!J26),'① Timelog Input'!J26,0))</f>
        <v>104.09</v>
      </c>
      <c r="K26" s="46">
        <f>IF('① Timelog Input'!B26="","",Settings!B6)</f>
        <v>160</v>
      </c>
      <c r="L26" s="48">
        <f>IF(OR('① Timelog Input'!B26="",K26=0),"",J26/K26)</f>
        <v>0.65056250000000004</v>
      </c>
      <c r="M26" s="49">
        <f>IF('① Timelog Input'!B26="","",IFERROR(VLOOKUP(B26,'② Salary Input'!A:V,14,FALSE()),0))</f>
        <v>25375</v>
      </c>
      <c r="N26" s="49">
        <f>IF('① Timelog Input'!B26="","",IFERROR(VLOOKUP(B26,'② Salary Input'!A:V,10,FALSE()),0))</f>
        <v>25125</v>
      </c>
      <c r="O26" s="49">
        <f>IF('① Timelog Input'!B26="","",IF(AND(D26="Remote",N26&gt;0),N26,IF(K26=0,0,M26/K26)))</f>
        <v>25125</v>
      </c>
      <c r="P26" s="49">
        <f>IF(OR('① Timelog Input'!B26="",J26=0),"",M26/J26)</f>
        <v>243.7794216543376</v>
      </c>
      <c r="Q26" s="46" t="str">
        <f>IF('① Timelog Input'!B26="","",'① Timelog Input'!L26)</f>
        <v>100%</v>
      </c>
      <c r="R26" s="46" t="str">
        <f>IF('① Timelog Input'!B26="","",IF(NOT(ISNUMBER(L26)),"No Data",IF(L26&gt;=Settings!B13,"HIGH",IF(L26&gt;=Settings!B14,"MEDIUM","LOW"))))</f>
        <v>MEDIUM</v>
      </c>
    </row>
    <row r="27" spans="1:18" ht="15" customHeight="1" x14ac:dyDescent="0.2">
      <c r="A27" s="46">
        <f>IF('① Timelog Input'!B27="","",ROW()-3)</f>
        <v>24</v>
      </c>
      <c r="B27" s="46" t="str">
        <f>IF('① Timelog Input'!B27="","",'① Timelog Input'!C27)</f>
        <v>CAS-IH_1046</v>
      </c>
      <c r="C27" s="46" t="str">
        <f>IF('① Timelog Input'!B27="","",'① Timelog Input'!B27)</f>
        <v>Melita</v>
      </c>
      <c r="D27" s="46" t="str">
        <f>IF('① Timelog Input'!B27="","",'① Timelog Input'!F27)</f>
        <v>In-house</v>
      </c>
      <c r="E27" s="46" t="str">
        <f>IF('① Timelog Input'!B27="","",'① Timelog Input'!G27)</f>
        <v>Team Lead</v>
      </c>
      <c r="F27" s="46" t="str">
        <f>IF('① Timelog Input'!B27="","",'① Timelog Input'!H27)</f>
        <v>Individual Tax</v>
      </c>
      <c r="G27" s="46" t="str">
        <f>IF('① Timelog Input'!B27="","",'① Timelog Input'!E27)</f>
        <v>Smriti Shah</v>
      </c>
      <c r="H27" s="46" t="str">
        <f>IF('① Timelog Input'!B27="","",'① Timelog Input'!D27)</f>
        <v>Smriti Shah</v>
      </c>
      <c r="I27" s="47">
        <f>IF('① Timelog Input'!B27="","",IF(ISNUMBER('① Timelog Input'!I27),'① Timelog Input'!I27,0))</f>
        <v>178.09</v>
      </c>
      <c r="J27" s="46">
        <f>IF('① Timelog Input'!B27="","",IF(ISNUMBER('① Timelog Input'!J27),'① Timelog Input'!J27,0))</f>
        <v>178.09</v>
      </c>
      <c r="K27" s="46">
        <f>IF('① Timelog Input'!B27="","",Settings!B6)</f>
        <v>160</v>
      </c>
      <c r="L27" s="48">
        <f>IF(OR('① Timelog Input'!B27="",K27=0),"",J27/K27)</f>
        <v>1.1130625000000001</v>
      </c>
      <c r="M27" s="49">
        <f>IF('① Timelog Input'!B27="","",IFERROR(VLOOKUP(B27,'② Salary Input'!A:V,14,FALSE()),0))</f>
        <v>135000</v>
      </c>
      <c r="N27" s="49">
        <f>IF('① Timelog Input'!B27="","",IFERROR(VLOOKUP(B27,'② Salary Input'!A:V,10,FALSE()),0))</f>
        <v>0</v>
      </c>
      <c r="O27" s="49">
        <f>IF('① Timelog Input'!B27="","",IF(AND(D27="Remote",N27&gt;0),N27,IF(K27=0,0,M27/K27)))</f>
        <v>843.75</v>
      </c>
      <c r="P27" s="49">
        <f>IF(OR('① Timelog Input'!B27="",J27=0),"",M27/J27)</f>
        <v>758.04368577685443</v>
      </c>
      <c r="Q27" s="46" t="str">
        <f>IF('① Timelog Input'!B27="","",'① Timelog Input'!L27)</f>
        <v>100%</v>
      </c>
      <c r="R27" s="46" t="str">
        <f>IF('① Timelog Input'!B27="","",IF(NOT(ISNUMBER(L27)),"No Data",IF(L27&gt;=Settings!B13,"HIGH",IF(L27&gt;=Settings!B14,"MEDIUM","LOW"))))</f>
        <v>HIGH</v>
      </c>
    </row>
    <row r="28" spans="1:18" ht="15" customHeight="1" x14ac:dyDescent="0.2">
      <c r="A28" s="46">
        <f>IF('① Timelog Input'!B28="","",ROW()-3)</f>
        <v>25</v>
      </c>
      <c r="B28" s="46" t="str">
        <f>IF('① Timelog Input'!B28="","",'① Timelog Input'!C28)</f>
        <v>CAS-RR_2077</v>
      </c>
      <c r="C28" s="46" t="str">
        <f>IF('① Timelog Input'!B28="","",'① Timelog Input'!B28)</f>
        <v>Bhawna</v>
      </c>
      <c r="D28" s="46" t="str">
        <f>IF('① Timelog Input'!B28="","",'① Timelog Input'!F28)</f>
        <v>Retainer</v>
      </c>
      <c r="E28" s="46" t="str">
        <f>IF('① Timelog Input'!B28="","",'① Timelog Input'!G28)</f>
        <v>Manager</v>
      </c>
      <c r="F28" s="46" t="str">
        <f>IF('① Timelog Input'!B28="","",'① Timelog Input'!H28)</f>
        <v>Accounting</v>
      </c>
      <c r="G28" s="46" t="str">
        <f>IF('① Timelog Input'!B28="","",'① Timelog Input'!E28)</f>
        <v>Jyoti</v>
      </c>
      <c r="H28" s="46" t="str">
        <f>IF('① Timelog Input'!B28="","",'① Timelog Input'!D28)</f>
        <v>Jyoti</v>
      </c>
      <c r="I28" s="47">
        <f>IF('① Timelog Input'!B28="","",IF(ISNUMBER('① Timelog Input'!I28),'① Timelog Input'!I28,0))</f>
        <v>189.58</v>
      </c>
      <c r="J28" s="46">
        <f>IF('① Timelog Input'!B28="","",IF(ISNUMBER('① Timelog Input'!J28),'① Timelog Input'!J28,0))</f>
        <v>189.58</v>
      </c>
      <c r="K28" s="46">
        <f>IF('① Timelog Input'!B28="","",Settings!B6)</f>
        <v>160</v>
      </c>
      <c r="L28" s="48">
        <f>IF(OR('① Timelog Input'!B28="",K28=0),"",J28/K28)</f>
        <v>1.1848750000000001</v>
      </c>
      <c r="M28" s="49">
        <f>IF('① Timelog Input'!B28="","",IFERROR(VLOOKUP(B28,'② Salary Input'!A:V,14,FALSE()),0))</f>
        <v>120000</v>
      </c>
      <c r="N28" s="49">
        <f>IF('① Timelog Input'!B28="","",IFERROR(VLOOKUP(B28,'② Salary Input'!A:V,10,FALSE()),0))</f>
        <v>0</v>
      </c>
      <c r="O28" s="49">
        <f>IF('① Timelog Input'!B28="","",IF(AND(D28="Remote",N28&gt;0),N28,IF(K28=0,0,M28/K28)))</f>
        <v>750</v>
      </c>
      <c r="P28" s="49">
        <f>IF(OR('① Timelog Input'!B28="",J28=0),"",M28/J28)</f>
        <v>632.97816225340216</v>
      </c>
      <c r="Q28" s="46" t="str">
        <f>IF('① Timelog Input'!B28="","",'① Timelog Input'!L28)</f>
        <v>100%</v>
      </c>
      <c r="R28" s="46" t="str">
        <f>IF('① Timelog Input'!B28="","",IF(NOT(ISNUMBER(L28)),"No Data",IF(L28&gt;=Settings!B13,"HIGH",IF(L28&gt;=Settings!B14,"MEDIUM","LOW"))))</f>
        <v>HIGH</v>
      </c>
    </row>
    <row r="29" spans="1:18" ht="15" customHeight="1" x14ac:dyDescent="0.2">
      <c r="A29" s="46">
        <f>IF('① Timelog Input'!B29="","",ROW()-3)</f>
        <v>26</v>
      </c>
      <c r="B29" s="46" t="str">
        <f>IF('① Timelog Input'!B29="","",'① Timelog Input'!C29)</f>
        <v>CAS-RT_2078</v>
      </c>
      <c r="C29" s="46" t="str">
        <f>IF('① Timelog Input'!B29="","",'① Timelog Input'!B29)</f>
        <v>Anand</v>
      </c>
      <c r="D29" s="46" t="str">
        <f>IF('① Timelog Input'!B29="","",'① Timelog Input'!F29)</f>
        <v>Remote</v>
      </c>
      <c r="E29" s="46" t="str">
        <f>IF('① Timelog Input'!B29="","",'① Timelog Input'!G29)</f>
        <v>Associate</v>
      </c>
      <c r="F29" s="46" t="str">
        <f>IF('① Timelog Input'!B29="","",'① Timelog Input'!H29)</f>
        <v>Accounting</v>
      </c>
      <c r="G29" s="46" t="str">
        <f>IF('① Timelog Input'!B29="","",'① Timelog Input'!E29)</f>
        <v>Nikita Shah</v>
      </c>
      <c r="H29" s="46" t="str">
        <f>IF('① Timelog Input'!B29="","",'① Timelog Input'!D29)</f>
        <v>Nikita Shah</v>
      </c>
      <c r="I29" s="47">
        <f>IF('① Timelog Input'!B29="","",IF(ISNUMBER('① Timelog Input'!I29),'① Timelog Input'!I29,0))</f>
        <v>159.38</v>
      </c>
      <c r="J29" s="46">
        <f>IF('① Timelog Input'!B29="","",IF(ISNUMBER('① Timelog Input'!J29),'① Timelog Input'!J29,0))</f>
        <v>159.38</v>
      </c>
      <c r="K29" s="46">
        <f>IF('① Timelog Input'!B29="","",Settings!B6)</f>
        <v>160</v>
      </c>
      <c r="L29" s="48">
        <f>IF(OR('① Timelog Input'!B29="",K29=0),"",J29/K29)</f>
        <v>0.99612499999999993</v>
      </c>
      <c r="M29" s="49">
        <f>IF('① Timelog Input'!B29="","",IFERROR(VLOOKUP(B29,'② Salary Input'!A:V,14,FALSE()),0))</f>
        <v>43829</v>
      </c>
      <c r="N29" s="49">
        <f>IF('① Timelog Input'!B29="","",IFERROR(VLOOKUP(B29,'② Salary Input'!A:V,10,FALSE()),0))</f>
        <v>38579</v>
      </c>
      <c r="O29" s="49">
        <f>IF('① Timelog Input'!B29="","",IF(AND(D29="Remote",N29&gt;0),N29,IF(K29=0,0,M29/K29)))</f>
        <v>38579</v>
      </c>
      <c r="P29" s="49">
        <f>IF(OR('① Timelog Input'!B29="",J29=0),"",M29/J29)</f>
        <v>274.99686284351867</v>
      </c>
      <c r="Q29" s="46" t="str">
        <f>IF('① Timelog Input'!B29="","",'① Timelog Input'!L29)</f>
        <v>100%</v>
      </c>
      <c r="R29" s="46" t="str">
        <f>IF('① Timelog Input'!B29="","",IF(NOT(ISNUMBER(L29)),"No Data",IF(L29&gt;=Settings!B13,"HIGH",IF(L29&gt;=Settings!B14,"MEDIUM","LOW"))))</f>
        <v>HIGH</v>
      </c>
    </row>
    <row r="30" spans="1:18" ht="15" customHeight="1" x14ac:dyDescent="0.2">
      <c r="A30" s="46">
        <f>IF('① Timelog Input'!B30="","",ROW()-3)</f>
        <v>27</v>
      </c>
      <c r="B30" s="46" t="str">
        <f>IF('① Timelog Input'!B30="","",'① Timelog Input'!C30)</f>
        <v>CAS-RT_2102</v>
      </c>
      <c r="C30" s="46" t="str">
        <f>IF('① Timelog Input'!B30="","",'① Timelog Input'!B30)</f>
        <v>Shivani</v>
      </c>
      <c r="D30" s="46" t="str">
        <f>IF('① Timelog Input'!B30="","",'① Timelog Input'!F30)</f>
        <v>Remote</v>
      </c>
      <c r="E30" s="46" t="str">
        <f>IF('① Timelog Input'!B30="","",'① Timelog Input'!G30)</f>
        <v>Associate</v>
      </c>
      <c r="F30" s="46" t="str">
        <f>IF('① Timelog Input'!B30="","",'① Timelog Input'!H30)</f>
        <v>Accounting</v>
      </c>
      <c r="G30" s="46" t="str">
        <f>IF('① Timelog Input'!B30="","",'① Timelog Input'!E30)</f>
        <v>Nikita Shah</v>
      </c>
      <c r="H30" s="46" t="str">
        <f>IF('① Timelog Input'!B30="","",'① Timelog Input'!D30)</f>
        <v>Preety</v>
      </c>
      <c r="I30" s="47">
        <f>IF('① Timelog Input'!B30="","",IF(ISNUMBER('① Timelog Input'!I30),'① Timelog Input'!I30,0))</f>
        <v>55.11</v>
      </c>
      <c r="J30" s="46">
        <f>IF('① Timelog Input'!B30="","",IF(ISNUMBER('① Timelog Input'!J30),'① Timelog Input'!J30,0))</f>
        <v>55.11</v>
      </c>
      <c r="K30" s="46">
        <f>IF('① Timelog Input'!B30="","",Settings!B6)</f>
        <v>160</v>
      </c>
      <c r="L30" s="48">
        <f>IF(OR('① Timelog Input'!B30="",K30=0),"",J30/K30)</f>
        <v>0.34443750000000001</v>
      </c>
      <c r="M30" s="49">
        <f>IF('① Timelog Input'!B30="","",IFERROR(VLOOKUP(B30,'② Salary Input'!A:V,14,FALSE()),0))</f>
        <v>8380</v>
      </c>
      <c r="N30" s="49">
        <f>IF('① Timelog Input'!B30="","",IFERROR(VLOOKUP(B30,'② Salary Input'!A:V,10,FALSE()),0))</f>
        <v>8230</v>
      </c>
      <c r="O30" s="49">
        <f>IF('① Timelog Input'!B30="","",IF(AND(D30="Remote",N30&gt;0),N30,IF(K30=0,0,M30/K30)))</f>
        <v>8230</v>
      </c>
      <c r="P30" s="49">
        <f>IF(OR('① Timelog Input'!B30="",J30=0),"",M30/J30)</f>
        <v>152.05951732897842</v>
      </c>
      <c r="Q30" s="46" t="str">
        <f>IF('① Timelog Input'!B30="","",'① Timelog Input'!L30)</f>
        <v>100%</v>
      </c>
      <c r="R30" s="46" t="str">
        <f>IF('① Timelog Input'!B30="","",IF(NOT(ISNUMBER(L30)),"No Data",IF(L30&gt;=Settings!B13,"HIGH",IF(L30&gt;=Settings!B14,"MEDIUM","LOW"))))</f>
        <v>LOW</v>
      </c>
    </row>
    <row r="31" spans="1:18" ht="15" customHeight="1" x14ac:dyDescent="0.2">
      <c r="A31" s="46">
        <f>IF('① Timelog Input'!B31="","",ROW()-3)</f>
        <v>28</v>
      </c>
      <c r="B31" s="46" t="str">
        <f>IF('① Timelog Input'!B31="","",'① Timelog Input'!C31)</f>
        <v>CAS-RT_2108</v>
      </c>
      <c r="C31" s="46" t="str">
        <f>IF('① Timelog Input'!B31="","",'① Timelog Input'!B31)</f>
        <v>Sreeja</v>
      </c>
      <c r="D31" s="46" t="str">
        <f>IF('① Timelog Input'!B31="","",'① Timelog Input'!F31)</f>
        <v>Remote</v>
      </c>
      <c r="E31" s="46" t="str">
        <f>IF('① Timelog Input'!B31="","",'① Timelog Input'!G31)</f>
        <v>Manager</v>
      </c>
      <c r="F31" s="46" t="str">
        <f>IF('① Timelog Input'!B31="","",'① Timelog Input'!H31)</f>
        <v>Accounting</v>
      </c>
      <c r="G31" s="46" t="str">
        <f>IF('① Timelog Input'!B31="","",'① Timelog Input'!E31)</f>
        <v>Nikita Shah</v>
      </c>
      <c r="H31" s="46" t="str">
        <f>IF('① Timelog Input'!B31="","",'① Timelog Input'!D31)</f>
        <v>Pinky</v>
      </c>
      <c r="I31" s="47">
        <f>IF('① Timelog Input'!B31="","",IF(ISNUMBER('① Timelog Input'!I31),'① Timelog Input'!I31,0))</f>
        <v>90.58</v>
      </c>
      <c r="J31" s="46">
        <f>IF('① Timelog Input'!B31="","",IF(ISNUMBER('① Timelog Input'!J31),'① Timelog Input'!J31,0))</f>
        <v>90.58</v>
      </c>
      <c r="K31" s="46">
        <f>IF('① Timelog Input'!B31="","",Settings!B6)</f>
        <v>160</v>
      </c>
      <c r="L31" s="48">
        <f>IF(OR('① Timelog Input'!B31="",K31=0),"",J31/K31)</f>
        <v>0.56612499999999999</v>
      </c>
      <c r="M31" s="49">
        <f>IF('① Timelog Input'!B31="","",IFERROR(VLOOKUP(B31,'② Salary Input'!A:V,14,FALSE()),0))</f>
        <v>36890</v>
      </c>
      <c r="N31" s="49">
        <f>IF('① Timelog Input'!B31="","",IFERROR(VLOOKUP(B31,'② Salary Input'!A:V,10,FALSE()),0))</f>
        <v>36540</v>
      </c>
      <c r="O31" s="49">
        <f>IF('① Timelog Input'!B31="","",IF(AND(D31="Remote",N31&gt;0),N31,IF(K31=0,0,M31/K31)))</f>
        <v>36540</v>
      </c>
      <c r="P31" s="49">
        <f>IF(OR('① Timelog Input'!B31="",J31=0),"",M31/J31)</f>
        <v>407.26429675425038</v>
      </c>
      <c r="Q31" s="46" t="str">
        <f>IF('① Timelog Input'!B31="","",'① Timelog Input'!L31)</f>
        <v>100%</v>
      </c>
      <c r="R31" s="46" t="str">
        <f>IF('① Timelog Input'!B31="","",IF(NOT(ISNUMBER(L31)),"No Data",IF(L31&gt;=Settings!B13,"HIGH",IF(L31&gt;=Settings!B14,"MEDIUM","LOW"))))</f>
        <v>LOW</v>
      </c>
    </row>
    <row r="32" spans="1:18" ht="15" customHeight="1" x14ac:dyDescent="0.2">
      <c r="A32" s="46">
        <f>IF('① Timelog Input'!B32="","",ROW()-3)</f>
        <v>29</v>
      </c>
      <c r="B32" s="46" t="str">
        <f>IF('① Timelog Input'!B32="","",'① Timelog Input'!C32)</f>
        <v>CAS-RT_2113</v>
      </c>
      <c r="C32" s="46" t="str">
        <f>IF('① Timelog Input'!B32="","",'① Timelog Input'!B32)</f>
        <v>Divya.M</v>
      </c>
      <c r="D32" s="46" t="str">
        <f>IF('① Timelog Input'!B32="","",'① Timelog Input'!F32)</f>
        <v>Remote</v>
      </c>
      <c r="E32" s="46" t="str">
        <f>IF('① Timelog Input'!B32="","",'① Timelog Input'!G32)</f>
        <v>Manager</v>
      </c>
      <c r="F32" s="46" t="str">
        <f>IF('① Timelog Input'!B32="","",'① Timelog Input'!H32)</f>
        <v>Accounting</v>
      </c>
      <c r="G32" s="46" t="str">
        <f>IF('① Timelog Input'!B32="","",'① Timelog Input'!E32)</f>
        <v>Nikita Shah</v>
      </c>
      <c r="H32" s="46" t="str">
        <f>IF('① Timelog Input'!B32="","",'① Timelog Input'!D32)</f>
        <v>Preety</v>
      </c>
      <c r="I32" s="47">
        <f>IF('① Timelog Input'!B32="","",IF(ISNUMBER('① Timelog Input'!I32),'① Timelog Input'!I32,0))</f>
        <v>82.67</v>
      </c>
      <c r="J32" s="46">
        <f>IF('① Timelog Input'!B32="","",IF(ISNUMBER('① Timelog Input'!J32),'① Timelog Input'!J32,0))</f>
        <v>82.67</v>
      </c>
      <c r="K32" s="46">
        <f>IF('① Timelog Input'!B32="","",Settings!B6)</f>
        <v>160</v>
      </c>
      <c r="L32" s="48">
        <f>IF(OR('① Timelog Input'!B32="",K32=0),"",J32/K32)</f>
        <v>0.51668749999999997</v>
      </c>
      <c r="M32" s="49">
        <f>IF('① Timelog Input'!B32="","",IFERROR(VLOOKUP(B32,'② Salary Input'!A:V,14,FALSE()),0))</f>
        <v>34300</v>
      </c>
      <c r="N32" s="49">
        <f>IF('① Timelog Input'!B32="","",IFERROR(VLOOKUP(B32,'② Salary Input'!A:V,10,FALSE()),0))</f>
        <v>33950</v>
      </c>
      <c r="O32" s="49">
        <f>IF('① Timelog Input'!B32="","",IF(AND(D32="Remote",N32&gt;0),N32,IF(K32=0,0,M32/K32)))</f>
        <v>33950</v>
      </c>
      <c r="P32" s="49">
        <f>IF(OR('① Timelog Input'!B32="",J32=0),"",M32/J32)</f>
        <v>414.9026248941575</v>
      </c>
      <c r="Q32" s="46" t="str">
        <f>IF('① Timelog Input'!B32="","",'① Timelog Input'!L32)</f>
        <v>100%</v>
      </c>
      <c r="R32" s="46" t="str">
        <f>IF('① Timelog Input'!B32="","",IF(NOT(ISNUMBER(L32)),"No Data",IF(L32&gt;=Settings!B13,"HIGH",IF(L32&gt;=Settings!B14,"MEDIUM","LOW"))))</f>
        <v>LOW</v>
      </c>
    </row>
    <row r="33" spans="1:18" ht="15" customHeight="1" x14ac:dyDescent="0.2">
      <c r="A33" s="46">
        <f>IF('① Timelog Input'!B33="","",ROW()-3)</f>
        <v>30</v>
      </c>
      <c r="B33" s="46" t="str">
        <f>IF('① Timelog Input'!B33="","",'① Timelog Input'!C33)</f>
        <v>CAS-IH_1102</v>
      </c>
      <c r="C33" s="46" t="str">
        <f>IF('① Timelog Input'!B33="","",'① Timelog Input'!B33)</f>
        <v>Kritika</v>
      </c>
      <c r="D33" s="46" t="str">
        <f>IF('① Timelog Input'!B33="","",'① Timelog Input'!F33)</f>
        <v>In-house</v>
      </c>
      <c r="E33" s="46" t="str">
        <f>IF('① Timelog Input'!B33="","",'① Timelog Input'!G33)</f>
        <v>Manager</v>
      </c>
      <c r="F33" s="46" t="str">
        <f>IF('① Timelog Input'!B33="","",'① Timelog Input'!H33)</f>
        <v>FP&amp;A</v>
      </c>
      <c r="G33" s="46" t="str">
        <f>IF('① Timelog Input'!B33="","",'① Timelog Input'!E33)</f>
        <v>Sachi Mazumdar</v>
      </c>
      <c r="H33" s="46" t="str">
        <f>IF('① Timelog Input'!B33="","",'① Timelog Input'!D33)</f>
        <v>Sachi Mazumdar</v>
      </c>
      <c r="I33" s="47">
        <f>IF('① Timelog Input'!B33="","",IF(ISNUMBER('① Timelog Input'!I33),'① Timelog Input'!I33,0))</f>
        <v>163</v>
      </c>
      <c r="J33" s="46">
        <f>IF('① Timelog Input'!B33="","",IF(ISNUMBER('① Timelog Input'!J33),'① Timelog Input'!J33,0))</f>
        <v>139</v>
      </c>
      <c r="K33" s="46">
        <f>IF('① Timelog Input'!B33="","",Settings!B6)</f>
        <v>160</v>
      </c>
      <c r="L33" s="48">
        <f>IF(OR('① Timelog Input'!B33="",K33=0),"",J33/K33)</f>
        <v>0.86875000000000002</v>
      </c>
      <c r="M33" s="49">
        <f>IF('① Timelog Input'!B33="","",IFERROR(VLOOKUP(B33,'② Salary Input'!A:V,14,FALSE()),0))</f>
        <v>158334</v>
      </c>
      <c r="N33" s="49">
        <f>IF('① Timelog Input'!B33="","",IFERROR(VLOOKUP(B33,'② Salary Input'!A:V,10,FALSE()),0))</f>
        <v>0</v>
      </c>
      <c r="O33" s="49">
        <f>IF('① Timelog Input'!B33="","",IF(AND(D33="Remote",N33&gt;0),N33,IF(K33=0,0,M33/K33)))</f>
        <v>989.58749999999998</v>
      </c>
      <c r="P33" s="49">
        <f>IF(OR('① Timelog Input'!B33="",J33=0),"",M33/J33)</f>
        <v>1139.0935251798562</v>
      </c>
      <c r="Q33" s="46" t="str">
        <f>IF('① Timelog Input'!B33="","",'① Timelog Input'!L33)</f>
        <v>85.28%</v>
      </c>
      <c r="R33" s="46" t="str">
        <f>IF('① Timelog Input'!B33="","",IF(NOT(ISNUMBER(L33)),"No Data",IF(L33&gt;=Settings!B13,"HIGH",IF(L33&gt;=Settings!B14,"MEDIUM","LOW"))))</f>
        <v>HIGH</v>
      </c>
    </row>
    <row r="34" spans="1:18" ht="15" customHeight="1" x14ac:dyDescent="0.2">
      <c r="A34" s="46">
        <f>IF('① Timelog Input'!B34="","",ROW()-3)</f>
        <v>31</v>
      </c>
      <c r="B34" s="46" t="str">
        <f>IF('① Timelog Input'!B34="","",'① Timelog Input'!C34)</f>
        <v>CAS-IH_1061</v>
      </c>
      <c r="C34" s="46" t="str">
        <f>IF('① Timelog Input'!B34="","",'① Timelog Input'!B34)</f>
        <v>Abhilash</v>
      </c>
      <c r="D34" s="46" t="str">
        <f>IF('① Timelog Input'!B34="","",'① Timelog Input'!F34)</f>
        <v>In-house</v>
      </c>
      <c r="E34" s="46" t="str">
        <f>IF('① Timelog Input'!B34="","",'① Timelog Input'!G34)</f>
        <v>Sr. Associate</v>
      </c>
      <c r="F34" s="46" t="str">
        <f>IF('① Timelog Input'!B34="","",'① Timelog Input'!H34)</f>
        <v>Individual Tax</v>
      </c>
      <c r="G34" s="46" t="str">
        <f>IF('① Timelog Input'!B34="","",'① Timelog Input'!E34)</f>
        <v>Smriti Shah</v>
      </c>
      <c r="H34" s="46" t="str">
        <f>IF('① Timelog Input'!B34="","",'① Timelog Input'!D34)</f>
        <v>Smriti Shah</v>
      </c>
      <c r="I34" s="47">
        <f>IF('① Timelog Input'!B34="","",IF(ISNUMBER('① Timelog Input'!I34),'① Timelog Input'!I34,0))</f>
        <v>99.34</v>
      </c>
      <c r="J34" s="46">
        <f>IF('① Timelog Input'!B34="","",IF(ISNUMBER('① Timelog Input'!J34),'① Timelog Input'!J34,0))</f>
        <v>99.34</v>
      </c>
      <c r="K34" s="46">
        <f>IF('① Timelog Input'!B34="","",Settings!B6)</f>
        <v>160</v>
      </c>
      <c r="L34" s="48">
        <f>IF(OR('① Timelog Input'!B34="",K34=0),"",J34/K34)</f>
        <v>0.62087500000000007</v>
      </c>
      <c r="M34" s="49">
        <f>IF('① Timelog Input'!B34="","",IFERROR(VLOOKUP(B34,'② Salary Input'!A:V,14,FALSE()),0))</f>
        <v>100000</v>
      </c>
      <c r="N34" s="49">
        <f>IF('① Timelog Input'!B34="","",IFERROR(VLOOKUP(B34,'② Salary Input'!A:V,10,FALSE()),0))</f>
        <v>0</v>
      </c>
      <c r="O34" s="49">
        <f>IF('① Timelog Input'!B34="","",IF(AND(D34="Remote",N34&gt;0),N34,IF(K34=0,0,M34/K34)))</f>
        <v>625</v>
      </c>
      <c r="P34" s="49">
        <f>IF(OR('① Timelog Input'!B34="",J34=0),"",M34/J34)</f>
        <v>1006.6438494060801</v>
      </c>
      <c r="Q34" s="46" t="str">
        <f>IF('① Timelog Input'!B34="","",'① Timelog Input'!L34)</f>
        <v>100%</v>
      </c>
      <c r="R34" s="46" t="str">
        <f>IF('① Timelog Input'!B34="","",IF(NOT(ISNUMBER(L34)),"No Data",IF(L34&gt;=Settings!B13,"HIGH",IF(L34&gt;=Settings!B14,"MEDIUM","LOW"))))</f>
        <v>LOW</v>
      </c>
    </row>
    <row r="35" spans="1:18" ht="15" customHeight="1" x14ac:dyDescent="0.2">
      <c r="A35" s="46">
        <f>IF('① Timelog Input'!B35="","",ROW()-3)</f>
        <v>32</v>
      </c>
      <c r="B35" s="46" t="str">
        <f>IF('① Timelog Input'!B35="","",'① Timelog Input'!C35)</f>
        <v>CAS-IH_1108</v>
      </c>
      <c r="C35" s="46" t="str">
        <f>IF('① Timelog Input'!B35="","",'① Timelog Input'!B35)</f>
        <v>Kavita</v>
      </c>
      <c r="D35" s="46" t="str">
        <f>IF('① Timelog Input'!B35="","",'① Timelog Input'!F35)</f>
        <v>In-house</v>
      </c>
      <c r="E35" s="46" t="str">
        <f>IF('① Timelog Input'!B35="","",'① Timelog Input'!G35)</f>
        <v>Manager</v>
      </c>
      <c r="F35" s="46" t="str">
        <f>IF('① Timelog Input'!B35="","",'① Timelog Input'!H35)</f>
        <v>FP&amp;A</v>
      </c>
      <c r="G35" s="46" t="str">
        <f>IF('① Timelog Input'!B35="","",'① Timelog Input'!E35)</f>
        <v>Sachi Mazumdar</v>
      </c>
      <c r="H35" s="46" t="str">
        <f>IF('① Timelog Input'!B35="","",'① Timelog Input'!D35)</f>
        <v>Sachi Mazumdar</v>
      </c>
      <c r="I35" s="47">
        <f>IF('① Timelog Input'!B35="","",IF(ISNUMBER('① Timelog Input'!I35),'① Timelog Input'!I35,0))</f>
        <v>132</v>
      </c>
      <c r="J35" s="46">
        <f>IF('① Timelog Input'!B35="","",IF(ISNUMBER('① Timelog Input'!J35),'① Timelog Input'!J35,0))</f>
        <v>132</v>
      </c>
      <c r="K35" s="46">
        <f>IF('① Timelog Input'!B35="","",Settings!B6)</f>
        <v>160</v>
      </c>
      <c r="L35" s="48">
        <f>IF(OR('① Timelog Input'!B35="",K35=0),"",J35/K35)</f>
        <v>0.82499999999999996</v>
      </c>
      <c r="M35" s="49">
        <f>IF('① Timelog Input'!B35="","",IFERROR(VLOOKUP(B35,'② Salary Input'!A:V,14,FALSE()),0))</f>
        <v>208333</v>
      </c>
      <c r="N35" s="49">
        <f>IF('① Timelog Input'!B35="","",IFERROR(VLOOKUP(B35,'② Salary Input'!A:V,10,FALSE()),0))</f>
        <v>0</v>
      </c>
      <c r="O35" s="49">
        <f>IF('① Timelog Input'!B35="","",IF(AND(D35="Remote",N35&gt;0),N35,IF(K35=0,0,M35/K35)))</f>
        <v>1302.08125</v>
      </c>
      <c r="P35" s="49">
        <f>IF(OR('① Timelog Input'!B35="",J35=0),"",M35/J35)</f>
        <v>1578.280303030303</v>
      </c>
      <c r="Q35" s="46" t="str">
        <f>IF('① Timelog Input'!B35="","",'① Timelog Input'!L35)</f>
        <v>100%</v>
      </c>
      <c r="R35" s="46" t="str">
        <f>IF('① Timelog Input'!B35="","",IF(NOT(ISNUMBER(L35)),"No Data",IF(L35&gt;=Settings!B13,"HIGH",IF(L35&gt;=Settings!B14,"MEDIUM","LOW"))))</f>
        <v>MEDIUM</v>
      </c>
    </row>
    <row r="36" spans="1:18" ht="15" customHeight="1" x14ac:dyDescent="0.2">
      <c r="A36" s="46">
        <f>IF('① Timelog Input'!B36="","",ROW()-3)</f>
        <v>33</v>
      </c>
      <c r="B36" s="46" t="str">
        <f>IF('① Timelog Input'!B36="","",'① Timelog Input'!C36)</f>
        <v>CAS-IH_1078</v>
      </c>
      <c r="C36" s="46" t="str">
        <f>IF('① Timelog Input'!B36="","",'① Timelog Input'!B36)</f>
        <v>Sakshi</v>
      </c>
      <c r="D36" s="46" t="str">
        <f>IF('① Timelog Input'!B36="","",'① Timelog Input'!F36)</f>
        <v>In-house</v>
      </c>
      <c r="E36" s="46" t="str">
        <f>IF('① Timelog Input'!B36="","",'① Timelog Input'!G36)</f>
        <v>Associate</v>
      </c>
      <c r="F36" s="46" t="str">
        <f>IF('① Timelog Input'!B36="","",'① Timelog Input'!H36)</f>
        <v>Accounting</v>
      </c>
      <c r="G36" s="46" t="str">
        <f>IF('① Timelog Input'!B36="","",'① Timelog Input'!E36)</f>
        <v>Nikita Shah</v>
      </c>
      <c r="H36" s="46" t="str">
        <f>IF('① Timelog Input'!B36="","",'① Timelog Input'!D36)</f>
        <v>Nikita Shah</v>
      </c>
      <c r="I36" s="47">
        <f>IF('① Timelog Input'!B36="","",IF(ISNUMBER('① Timelog Input'!I36),'① Timelog Input'!I36,0))</f>
        <v>114.48</v>
      </c>
      <c r="J36" s="46">
        <f>IF('① Timelog Input'!B36="","",IF(ISNUMBER('① Timelog Input'!J36),'① Timelog Input'!J36,0))</f>
        <v>114.48</v>
      </c>
      <c r="K36" s="46">
        <f>IF('① Timelog Input'!B36="","",Settings!B6)</f>
        <v>160</v>
      </c>
      <c r="L36" s="48">
        <f>IF(OR('① Timelog Input'!B36="",K36=0),"",J36/K36)</f>
        <v>0.71550000000000002</v>
      </c>
      <c r="M36" s="49">
        <f>IF('① Timelog Input'!B36="","",IFERROR(VLOOKUP(B36,'② Salary Input'!A:V,14,FALSE()),0))</f>
        <v>55000</v>
      </c>
      <c r="N36" s="49">
        <f>IF('① Timelog Input'!B36="","",IFERROR(VLOOKUP(B36,'② Salary Input'!A:V,10,FALSE()),0))</f>
        <v>0</v>
      </c>
      <c r="O36" s="49">
        <f>IF('① Timelog Input'!B36="","",IF(AND(D36="Remote",N36&gt;0),N36,IF(K36=0,0,M36/K36)))</f>
        <v>343.75</v>
      </c>
      <c r="P36" s="49">
        <f>IF(OR('① Timelog Input'!B36="",J36=0),"",M36/J36)</f>
        <v>480.43326345213137</v>
      </c>
      <c r="Q36" s="46" t="str">
        <f>IF('① Timelog Input'!B36="","",'① Timelog Input'!L36)</f>
        <v>100%</v>
      </c>
      <c r="R36" s="46" t="str">
        <f>IF('① Timelog Input'!B36="","",IF(NOT(ISNUMBER(L36)),"No Data",IF(L36&gt;=Settings!B13,"HIGH",IF(L36&gt;=Settings!B14,"MEDIUM","LOW"))))</f>
        <v>MEDIUM</v>
      </c>
    </row>
    <row r="37" spans="1:18" ht="15" customHeight="1" x14ac:dyDescent="0.2">
      <c r="A37" s="46">
        <f>IF('① Timelog Input'!B37="","",ROW()-3)</f>
        <v>34</v>
      </c>
      <c r="B37" s="46" t="str">
        <f>IF('① Timelog Input'!B37="","",'① Timelog Input'!C37)</f>
        <v>CAS-RR_2370</v>
      </c>
      <c r="C37" s="46" t="str">
        <f>IF('① Timelog Input'!B37="","",'① Timelog Input'!B37)</f>
        <v>Suhani</v>
      </c>
      <c r="D37" s="46" t="str">
        <f>IF('① Timelog Input'!B37="","",'① Timelog Input'!F37)</f>
        <v>Retainer</v>
      </c>
      <c r="E37" s="46" t="str">
        <f>IF('① Timelog Input'!B37="","",'① Timelog Input'!G37)</f>
        <v>Team Lead</v>
      </c>
      <c r="F37" s="46" t="str">
        <f>IF('① Timelog Input'!B37="","",'① Timelog Input'!H37)</f>
        <v>Accounting</v>
      </c>
      <c r="G37" s="46" t="str">
        <f>IF('① Timelog Input'!B37="","",'① Timelog Input'!E37)</f>
        <v>Ayushi</v>
      </c>
      <c r="H37" s="46" t="str">
        <f>IF('① Timelog Input'!B37="","",'① Timelog Input'!D37)</f>
        <v>Ayushi</v>
      </c>
      <c r="I37" s="47">
        <f>IF('① Timelog Input'!B37="","",IF(ISNUMBER('① Timelog Input'!I37),'① Timelog Input'!I37,0))</f>
        <v>136.75</v>
      </c>
      <c r="J37" s="46">
        <f>IF('① Timelog Input'!B37="","",IF(ISNUMBER('① Timelog Input'!J37),'① Timelog Input'!J37,0))</f>
        <v>136.75</v>
      </c>
      <c r="K37" s="46">
        <f>IF('① Timelog Input'!B37="","",Settings!B6)</f>
        <v>160</v>
      </c>
      <c r="L37" s="48">
        <f>IF(OR('① Timelog Input'!B37="",K37=0),"",J37/K37)</f>
        <v>0.85468750000000004</v>
      </c>
      <c r="M37" s="49">
        <f>IF('① Timelog Input'!B37="","",IFERROR(VLOOKUP(B37,'② Salary Input'!A:V,14,FALSE()),0))</f>
        <v>90000</v>
      </c>
      <c r="N37" s="49">
        <f>IF('① Timelog Input'!B37="","",IFERROR(VLOOKUP(B37,'② Salary Input'!A:V,10,FALSE()),0))</f>
        <v>0</v>
      </c>
      <c r="O37" s="49">
        <f>IF('① Timelog Input'!B37="","",IF(AND(D37="Remote",N37&gt;0),N37,IF(K37=0,0,M37/K37)))</f>
        <v>562.5</v>
      </c>
      <c r="P37" s="49">
        <f>IF(OR('① Timelog Input'!B37="",J37=0),"",M37/J37)</f>
        <v>658.13528336380261</v>
      </c>
      <c r="Q37" s="46" t="str">
        <f>IF('① Timelog Input'!B37="","",'① Timelog Input'!L37)</f>
        <v>100%</v>
      </c>
      <c r="R37" s="46" t="str">
        <f>IF('① Timelog Input'!B37="","",IF(NOT(ISNUMBER(L37)),"No Data",IF(L37&gt;=Settings!B13,"HIGH",IF(L37&gt;=Settings!B14,"MEDIUM","LOW"))))</f>
        <v>HIGH</v>
      </c>
    </row>
    <row r="38" spans="1:18" ht="15" customHeight="1" x14ac:dyDescent="0.2">
      <c r="A38" s="46">
        <f>IF('① Timelog Input'!B38="","",ROW()-3)</f>
        <v>35</v>
      </c>
      <c r="B38" s="46" t="str">
        <f>IF('① Timelog Input'!B38="","",'① Timelog Input'!C38)</f>
        <v>CAS-IH_1082</v>
      </c>
      <c r="C38" s="46" t="str">
        <f>IF('① Timelog Input'!B38="","",'① Timelog Input'!B38)</f>
        <v>Shradha</v>
      </c>
      <c r="D38" s="46" t="str">
        <f>IF('① Timelog Input'!B38="","",'① Timelog Input'!F38)</f>
        <v>In-house</v>
      </c>
      <c r="E38" s="46" t="str">
        <f>IF('① Timelog Input'!B38="","",'① Timelog Input'!G38)</f>
        <v>Sr. Associate</v>
      </c>
      <c r="F38" s="46" t="str">
        <f>IF('① Timelog Input'!B38="","",'① Timelog Input'!H38)</f>
        <v>Accounting</v>
      </c>
      <c r="G38" s="46" t="str">
        <f>IF('① Timelog Input'!B38="","",'① Timelog Input'!E38)</f>
        <v>Jyoti</v>
      </c>
      <c r="H38" s="46" t="str">
        <f>IF('① Timelog Input'!B38="","",'① Timelog Input'!D38)</f>
        <v>Jyoti</v>
      </c>
      <c r="I38" s="47">
        <f>IF('① Timelog Input'!B38="","",IF(ISNUMBER('① Timelog Input'!I38),'① Timelog Input'!I38,0))</f>
        <v>158.66999999999999</v>
      </c>
      <c r="J38" s="46">
        <f>IF('① Timelog Input'!B38="","",IF(ISNUMBER('① Timelog Input'!J38),'① Timelog Input'!J38,0))</f>
        <v>154.16999999999999</v>
      </c>
      <c r="K38" s="46">
        <f>IF('① Timelog Input'!B38="","",Settings!B6)</f>
        <v>160</v>
      </c>
      <c r="L38" s="48">
        <f>IF(OR('① Timelog Input'!B38="",K38=0),"",J38/K38)</f>
        <v>0.96356249999999988</v>
      </c>
      <c r="M38" s="49">
        <f>IF('① Timelog Input'!B38="","",IFERROR(VLOOKUP(B38,'② Salary Input'!A:V,14,FALSE()),0))</f>
        <v>51000</v>
      </c>
      <c r="N38" s="49">
        <f>IF('① Timelog Input'!B38="","",IFERROR(VLOOKUP(B38,'② Salary Input'!A:V,10,FALSE()),0))</f>
        <v>0</v>
      </c>
      <c r="O38" s="49">
        <f>IF('① Timelog Input'!B38="","",IF(AND(D38="Remote",N38&gt;0),N38,IF(K38=0,0,M38/K38)))</f>
        <v>318.75</v>
      </c>
      <c r="P38" s="49">
        <f>IF(OR('① Timelog Input'!B38="",J38=0),"",M38/J38)</f>
        <v>330.80365829928002</v>
      </c>
      <c r="Q38" s="46" t="str">
        <f>IF('① Timelog Input'!B38="","",'① Timelog Input'!L38)</f>
        <v>97.16%</v>
      </c>
      <c r="R38" s="46" t="str">
        <f>IF('① Timelog Input'!B38="","",IF(NOT(ISNUMBER(L38)),"No Data",IF(L38&gt;=Settings!B13,"HIGH",IF(L38&gt;=Settings!B14,"MEDIUM","LOW"))))</f>
        <v>HIGH</v>
      </c>
    </row>
    <row r="39" spans="1:18" ht="15" customHeight="1" x14ac:dyDescent="0.2">
      <c r="A39" s="46">
        <f>IF('① Timelog Input'!B39="","",ROW()-3)</f>
        <v>36</v>
      </c>
      <c r="B39" s="46" t="str">
        <f>IF('① Timelog Input'!B39="","",'① Timelog Input'!C39)</f>
        <v>CAS-IH_1146</v>
      </c>
      <c r="C39" s="46" t="str">
        <f>IF('① Timelog Input'!B39="","",'① Timelog Input'!B39)</f>
        <v>Ridhi.G</v>
      </c>
      <c r="D39" s="46" t="str">
        <f>IF('① Timelog Input'!B39="","",'① Timelog Input'!F39)</f>
        <v>In-house</v>
      </c>
      <c r="E39" s="46" t="str">
        <f>IF('① Timelog Input'!B39="","",'① Timelog Input'!G39)</f>
        <v>Asst. Team Lead</v>
      </c>
      <c r="F39" s="46" t="str">
        <f>IF('① Timelog Input'!B39="","",'① Timelog Input'!H39)</f>
        <v>Accounting, Business Tax</v>
      </c>
      <c r="G39" s="46" t="str">
        <f>IF('① Timelog Input'!B39="","",'① Timelog Input'!E39)</f>
        <v>Nikita Shah</v>
      </c>
      <c r="H39" s="46" t="str">
        <f>IF('① Timelog Input'!B39="","",'① Timelog Input'!D39)</f>
        <v>Shefali</v>
      </c>
      <c r="I39" s="47">
        <f>IF('① Timelog Input'!B39="","",IF(ISNUMBER('① Timelog Input'!I39),'① Timelog Input'!I39,0))</f>
        <v>115.74</v>
      </c>
      <c r="J39" s="46">
        <f>IF('① Timelog Input'!B39="","",IF(ISNUMBER('① Timelog Input'!J39),'① Timelog Input'!J39,0))</f>
        <v>115.74</v>
      </c>
      <c r="K39" s="46">
        <f>IF('① Timelog Input'!B39="","",Settings!B6)</f>
        <v>160</v>
      </c>
      <c r="L39" s="48">
        <f>IF(OR('① Timelog Input'!B39="",K39=0),"",J39/K39)</f>
        <v>0.72337499999999999</v>
      </c>
      <c r="M39" s="49">
        <f>IF('① Timelog Input'!B39="","",IFERROR(VLOOKUP(B39,'② Salary Input'!A:V,14,FALSE()),0))</f>
        <v>63000</v>
      </c>
      <c r="N39" s="49">
        <f>IF('① Timelog Input'!B39="","",IFERROR(VLOOKUP(B39,'② Salary Input'!A:V,10,FALSE()),0))</f>
        <v>0</v>
      </c>
      <c r="O39" s="49">
        <f>IF('① Timelog Input'!B39="","",IF(AND(D39="Remote",N39&gt;0),N39,IF(K39=0,0,M39/K39)))</f>
        <v>393.75</v>
      </c>
      <c r="P39" s="49">
        <f>IF(OR('① Timelog Input'!B39="",J39=0),"",M39/J39)</f>
        <v>544.32348367029556</v>
      </c>
      <c r="Q39" s="46" t="str">
        <f>IF('① Timelog Input'!B39="","",'① Timelog Input'!L39)</f>
        <v>100%</v>
      </c>
      <c r="R39" s="46" t="str">
        <f>IF('① Timelog Input'!B39="","",IF(NOT(ISNUMBER(L39)),"No Data",IF(L39&gt;=Settings!B13,"HIGH",IF(L39&gt;=Settings!B14,"MEDIUM","LOW"))))</f>
        <v>MEDIUM</v>
      </c>
    </row>
    <row r="40" spans="1:18" ht="15" customHeight="1" x14ac:dyDescent="0.2">
      <c r="A40" s="46">
        <f>IF('① Timelog Input'!B40="","",ROW()-3)</f>
        <v>37</v>
      </c>
      <c r="B40" s="46" t="str">
        <f>IF('① Timelog Input'!B40="","",'① Timelog Input'!C40)</f>
        <v>CAS-IH_1160</v>
      </c>
      <c r="C40" s="46" t="str">
        <f>IF('① Timelog Input'!B40="","",'① Timelog Input'!B40)</f>
        <v>Bhairavi.M</v>
      </c>
      <c r="D40" s="46" t="str">
        <f>IF('① Timelog Input'!B40="","",'① Timelog Input'!F40)</f>
        <v>In-house</v>
      </c>
      <c r="E40" s="46" t="str">
        <f>IF('① Timelog Input'!B40="","",'① Timelog Input'!G40)</f>
        <v>Associate</v>
      </c>
      <c r="F40" s="46" t="str">
        <f>IF('① Timelog Input'!B40="","",'① Timelog Input'!H40)</f>
        <v>Accounting</v>
      </c>
      <c r="G40" s="46" t="str">
        <f>IF('① Timelog Input'!B40="","",'① Timelog Input'!E40)</f>
        <v>Ayushi</v>
      </c>
      <c r="H40" s="46" t="str">
        <f>IF('① Timelog Input'!B40="","",'① Timelog Input'!D40)</f>
        <v>Suhani</v>
      </c>
      <c r="I40" s="47">
        <f>IF('① Timelog Input'!B40="","",IF(ISNUMBER('① Timelog Input'!I40),'① Timelog Input'!I40,0))</f>
        <v>165</v>
      </c>
      <c r="J40" s="46">
        <f>IF('① Timelog Input'!B40="","",IF(ISNUMBER('① Timelog Input'!J40),'① Timelog Input'!J40,0))</f>
        <v>149</v>
      </c>
      <c r="K40" s="46">
        <f>IF('① Timelog Input'!B40="","",Settings!B6)</f>
        <v>160</v>
      </c>
      <c r="L40" s="48">
        <f>IF(OR('① Timelog Input'!B40="",K40=0),"",J40/K40)</f>
        <v>0.93125000000000002</v>
      </c>
      <c r="M40" s="49">
        <f>IF('① Timelog Input'!B40="","",IFERROR(VLOOKUP(B40,'② Salary Input'!A:V,14,FALSE()),0))</f>
        <v>40000</v>
      </c>
      <c r="N40" s="49">
        <f>IF('① Timelog Input'!B40="","",IFERROR(VLOOKUP(B40,'② Salary Input'!A:V,10,FALSE()),0))</f>
        <v>0</v>
      </c>
      <c r="O40" s="49">
        <f>IF('① Timelog Input'!B40="","",IF(AND(D40="Remote",N40&gt;0),N40,IF(K40=0,0,M40/K40)))</f>
        <v>250</v>
      </c>
      <c r="P40" s="49">
        <f>IF(OR('① Timelog Input'!B40="",J40=0),"",M40/J40)</f>
        <v>268.45637583892619</v>
      </c>
      <c r="Q40" s="46" t="str">
        <f>IF('① Timelog Input'!B40="","",'① Timelog Input'!L40)</f>
        <v>90.3%</v>
      </c>
      <c r="R40" s="46" t="str">
        <f>IF('① Timelog Input'!B40="","",IF(NOT(ISNUMBER(L40)),"No Data",IF(L40&gt;=Settings!B13,"HIGH",IF(L40&gt;=Settings!B14,"MEDIUM","LOW"))))</f>
        <v>HIGH</v>
      </c>
    </row>
    <row r="41" spans="1:18" ht="15" customHeight="1" x14ac:dyDescent="0.2">
      <c r="A41" s="46">
        <f>IF('① Timelog Input'!B41="","",ROW()-3)</f>
        <v>38</v>
      </c>
      <c r="B41" s="46" t="str">
        <f>IF('① Timelog Input'!B41="","",'① Timelog Input'!C41)</f>
        <v>CAS-IH_1150</v>
      </c>
      <c r="C41" s="46" t="str">
        <f>IF('① Timelog Input'!B41="","",'① Timelog Input'!B41)</f>
        <v>Ujjwal.J</v>
      </c>
      <c r="D41" s="46" t="str">
        <f>IF('① Timelog Input'!B41="","",'① Timelog Input'!F41)</f>
        <v>In-house</v>
      </c>
      <c r="E41" s="46" t="str">
        <f>IF('① Timelog Input'!B41="","",'① Timelog Input'!G41)</f>
        <v>Associate</v>
      </c>
      <c r="F41" s="46" t="str">
        <f>IF('① Timelog Input'!B41="","",'① Timelog Input'!H41)</f>
        <v>Accounting, Business Tax</v>
      </c>
      <c r="G41" s="46" t="str">
        <f>IF('① Timelog Input'!B41="","",'① Timelog Input'!E41)</f>
        <v>Nikita Shah</v>
      </c>
      <c r="H41" s="46" t="str">
        <f>IF('① Timelog Input'!B41="","",'① Timelog Input'!D41)</f>
        <v>Preety</v>
      </c>
      <c r="I41" s="47">
        <f>IF('① Timelog Input'!B41="","",IF(ISNUMBER('① Timelog Input'!I41),'① Timelog Input'!I41,0))</f>
        <v>127.16</v>
      </c>
      <c r="J41" s="46">
        <f>IF('① Timelog Input'!B41="","",IF(ISNUMBER('① Timelog Input'!J41),'① Timelog Input'!J41,0))</f>
        <v>125.91</v>
      </c>
      <c r="K41" s="46">
        <f>IF('① Timelog Input'!B41="","",Settings!B6)</f>
        <v>160</v>
      </c>
      <c r="L41" s="48">
        <f>IF(OR('① Timelog Input'!B41="",K41=0),"",J41/K41)</f>
        <v>0.78693749999999996</v>
      </c>
      <c r="M41" s="49">
        <f>IF('① Timelog Input'!B41="","",IFERROR(VLOOKUP(B41,'② Salary Input'!A:V,14,FALSE()),0))</f>
        <v>50000</v>
      </c>
      <c r="N41" s="49">
        <f>IF('① Timelog Input'!B41="","",IFERROR(VLOOKUP(B41,'② Salary Input'!A:V,10,FALSE()),0))</f>
        <v>0</v>
      </c>
      <c r="O41" s="49">
        <f>IF('① Timelog Input'!B41="","",IF(AND(D41="Remote",N41&gt;0),N41,IF(K41=0,0,M41/K41)))</f>
        <v>312.5</v>
      </c>
      <c r="P41" s="49">
        <f>IF(OR('① Timelog Input'!B41="",J41=0),"",M41/J41)</f>
        <v>397.10904614407116</v>
      </c>
      <c r="Q41" s="46" t="str">
        <f>IF('① Timelog Input'!B41="","",'① Timelog Input'!L41)</f>
        <v>99.02%</v>
      </c>
      <c r="R41" s="46" t="str">
        <f>IF('① Timelog Input'!B41="","",IF(NOT(ISNUMBER(L41)),"No Data",IF(L41&gt;=Settings!B13,"HIGH",IF(L41&gt;=Settings!B14,"MEDIUM","LOW"))))</f>
        <v>MEDIUM</v>
      </c>
    </row>
    <row r="42" spans="1:18" ht="15" customHeight="1" x14ac:dyDescent="0.2">
      <c r="A42" s="46">
        <f>IF('① Timelog Input'!B42="","",ROW()-3)</f>
        <v>39</v>
      </c>
      <c r="B42" s="46" t="str">
        <f>IF('① Timelog Input'!B42="","",'① Timelog Input'!C42)</f>
        <v>CAS-RR_2253</v>
      </c>
      <c r="C42" s="46" t="str">
        <f>IF('① Timelog Input'!B42="","",'① Timelog Input'!B42)</f>
        <v>Sukhmeen.K</v>
      </c>
      <c r="D42" s="46" t="str">
        <f>IF('① Timelog Input'!B42="","",'① Timelog Input'!F42)</f>
        <v>Retainer</v>
      </c>
      <c r="E42" s="46" t="str">
        <f>IF('① Timelog Input'!B42="","",'① Timelog Input'!G42)</f>
        <v>Manager</v>
      </c>
      <c r="F42" s="46" t="str">
        <f>IF('① Timelog Input'!B42="","",'① Timelog Input'!H42)</f>
        <v>Accounting</v>
      </c>
      <c r="G42" s="46" t="str">
        <f>IF('① Timelog Input'!B42="","",'① Timelog Input'!E42)</f>
        <v>Ayushi</v>
      </c>
      <c r="H42" s="46" t="str">
        <f>IF('① Timelog Input'!B42="","",'① Timelog Input'!D42)</f>
        <v>Ayushi</v>
      </c>
      <c r="I42" s="47">
        <f>IF('① Timelog Input'!B42="","",IF(ISNUMBER('① Timelog Input'!I42),'① Timelog Input'!I42,0))</f>
        <v>168.92</v>
      </c>
      <c r="J42" s="46">
        <f>IF('① Timelog Input'!B42="","",IF(ISNUMBER('① Timelog Input'!J42),'① Timelog Input'!J42,0))</f>
        <v>168.92</v>
      </c>
      <c r="K42" s="46">
        <f>IF('① Timelog Input'!B42="","",Settings!B6)</f>
        <v>160</v>
      </c>
      <c r="L42" s="48">
        <f>IF(OR('① Timelog Input'!B42="",K42=0),"",J42/K42)</f>
        <v>1.05575</v>
      </c>
      <c r="M42" s="49">
        <f>IF('① Timelog Input'!B42="","",IFERROR(VLOOKUP(B42,'② Salary Input'!A:V,14,FALSE()),0))</f>
        <v>102000</v>
      </c>
      <c r="N42" s="49">
        <f>IF('① Timelog Input'!B42="","",IFERROR(VLOOKUP(B42,'② Salary Input'!A:V,10,FALSE()),0))</f>
        <v>0</v>
      </c>
      <c r="O42" s="49">
        <f>IF('① Timelog Input'!B42="","",IF(AND(D42="Remote",N42&gt;0),N42,IF(K42=0,0,M42/K42)))</f>
        <v>637.5</v>
      </c>
      <c r="P42" s="49">
        <f>IF(OR('① Timelog Input'!B42="",J42=0),"",M42/J42)</f>
        <v>603.83613544873322</v>
      </c>
      <c r="Q42" s="46" t="str">
        <f>IF('① Timelog Input'!B42="","",'① Timelog Input'!L42)</f>
        <v>100%</v>
      </c>
      <c r="R42" s="46" t="str">
        <f>IF('① Timelog Input'!B42="","",IF(NOT(ISNUMBER(L42)),"No Data",IF(L42&gt;=Settings!B13,"HIGH",IF(L42&gt;=Settings!B14,"MEDIUM","LOW"))))</f>
        <v>HIGH</v>
      </c>
    </row>
    <row r="43" spans="1:18" ht="15" customHeight="1" x14ac:dyDescent="0.2">
      <c r="A43" s="46">
        <f>IF('① Timelog Input'!B43="","",ROW()-3)</f>
        <v>40</v>
      </c>
      <c r="B43" s="46" t="str">
        <f>IF('① Timelog Input'!B43="","",'① Timelog Input'!C43)</f>
        <v>CAS-IH_1111</v>
      </c>
      <c r="C43" s="46" t="str">
        <f>IF('① Timelog Input'!B43="","",'① Timelog Input'!B43)</f>
        <v>Tanisha.J</v>
      </c>
      <c r="D43" s="46" t="str">
        <f>IF('① Timelog Input'!B43="","",'① Timelog Input'!F43)</f>
        <v>In-house</v>
      </c>
      <c r="E43" s="46" t="str">
        <f>IF('① Timelog Input'!B43="","",'① Timelog Input'!G43)</f>
        <v>Associate</v>
      </c>
      <c r="F43" s="46" t="str">
        <f>IF('① Timelog Input'!B43="","",'① Timelog Input'!H43)</f>
        <v>HR</v>
      </c>
      <c r="G43" s="46" t="str">
        <f>IF('① Timelog Input'!B43="","",'① Timelog Input'!E43)</f>
        <v>Vinita Dagar</v>
      </c>
      <c r="H43" s="46" t="str">
        <f>IF('① Timelog Input'!B43="","",'① Timelog Input'!D43)</f>
        <v>Rashi</v>
      </c>
      <c r="I43" s="47">
        <f>IF('① Timelog Input'!B43="","",IF(ISNUMBER('① Timelog Input'!I43),'① Timelog Input'!I43,0))</f>
        <v>109</v>
      </c>
      <c r="J43" s="46">
        <f>IF('① Timelog Input'!B43="","",IF(ISNUMBER('① Timelog Input'!J43),'① Timelog Input'!J43,0))</f>
        <v>109</v>
      </c>
      <c r="K43" s="46">
        <f>IF('① Timelog Input'!B43="","",Settings!B6)</f>
        <v>160</v>
      </c>
      <c r="L43" s="48">
        <f>IF(OR('① Timelog Input'!B43="",K43=0),"",J43/K43)</f>
        <v>0.68125000000000002</v>
      </c>
      <c r="M43" s="49">
        <f>IF('① Timelog Input'!B43="","",IFERROR(VLOOKUP(B43,'② Salary Input'!A:V,14,FALSE()),0))</f>
        <v>43000</v>
      </c>
      <c r="N43" s="49">
        <f>IF('① Timelog Input'!B43="","",IFERROR(VLOOKUP(B43,'② Salary Input'!A:V,10,FALSE()),0))</f>
        <v>0</v>
      </c>
      <c r="O43" s="49">
        <f>IF('① Timelog Input'!B43="","",IF(AND(D43="Remote",N43&gt;0),N43,IF(K43=0,0,M43/K43)))</f>
        <v>268.75</v>
      </c>
      <c r="P43" s="49">
        <f>IF(OR('① Timelog Input'!B43="",J43=0),"",M43/J43)</f>
        <v>394.49541284403671</v>
      </c>
      <c r="Q43" s="46" t="str">
        <f>IF('① Timelog Input'!B43="","",'① Timelog Input'!L43)</f>
        <v>100%</v>
      </c>
      <c r="R43" s="46" t="str">
        <f>IF('① Timelog Input'!B43="","",IF(NOT(ISNUMBER(L43)),"No Data",IF(L43&gt;=Settings!B13,"HIGH",IF(L43&gt;=Settings!B14,"MEDIUM","LOW"))))</f>
        <v>MEDIUM</v>
      </c>
    </row>
    <row r="44" spans="1:18" ht="15" customHeight="1" x14ac:dyDescent="0.2">
      <c r="A44" s="46">
        <f>IF('① Timelog Input'!B44="","",ROW()-3)</f>
        <v>41</v>
      </c>
      <c r="B44" s="46" t="str">
        <f>IF('① Timelog Input'!B44="","",'① Timelog Input'!C44)</f>
        <v>CAS-IH_1113</v>
      </c>
      <c r="C44" s="46" t="str">
        <f>IF('① Timelog Input'!B44="","",'① Timelog Input'!B44)</f>
        <v>Disha.M</v>
      </c>
      <c r="D44" s="46" t="str">
        <f>IF('① Timelog Input'!B44="","",'① Timelog Input'!F44)</f>
        <v>In-house</v>
      </c>
      <c r="E44" s="46" t="str">
        <f>IF('① Timelog Input'!B44="","",'① Timelog Input'!G44)</f>
        <v>Associate</v>
      </c>
      <c r="F44" s="46" t="str">
        <f>IF('① Timelog Input'!B44="","",'① Timelog Input'!H44)</f>
        <v>HR</v>
      </c>
      <c r="G44" s="46" t="str">
        <f>IF('① Timelog Input'!B44="","",'① Timelog Input'!E44)</f>
        <v>Vinita Dagar</v>
      </c>
      <c r="H44" s="46" t="str">
        <f>IF('① Timelog Input'!B44="","",'① Timelog Input'!D44)</f>
        <v>Rashi</v>
      </c>
      <c r="I44" s="47">
        <f>IF('① Timelog Input'!B44="","",IF(ISNUMBER('① Timelog Input'!I44),'① Timelog Input'!I44,0))</f>
        <v>51</v>
      </c>
      <c r="J44" s="46">
        <f>IF('① Timelog Input'!B44="","",IF(ISNUMBER('① Timelog Input'!J44),'① Timelog Input'!J44,0))</f>
        <v>51</v>
      </c>
      <c r="K44" s="46">
        <f>IF('① Timelog Input'!B44="","",Settings!B6)</f>
        <v>160</v>
      </c>
      <c r="L44" s="48">
        <f>IF(OR('① Timelog Input'!B44="",K44=0),"",J44/K44)</f>
        <v>0.31874999999999998</v>
      </c>
      <c r="M44" s="49">
        <f>IF('① Timelog Input'!B44="","",IFERROR(VLOOKUP(B44,'② Salary Input'!A:V,14,FALSE()),0))</f>
        <v>50000</v>
      </c>
      <c r="N44" s="49">
        <f>IF('① Timelog Input'!B44="","",IFERROR(VLOOKUP(B44,'② Salary Input'!A:V,10,FALSE()),0))</f>
        <v>0</v>
      </c>
      <c r="O44" s="49">
        <f>IF('① Timelog Input'!B44="","",IF(AND(D44="Remote",N44&gt;0),N44,IF(K44=0,0,M44/K44)))</f>
        <v>312.5</v>
      </c>
      <c r="P44" s="49">
        <f>IF(OR('① Timelog Input'!B44="",J44=0),"",M44/J44)</f>
        <v>980.39215686274508</v>
      </c>
      <c r="Q44" s="46" t="str">
        <f>IF('① Timelog Input'!B44="","",'① Timelog Input'!L44)</f>
        <v>100%</v>
      </c>
      <c r="R44" s="46" t="str">
        <f>IF('① Timelog Input'!B44="","",IF(NOT(ISNUMBER(L44)),"No Data",IF(L44&gt;=Settings!B13,"HIGH",IF(L44&gt;=Settings!B14,"MEDIUM","LOW"))))</f>
        <v>LOW</v>
      </c>
    </row>
    <row r="45" spans="1:18" ht="15" customHeight="1" x14ac:dyDescent="0.2">
      <c r="A45" s="46">
        <f>IF('① Timelog Input'!B45="","",ROW()-3)</f>
        <v>42</v>
      </c>
      <c r="B45" s="46" t="str">
        <f>IF('① Timelog Input'!B45="","",'① Timelog Input'!C45)</f>
        <v>CAS-IH_1114</v>
      </c>
      <c r="C45" s="46" t="str">
        <f>IF('① Timelog Input'!B45="","",'① Timelog Input'!B45)</f>
        <v>Smriti.S</v>
      </c>
      <c r="D45" s="46" t="str">
        <f>IF('① Timelog Input'!B45="","",'① Timelog Input'!F45)</f>
        <v>In-house</v>
      </c>
      <c r="E45" s="46" t="str">
        <f>IF('① Timelog Input'!B45="","",'① Timelog Input'!G45)</f>
        <v>Controller</v>
      </c>
      <c r="F45" s="46" t="str">
        <f>IF('① Timelog Input'!B45="","",'① Timelog Input'!H45)</f>
        <v>Individual Tax</v>
      </c>
      <c r="G45" s="46" t="str">
        <f>IF('① Timelog Input'!B45="","",'① Timelog Input'!E45)</f>
        <v>--</v>
      </c>
      <c r="H45" s="46" t="str">
        <f>IF('① Timelog Input'!B45="","",'① Timelog Input'!D45)</f>
        <v>Ammie</v>
      </c>
      <c r="I45" s="47">
        <f>IF('① Timelog Input'!B45="","",IF(ISNUMBER('① Timelog Input'!I45),'① Timelog Input'!I45,0))</f>
        <v>42.75</v>
      </c>
      <c r="J45" s="46">
        <f>IF('① Timelog Input'!B45="","",IF(ISNUMBER('① Timelog Input'!J45),'① Timelog Input'!J45,0))</f>
        <v>42.75</v>
      </c>
      <c r="K45" s="46">
        <f>IF('① Timelog Input'!B45="","",Settings!B6)</f>
        <v>160</v>
      </c>
      <c r="L45" s="48">
        <f>IF(OR('① Timelog Input'!B45="",K45=0),"",J45/K45)</f>
        <v>0.26718750000000002</v>
      </c>
      <c r="M45" s="49">
        <f>IF('① Timelog Input'!B45="","",IFERROR(VLOOKUP(B45,'② Salary Input'!A:V,14,FALSE()),0))</f>
        <v>231667</v>
      </c>
      <c r="N45" s="49">
        <f>IF('① Timelog Input'!B45="","",IFERROR(VLOOKUP(B45,'② Salary Input'!A:V,10,FALSE()),0))</f>
        <v>0</v>
      </c>
      <c r="O45" s="49">
        <f>IF('① Timelog Input'!B45="","",IF(AND(D45="Remote",N45&gt;0),N45,IF(K45=0,0,M45/K45)))</f>
        <v>1447.91875</v>
      </c>
      <c r="P45" s="49">
        <f>IF(OR('① Timelog Input'!B45="",J45=0),"",M45/J45)</f>
        <v>5419.1111111111113</v>
      </c>
      <c r="Q45" s="46" t="str">
        <f>IF('① Timelog Input'!B45="","",'① Timelog Input'!L45)</f>
        <v>100%</v>
      </c>
      <c r="R45" s="46" t="str">
        <f>IF('① Timelog Input'!B45="","",IF(NOT(ISNUMBER(L45)),"No Data",IF(L45&gt;=Settings!B13,"HIGH",IF(L45&gt;=Settings!B14,"MEDIUM","LOW"))))</f>
        <v>LOW</v>
      </c>
    </row>
    <row r="46" spans="1:18" ht="15" customHeight="1" x14ac:dyDescent="0.2">
      <c r="A46" s="46">
        <f>IF('① Timelog Input'!B46="","",ROW()-3)</f>
        <v>43</v>
      </c>
      <c r="B46" s="46" t="str">
        <f>IF('① Timelog Input'!B46="","",'① Timelog Input'!C46)</f>
        <v>CAS-RT_2283</v>
      </c>
      <c r="C46" s="46" t="str">
        <f>IF('① Timelog Input'!B46="","",'① Timelog Input'!B46)</f>
        <v>Muhammad.S</v>
      </c>
      <c r="D46" s="46" t="str">
        <f>IF('① Timelog Input'!B46="","",'① Timelog Input'!F46)</f>
        <v>Remote</v>
      </c>
      <c r="E46" s="46" t="str">
        <f>IF('① Timelog Input'!B46="","",'① Timelog Input'!G46)</f>
        <v>Associate</v>
      </c>
      <c r="F46" s="46" t="str">
        <f>IF('① Timelog Input'!B46="","",'① Timelog Input'!H46)</f>
        <v>Accounting</v>
      </c>
      <c r="G46" s="46" t="str">
        <f>IF('① Timelog Input'!B46="","",'① Timelog Input'!E46)</f>
        <v>Ayushi</v>
      </c>
      <c r="H46" s="46" t="str">
        <f>IF('① Timelog Input'!B46="","",'① Timelog Input'!D46)</f>
        <v>Suhani</v>
      </c>
      <c r="I46" s="47">
        <f>IF('① Timelog Input'!B46="","",IF(ISNUMBER('① Timelog Input'!I46),'① Timelog Input'!I46,0))</f>
        <v>160.25</v>
      </c>
      <c r="J46" s="46">
        <f>IF('① Timelog Input'!B46="","",IF(ISNUMBER('① Timelog Input'!J46),'① Timelog Input'!J46,0))</f>
        <v>132.5</v>
      </c>
      <c r="K46" s="46">
        <f>IF('① Timelog Input'!B46="","",Settings!B6)</f>
        <v>160</v>
      </c>
      <c r="L46" s="48">
        <f>IF(OR('① Timelog Input'!B46="",K46=0),"",J46/K46)</f>
        <v>0.828125</v>
      </c>
      <c r="M46" s="49">
        <f>IF('① Timelog Input'!B46="","",IFERROR(VLOOKUP(B46,'② Salary Input'!A:V,14,FALSE()),0))</f>
        <v>34600</v>
      </c>
      <c r="N46" s="49">
        <f>IF('① Timelog Input'!B46="","",IFERROR(VLOOKUP(B46,'② Salary Input'!A:V,10,FALSE()),0))</f>
        <v>34400</v>
      </c>
      <c r="O46" s="49">
        <f>IF('① Timelog Input'!B46="","",IF(AND(D46="Remote",N46&gt;0),N46,IF(K46=0,0,M46/K46)))</f>
        <v>34400</v>
      </c>
      <c r="P46" s="49">
        <f>IF(OR('① Timelog Input'!B46="",J46=0),"",M46/J46)</f>
        <v>261.1320754716981</v>
      </c>
      <c r="Q46" s="46" t="str">
        <f>IF('① Timelog Input'!B46="","",'① Timelog Input'!L46)</f>
        <v>82.68%</v>
      </c>
      <c r="R46" s="46" t="str">
        <f>IF('① Timelog Input'!B46="","",IF(NOT(ISNUMBER(L46)),"No Data",IF(L46&gt;=Settings!B13,"HIGH",IF(L46&gt;=Settings!B14,"MEDIUM","LOW"))))</f>
        <v>MEDIUM</v>
      </c>
    </row>
    <row r="47" spans="1:18" ht="15" customHeight="1" x14ac:dyDescent="0.2">
      <c r="A47" s="46">
        <f>IF('① Timelog Input'!B47="","",ROW()-3)</f>
        <v>44</v>
      </c>
      <c r="B47" s="46" t="str">
        <f>IF('① Timelog Input'!B47="","",'① Timelog Input'!C47)</f>
        <v>CAS-RT_2296</v>
      </c>
      <c r="C47" s="46" t="str">
        <f>IF('① Timelog Input'!B47="","",'① Timelog Input'!B47)</f>
        <v>Farheen.K</v>
      </c>
      <c r="D47" s="46" t="str">
        <f>IF('① Timelog Input'!B47="","",'① Timelog Input'!F47)</f>
        <v>Remote</v>
      </c>
      <c r="E47" s="46" t="str">
        <f>IF('① Timelog Input'!B47="","",'① Timelog Input'!G47)</f>
        <v>Asst. Team Lead</v>
      </c>
      <c r="F47" s="46" t="str">
        <f>IF('① Timelog Input'!B47="","",'① Timelog Input'!H47)</f>
        <v>Accounting</v>
      </c>
      <c r="G47" s="46" t="str">
        <f>IF('① Timelog Input'!B47="","",'① Timelog Input'!E47)</f>
        <v>Sukhmeen.K</v>
      </c>
      <c r="H47" s="46" t="str">
        <f>IF('① Timelog Input'!B47="","",'① Timelog Input'!D47)</f>
        <v>Sukhmeen.K</v>
      </c>
      <c r="I47" s="47">
        <f>IF('① Timelog Input'!B47="","",IF(ISNUMBER('① Timelog Input'!I47),'① Timelog Input'!I47,0))</f>
        <v>166.37</v>
      </c>
      <c r="J47" s="46">
        <f>IF('① Timelog Input'!B47="","",IF(ISNUMBER('① Timelog Input'!J47),'① Timelog Input'!J47,0))</f>
        <v>142.02000000000001</v>
      </c>
      <c r="K47" s="46">
        <f>IF('① Timelog Input'!B47="","",Settings!B6)</f>
        <v>160</v>
      </c>
      <c r="L47" s="48">
        <f>IF(OR('① Timelog Input'!B47="",K47=0),"",J47/K47)</f>
        <v>0.88762500000000011</v>
      </c>
      <c r="M47" s="49">
        <f>IF('① Timelog Input'!B47="","",IFERROR(VLOOKUP(B47,'② Salary Input'!A:V,14,FALSE()),0))</f>
        <v>47805</v>
      </c>
      <c r="N47" s="49">
        <f>IF('① Timelog Input'!B47="","",IFERROR(VLOOKUP(B47,'② Salary Input'!A:V,10,FALSE()),0))</f>
        <v>47505</v>
      </c>
      <c r="O47" s="49">
        <f>IF('① Timelog Input'!B47="","",IF(AND(D47="Remote",N47&gt;0),N47,IF(K47=0,0,M47/K47)))</f>
        <v>47505</v>
      </c>
      <c r="P47" s="49">
        <f>IF(OR('① Timelog Input'!B47="",J47=0),"",M47/J47)</f>
        <v>336.60752006759611</v>
      </c>
      <c r="Q47" s="46" t="str">
        <f>IF('① Timelog Input'!B47="","",'① Timelog Input'!L47)</f>
        <v>85.36%</v>
      </c>
      <c r="R47" s="46" t="str">
        <f>IF('① Timelog Input'!B47="","",IF(NOT(ISNUMBER(L47)),"No Data",IF(L47&gt;=Settings!B13,"HIGH",IF(L47&gt;=Settings!B14,"MEDIUM","LOW"))))</f>
        <v>HIGH</v>
      </c>
    </row>
    <row r="48" spans="1:18" ht="15" customHeight="1" x14ac:dyDescent="0.2">
      <c r="A48" s="46">
        <f>IF('① Timelog Input'!B48="","",ROW()-3)</f>
        <v>45</v>
      </c>
      <c r="B48" s="46" t="str">
        <f>IF('① Timelog Input'!B48="","",'① Timelog Input'!C48)</f>
        <v>CAS-IH_1120</v>
      </c>
      <c r="C48" s="46" t="str">
        <f>IF('① Timelog Input'!B48="","",'① Timelog Input'!B48)</f>
        <v>Vaibhav.A</v>
      </c>
      <c r="D48" s="46" t="str">
        <f>IF('① Timelog Input'!B48="","",'① Timelog Input'!F48)</f>
        <v>In-house</v>
      </c>
      <c r="E48" s="46" t="str">
        <f>IF('① Timelog Input'!B48="","",'① Timelog Input'!G48)</f>
        <v>Manager</v>
      </c>
      <c r="F48" s="46" t="str">
        <f>IF('① Timelog Input'!B48="","",'① Timelog Input'!H48)</f>
        <v>FP&amp;A</v>
      </c>
      <c r="G48" s="46" t="str">
        <f>IF('① Timelog Input'!B48="","",'① Timelog Input'!E48)</f>
        <v>Sachi Mazumdar</v>
      </c>
      <c r="H48" s="46" t="str">
        <f>IF('① Timelog Input'!B48="","",'① Timelog Input'!D48)</f>
        <v>Sachi Mazumdar</v>
      </c>
      <c r="I48" s="47">
        <f>IF('① Timelog Input'!B48="","",IF(ISNUMBER('① Timelog Input'!I48),'① Timelog Input'!I48,0))</f>
        <v>200</v>
      </c>
      <c r="J48" s="46">
        <f>IF('① Timelog Input'!B48="","",IF(ISNUMBER('① Timelog Input'!J48),'① Timelog Input'!J48,0))</f>
        <v>180</v>
      </c>
      <c r="K48" s="46">
        <f>IF('① Timelog Input'!B48="","",Settings!B6)</f>
        <v>160</v>
      </c>
      <c r="L48" s="48">
        <f>IF(OR('① Timelog Input'!B48="",K48=0),"",J48/K48)</f>
        <v>1.125</v>
      </c>
      <c r="M48" s="49">
        <f>IF('① Timelog Input'!B48="","",IFERROR(VLOOKUP(B48,'② Salary Input'!A:V,14,FALSE()),0))</f>
        <v>175000</v>
      </c>
      <c r="N48" s="49">
        <f>IF('① Timelog Input'!B48="","",IFERROR(VLOOKUP(B48,'② Salary Input'!A:V,10,FALSE()),0))</f>
        <v>0</v>
      </c>
      <c r="O48" s="49">
        <f>IF('① Timelog Input'!B48="","",IF(AND(D48="Remote",N48&gt;0),N48,IF(K48=0,0,M48/K48)))</f>
        <v>1093.75</v>
      </c>
      <c r="P48" s="49">
        <f>IF(OR('① Timelog Input'!B48="",J48=0),"",M48/J48)</f>
        <v>972.22222222222217</v>
      </c>
      <c r="Q48" s="46" t="str">
        <f>IF('① Timelog Input'!B48="","",'① Timelog Input'!L48)</f>
        <v>90%</v>
      </c>
      <c r="R48" s="46" t="str">
        <f>IF('① Timelog Input'!B48="","",IF(NOT(ISNUMBER(L48)),"No Data",IF(L48&gt;=Settings!B13,"HIGH",IF(L48&gt;=Settings!B14,"MEDIUM","LOW"))))</f>
        <v>HIGH</v>
      </c>
    </row>
    <row r="49" spans="1:18" ht="15" customHeight="1" x14ac:dyDescent="0.2">
      <c r="A49" s="46">
        <f>IF('① Timelog Input'!B49="","",ROW()-3)</f>
        <v>46</v>
      </c>
      <c r="B49" s="46" t="str">
        <f>IF('① Timelog Input'!B49="","",'① Timelog Input'!C49)</f>
        <v>CAS-IH_1123</v>
      </c>
      <c r="C49" s="46" t="str">
        <f>IF('① Timelog Input'!B49="","",'① Timelog Input'!B49)</f>
        <v>Shikha.A</v>
      </c>
      <c r="D49" s="46" t="str">
        <f>IF('① Timelog Input'!B49="","",'① Timelog Input'!F49)</f>
        <v>In-house</v>
      </c>
      <c r="E49" s="46" t="str">
        <f>IF('① Timelog Input'!B49="","",'① Timelog Input'!G49)</f>
        <v>Asst. Team Lead</v>
      </c>
      <c r="F49" s="46" t="str">
        <f>IF('① Timelog Input'!B49="","",'① Timelog Input'!H49)</f>
        <v>Individual Tax</v>
      </c>
      <c r="G49" s="46" t="str">
        <f>IF('① Timelog Input'!B49="","",'① Timelog Input'!E49)</f>
        <v>Smriti Shah</v>
      </c>
      <c r="H49" s="46" t="str">
        <f>IF('① Timelog Input'!B49="","",'① Timelog Input'!D49)</f>
        <v>Smriti Shah</v>
      </c>
      <c r="I49" s="46">
        <f>IF('① Timelog Input'!B49="","",IF(ISNUMBER('① Timelog Input'!I49),'① Timelog Input'!I49,0))</f>
        <v>160.5</v>
      </c>
      <c r="J49" s="46">
        <f>IF('① Timelog Input'!B49="","",IF(ISNUMBER('① Timelog Input'!J49),'① Timelog Input'!J49,0))</f>
        <v>160.5</v>
      </c>
      <c r="K49" s="46">
        <f>IF('① Timelog Input'!B49="","",Settings!B6)</f>
        <v>160</v>
      </c>
      <c r="L49" s="48">
        <f>IF(OR('① Timelog Input'!B49="",K49=0),"",J49/K49)</f>
        <v>1.003125</v>
      </c>
      <c r="M49" s="49">
        <f>IF('① Timelog Input'!B49="","",IFERROR(VLOOKUP(B49,'② Salary Input'!A:V,14,FALSE()),0))</f>
        <v>155334</v>
      </c>
      <c r="N49" s="49">
        <f>IF('① Timelog Input'!B49="","",IFERROR(VLOOKUP(B49,'② Salary Input'!A:V,10,FALSE()),0))</f>
        <v>0</v>
      </c>
      <c r="O49" s="49">
        <f>IF('① Timelog Input'!B49="","",IF(AND(D49="Remote",N49&gt;0),N49,IF(K49=0,0,M49/K49)))</f>
        <v>970.83749999999998</v>
      </c>
      <c r="P49" s="49">
        <f>IF(OR('① Timelog Input'!B49="",J49=0),"",M49/J49)</f>
        <v>967.81308411214957</v>
      </c>
      <c r="Q49" s="46" t="str">
        <f>IF('① Timelog Input'!B49="","",'① Timelog Input'!L49)</f>
        <v>100%</v>
      </c>
      <c r="R49" s="46" t="str">
        <f>IF('① Timelog Input'!B49="","",IF(NOT(ISNUMBER(L49)),"No Data",IF(L49&gt;=Settings!B13,"HIGH",IF(L49&gt;=Settings!B14,"MEDIUM","LOW"))))</f>
        <v>HIGH</v>
      </c>
    </row>
    <row r="50" spans="1:18" ht="15" customHeight="1" x14ac:dyDescent="0.2">
      <c r="A50" s="46">
        <f>IF('① Timelog Input'!B50="","",ROW()-3)</f>
        <v>47</v>
      </c>
      <c r="B50" s="46" t="str">
        <f>IF('① Timelog Input'!B50="","",'① Timelog Input'!C50)</f>
        <v>CAS-IH_1124</v>
      </c>
      <c r="C50" s="46" t="str">
        <f>IF('① Timelog Input'!B50="","",'① Timelog Input'!B50)</f>
        <v>Rupesh.A</v>
      </c>
      <c r="D50" s="46" t="str">
        <f>IF('① Timelog Input'!B50="","",'① Timelog Input'!F50)</f>
        <v>In-house</v>
      </c>
      <c r="E50" s="46" t="str">
        <f>IF('① Timelog Input'!B50="","",'① Timelog Input'!G50)</f>
        <v>Sr. Manager</v>
      </c>
      <c r="F50" s="46" t="str">
        <f>IF('① Timelog Input'!B50="","",'① Timelog Input'!H50)</f>
        <v>FP&amp;A</v>
      </c>
      <c r="G50" s="46" t="str">
        <f>IF('① Timelog Input'!B50="","",'① Timelog Input'!E50)</f>
        <v>Sachi Mazumdar</v>
      </c>
      <c r="H50" s="46" t="str">
        <f>IF('① Timelog Input'!B50="","",'① Timelog Input'!D50)</f>
        <v>Sachi Mazumdar</v>
      </c>
      <c r="I50" s="47">
        <f>IF('① Timelog Input'!B50="","",IF(ISNUMBER('① Timelog Input'!I50),'① Timelog Input'!I50,0))</f>
        <v>0</v>
      </c>
      <c r="J50" s="46">
        <f>IF('① Timelog Input'!B50="","",IF(ISNUMBER('① Timelog Input'!J50),'① Timelog Input'!J50,0))</f>
        <v>0</v>
      </c>
      <c r="K50" s="46">
        <f>IF('① Timelog Input'!B50="","",Settings!B6)</f>
        <v>160</v>
      </c>
      <c r="L50" s="48">
        <f>IF(OR('① Timelog Input'!B50="",K50=0),"",J50/K50)</f>
        <v>0</v>
      </c>
      <c r="M50" s="49">
        <f>IF('① Timelog Input'!B50="","",IFERROR(VLOOKUP(B50,'② Salary Input'!A:V,14,FALSE()),0))</f>
        <v>233334</v>
      </c>
      <c r="N50" s="49">
        <f>IF('① Timelog Input'!B50="","",IFERROR(VLOOKUP(B50,'② Salary Input'!A:V,10,FALSE()),0))</f>
        <v>0</v>
      </c>
      <c r="O50" s="49">
        <f>IF('① Timelog Input'!B50="","",IF(AND(D50="Remote",N50&gt;0),N50,IF(K50=0,0,M50/K50)))</f>
        <v>1458.3375000000001</v>
      </c>
      <c r="P50" s="49" t="str">
        <f>IF(OR('① Timelog Input'!B50="",J50=0),"",M50/J50)</f>
        <v/>
      </c>
      <c r="Q50" s="46" t="str">
        <f>IF('① Timelog Input'!B50="","",'① Timelog Input'!L50)</f>
        <v>--</v>
      </c>
      <c r="R50" s="46" t="str">
        <f>IF('① Timelog Input'!B50="","",IF(NOT(ISNUMBER(L50)),"No Data",IF(L50&gt;=Settings!B13,"HIGH",IF(L50&gt;=Settings!B14,"MEDIUM","LOW"))))</f>
        <v>LOW</v>
      </c>
    </row>
    <row r="51" spans="1:18" ht="15" customHeight="1" x14ac:dyDescent="0.2">
      <c r="A51" s="46">
        <f>IF('① Timelog Input'!B51="","",ROW()-3)</f>
        <v>48</v>
      </c>
      <c r="B51" s="46" t="str">
        <f>IF('① Timelog Input'!B51="","",'① Timelog Input'!C51)</f>
        <v>CAS-IH_1126</v>
      </c>
      <c r="C51" s="46" t="str">
        <f>IF('① Timelog Input'!B51="","",'① Timelog Input'!B51)</f>
        <v>Deepika.B</v>
      </c>
      <c r="D51" s="46" t="str">
        <f>IF('① Timelog Input'!B51="","",'① Timelog Input'!F51)</f>
        <v>In-house</v>
      </c>
      <c r="E51" s="46" t="str">
        <f>IF('① Timelog Input'!B51="","",'① Timelog Input'!G51)</f>
        <v>Associate</v>
      </c>
      <c r="F51" s="46" t="str">
        <f>IF('① Timelog Input'!B51="","",'① Timelog Input'!H51)</f>
        <v>Individual Tax</v>
      </c>
      <c r="G51" s="46" t="str">
        <f>IF('① Timelog Input'!B51="","",'① Timelog Input'!E51)</f>
        <v>Smriti Shah</v>
      </c>
      <c r="H51" s="46" t="str">
        <f>IF('① Timelog Input'!B51="","",'① Timelog Input'!D51)</f>
        <v>Smriti Shah</v>
      </c>
      <c r="I51" s="47">
        <f>IF('① Timelog Input'!B51="","",IF(ISNUMBER('① Timelog Input'!I51),'① Timelog Input'!I51,0))</f>
        <v>153.6</v>
      </c>
      <c r="J51" s="46">
        <f>IF('① Timelog Input'!B51="","",IF(ISNUMBER('① Timelog Input'!J51),'① Timelog Input'!J51,0))</f>
        <v>153.6</v>
      </c>
      <c r="K51" s="46">
        <f>IF('① Timelog Input'!B51="","",Settings!B6)</f>
        <v>160</v>
      </c>
      <c r="L51" s="48">
        <f>IF(OR('① Timelog Input'!B51="",K51=0),"",J51/K51)</f>
        <v>0.96</v>
      </c>
      <c r="M51" s="49">
        <f>IF('① Timelog Input'!B51="","",IFERROR(VLOOKUP(B51,'② Salary Input'!A:V,14,FALSE()),0))</f>
        <v>36000</v>
      </c>
      <c r="N51" s="49">
        <f>IF('① Timelog Input'!B51="","",IFERROR(VLOOKUP(B51,'② Salary Input'!A:V,10,FALSE()),0))</f>
        <v>0</v>
      </c>
      <c r="O51" s="49">
        <f>IF('① Timelog Input'!B51="","",IF(AND(D51="Remote",N51&gt;0),N51,IF(K51=0,0,M51/K51)))</f>
        <v>225</v>
      </c>
      <c r="P51" s="49">
        <f>IF(OR('① Timelog Input'!B51="",J51=0),"",M51/J51)</f>
        <v>234.375</v>
      </c>
      <c r="Q51" s="46" t="str">
        <f>IF('① Timelog Input'!B51="","",'① Timelog Input'!L51)</f>
        <v>100%</v>
      </c>
      <c r="R51" s="46" t="str">
        <f>IF('① Timelog Input'!B51="","",IF(NOT(ISNUMBER(L51)),"No Data",IF(L51&gt;=Settings!B13,"HIGH",IF(L51&gt;=Settings!B14,"MEDIUM","LOW"))))</f>
        <v>HIGH</v>
      </c>
    </row>
    <row r="52" spans="1:18" ht="15" customHeight="1" x14ac:dyDescent="0.2">
      <c r="A52" s="46">
        <f>IF('① Timelog Input'!B52="","",ROW()-3)</f>
        <v>49</v>
      </c>
      <c r="B52" s="46" t="str">
        <f>IF('① Timelog Input'!B52="","",'① Timelog Input'!C52)</f>
        <v>CAS-IH_1127</v>
      </c>
      <c r="C52" s="46" t="str">
        <f>IF('① Timelog Input'!B52="","",'① Timelog Input'!B52)</f>
        <v>Vandana.M</v>
      </c>
      <c r="D52" s="46" t="str">
        <f>IF('① Timelog Input'!B52="","",'① Timelog Input'!F52)</f>
        <v>In-house</v>
      </c>
      <c r="E52" s="46" t="str">
        <f>IF('① Timelog Input'!B52="","",'① Timelog Input'!G52)</f>
        <v>Associate</v>
      </c>
      <c r="F52" s="46" t="str">
        <f>IF('① Timelog Input'!B52="","",'① Timelog Input'!H52)</f>
        <v>Individual Tax</v>
      </c>
      <c r="G52" s="46" t="str">
        <f>IF('① Timelog Input'!B52="","",'① Timelog Input'!E52)</f>
        <v>Smriti Shah</v>
      </c>
      <c r="H52" s="46" t="str">
        <f>IF('① Timelog Input'!B52="","",'① Timelog Input'!D52)</f>
        <v>Smriti Shah</v>
      </c>
      <c r="I52" s="47">
        <f>IF('① Timelog Input'!B52="","",IF(ISNUMBER('① Timelog Input'!I52),'① Timelog Input'!I52,0))</f>
        <v>119.16</v>
      </c>
      <c r="J52" s="46">
        <f>IF('① Timelog Input'!B52="","",IF(ISNUMBER('① Timelog Input'!J52),'① Timelog Input'!J52,0))</f>
        <v>119.16</v>
      </c>
      <c r="K52" s="46">
        <f>IF('① Timelog Input'!B52="","",Settings!B6)</f>
        <v>160</v>
      </c>
      <c r="L52" s="48">
        <f>IF(OR('① Timelog Input'!B52="",K52=0),"",J52/K52)</f>
        <v>0.74475000000000002</v>
      </c>
      <c r="M52" s="49">
        <f>IF('① Timelog Input'!B52="","",IFERROR(VLOOKUP(B52,'② Salary Input'!A:V,14,FALSE()),0))</f>
        <v>33000</v>
      </c>
      <c r="N52" s="49">
        <f>IF('① Timelog Input'!B52="","",IFERROR(VLOOKUP(B52,'② Salary Input'!A:V,10,FALSE()),0))</f>
        <v>0</v>
      </c>
      <c r="O52" s="49">
        <f>IF('① Timelog Input'!B52="","",IF(AND(D52="Remote",N52&gt;0),N52,IF(K52=0,0,M52/K52)))</f>
        <v>206.25</v>
      </c>
      <c r="P52" s="49">
        <f>IF(OR('① Timelog Input'!B52="",J52=0),"",M52/J52)</f>
        <v>276.93856998992953</v>
      </c>
      <c r="Q52" s="46" t="str">
        <f>IF('① Timelog Input'!B52="","",'① Timelog Input'!L52)</f>
        <v>100%</v>
      </c>
      <c r="R52" s="46" t="str">
        <f>IF('① Timelog Input'!B52="","",IF(NOT(ISNUMBER(L52)),"No Data",IF(L52&gt;=Settings!B13,"HIGH",IF(L52&gt;=Settings!B14,"MEDIUM","LOW"))))</f>
        <v>MEDIUM</v>
      </c>
    </row>
    <row r="53" spans="1:18" ht="15" customHeight="1" x14ac:dyDescent="0.2">
      <c r="A53" s="46">
        <f>IF('① Timelog Input'!B53="","",ROW()-3)</f>
        <v>50</v>
      </c>
      <c r="B53" s="46" t="str">
        <f>IF('① Timelog Input'!B53="","",'① Timelog Input'!C53)</f>
        <v>CAS-RT_2319</v>
      </c>
      <c r="C53" s="46" t="str">
        <f>IF('① Timelog Input'!B53="","",'① Timelog Input'!B53)</f>
        <v>Shikha.AG</v>
      </c>
      <c r="D53" s="46" t="str">
        <f>IF('① Timelog Input'!B53="","",'① Timelog Input'!F53)</f>
        <v>Remote</v>
      </c>
      <c r="E53" s="46" t="str">
        <f>IF('① Timelog Input'!B53="","",'① Timelog Input'!G53)</f>
        <v>Asst. Team Lead</v>
      </c>
      <c r="F53" s="46" t="str">
        <f>IF('① Timelog Input'!B53="","",'① Timelog Input'!H53)</f>
        <v>Accounting</v>
      </c>
      <c r="G53" s="46" t="str">
        <f>IF('① Timelog Input'!B53="","",'① Timelog Input'!E53)</f>
        <v>Ayushi</v>
      </c>
      <c r="H53" s="46" t="str">
        <f>IF('① Timelog Input'!B53="","",'① Timelog Input'!D53)</f>
        <v>Suhani</v>
      </c>
      <c r="I53" s="47">
        <f>IF('① Timelog Input'!B53="","",IF(ISNUMBER('① Timelog Input'!I53),'① Timelog Input'!I53,0))</f>
        <v>55.91</v>
      </c>
      <c r="J53" s="46">
        <f>IF('① Timelog Input'!B53="","",IF(ISNUMBER('① Timelog Input'!J53),'① Timelog Input'!J53,0))</f>
        <v>55.91</v>
      </c>
      <c r="K53" s="46">
        <f>IF('① Timelog Input'!B53="","",Settings!B6)</f>
        <v>160</v>
      </c>
      <c r="L53" s="48">
        <f>IF(OR('① Timelog Input'!B53="",K53=0),"",J53/K53)</f>
        <v>0.34943749999999996</v>
      </c>
      <c r="M53" s="49">
        <f>IF('① Timelog Input'!B53="","",IFERROR(VLOOKUP(B53,'② Salary Input'!A:V,14,FALSE()),0))</f>
        <v>39200</v>
      </c>
      <c r="N53" s="49">
        <f>IF('① Timelog Input'!B53="","",IFERROR(VLOOKUP(B53,'② Salary Input'!A:V,10,FALSE()),0))</f>
        <v>38700</v>
      </c>
      <c r="O53" s="49">
        <f>IF('① Timelog Input'!B53="","",IF(AND(D53="Remote",N53&gt;0),N53,IF(K53=0,0,M53/K53)))</f>
        <v>38700</v>
      </c>
      <c r="P53" s="49">
        <f>IF(OR('① Timelog Input'!B53="",J53=0),"",M53/J53)</f>
        <v>701.12681094616357</v>
      </c>
      <c r="Q53" s="46" t="str">
        <f>IF('① Timelog Input'!B53="","",'① Timelog Input'!L53)</f>
        <v>100%</v>
      </c>
      <c r="R53" s="46" t="str">
        <f>IF('① Timelog Input'!B53="","",IF(NOT(ISNUMBER(L53)),"No Data",IF(L53&gt;=Settings!B13,"HIGH",IF(L53&gt;=Settings!B14,"MEDIUM","LOW"))))</f>
        <v>LOW</v>
      </c>
    </row>
    <row r="54" spans="1:18" ht="15" customHeight="1" x14ac:dyDescent="0.2">
      <c r="A54" s="46">
        <f>IF('① Timelog Input'!B54="","",ROW()-3)</f>
        <v>51</v>
      </c>
      <c r="B54" s="46" t="str">
        <f>IF('① Timelog Input'!B54="","",'① Timelog Input'!C54)</f>
        <v>CAS-RT_2324</v>
      </c>
      <c r="C54" s="46" t="str">
        <f>IF('① Timelog Input'!B54="","",'① Timelog Input'!B54)</f>
        <v>Falguni.M</v>
      </c>
      <c r="D54" s="46" t="str">
        <f>IF('① Timelog Input'!B54="","",'① Timelog Input'!F54)</f>
        <v>Remote</v>
      </c>
      <c r="E54" s="46" t="str">
        <f>IF('① Timelog Input'!B54="","",'① Timelog Input'!G54)</f>
        <v>Manager</v>
      </c>
      <c r="F54" s="46" t="str">
        <f>IF('① Timelog Input'!B54="","",'① Timelog Input'!H54)</f>
        <v>Business Tax</v>
      </c>
      <c r="G54" s="46" t="str">
        <f>IF('① Timelog Input'!B54="","",'① Timelog Input'!E54)</f>
        <v>Jyoti</v>
      </c>
      <c r="H54" s="46" t="str">
        <f>IF('① Timelog Input'!B54="","",'① Timelog Input'!D54)</f>
        <v>Jyoti</v>
      </c>
      <c r="I54" s="47">
        <f>IF('① Timelog Input'!B54="","",IF(ISNUMBER('① Timelog Input'!I54),'① Timelog Input'!I54,0))</f>
        <v>150.5</v>
      </c>
      <c r="J54" s="46">
        <f>IF('① Timelog Input'!B54="","",IF(ISNUMBER('① Timelog Input'!J54),'① Timelog Input'!J54,0))</f>
        <v>150.5</v>
      </c>
      <c r="K54" s="46">
        <f>IF('① Timelog Input'!B54="","",Settings!B6)</f>
        <v>160</v>
      </c>
      <c r="L54" s="48">
        <f>IF(OR('① Timelog Input'!B54="",K54=0),"",J54/K54)</f>
        <v>0.94062500000000004</v>
      </c>
      <c r="M54" s="49">
        <f>IF('① Timelog Input'!B54="","",IFERROR(VLOOKUP(B54,'② Salary Input'!A:V,14,FALSE()),0))</f>
        <v>39400</v>
      </c>
      <c r="N54" s="49">
        <f>IF('① Timelog Input'!B54="","",IFERROR(VLOOKUP(B54,'② Salary Input'!A:V,10,FALSE()),0))</f>
        <v>6600</v>
      </c>
      <c r="O54" s="49">
        <f>IF('① Timelog Input'!B54="","",IF(AND(D54="Remote",N54&gt;0),N54,IF(K54=0,0,M54/K54)))</f>
        <v>6600</v>
      </c>
      <c r="P54" s="49">
        <f>IF(OR('① Timelog Input'!B54="",J54=0),"",M54/J54)</f>
        <v>261.79401993355481</v>
      </c>
      <c r="Q54" s="46" t="str">
        <f>IF('① Timelog Input'!B54="","",'① Timelog Input'!L54)</f>
        <v>100%</v>
      </c>
      <c r="R54" s="46" t="str">
        <f>IF('① Timelog Input'!B54="","",IF(NOT(ISNUMBER(L54)),"No Data",IF(L54&gt;=Settings!B13,"HIGH",IF(L54&gt;=Settings!B14,"MEDIUM","LOW"))))</f>
        <v>HIGH</v>
      </c>
    </row>
    <row r="55" spans="1:18" ht="15" customHeight="1" x14ac:dyDescent="0.2">
      <c r="A55" s="46">
        <f>IF('① Timelog Input'!B55="","",ROW()-3)</f>
        <v>52</v>
      </c>
      <c r="B55" s="46" t="str">
        <f>IF('① Timelog Input'!B55="","",'① Timelog Input'!C55)</f>
        <v>CAS-RT_2332</v>
      </c>
      <c r="C55" s="46" t="str">
        <f>IF('① Timelog Input'!B55="","",'① Timelog Input'!B55)</f>
        <v>Saumil.M</v>
      </c>
      <c r="D55" s="46" t="str">
        <f>IF('① Timelog Input'!B55="","",'① Timelog Input'!F55)</f>
        <v>Remote</v>
      </c>
      <c r="E55" s="46" t="str">
        <f>IF('① Timelog Input'!B55="","",'① Timelog Input'!G55)</f>
        <v>Associate</v>
      </c>
      <c r="F55" s="46" t="str">
        <f>IF('① Timelog Input'!B55="","",'① Timelog Input'!H55)</f>
        <v>Accounting</v>
      </c>
      <c r="G55" s="46" t="str">
        <f>IF('① Timelog Input'!B55="","",'① Timelog Input'!E55)</f>
        <v>Ayushi</v>
      </c>
      <c r="H55" s="46" t="str">
        <f>IF('① Timelog Input'!B55="","",'① Timelog Input'!D55)</f>
        <v>Suhani</v>
      </c>
      <c r="I55" s="47">
        <f>IF('① Timelog Input'!B55="","",IF(ISNUMBER('① Timelog Input'!I55),'① Timelog Input'!I55,0))</f>
        <v>102.39</v>
      </c>
      <c r="J55" s="46">
        <f>IF('① Timelog Input'!B55="","",IF(ISNUMBER('① Timelog Input'!J55),'① Timelog Input'!J55,0))</f>
        <v>92.31</v>
      </c>
      <c r="K55" s="46">
        <f>IF('① Timelog Input'!B55="","",Settings!B6)</f>
        <v>160</v>
      </c>
      <c r="L55" s="48">
        <f>IF(OR('① Timelog Input'!B55="",K55=0),"",J55/K55)</f>
        <v>0.57693749999999999</v>
      </c>
      <c r="M55" s="49">
        <f>IF('① Timelog Input'!B55="","",IFERROR(VLOOKUP(B55,'② Salary Input'!A:V,14,FALSE()),0))</f>
        <v>14908</v>
      </c>
      <c r="N55" s="49">
        <f>IF('① Timelog Input'!B55="","",IFERROR(VLOOKUP(B55,'② Salary Input'!A:V,10,FALSE()),0))</f>
        <v>14658</v>
      </c>
      <c r="O55" s="49">
        <f>IF('① Timelog Input'!B55="","",IF(AND(D55="Remote",N55&gt;0),N55,IF(K55=0,0,M55/K55)))</f>
        <v>14658</v>
      </c>
      <c r="P55" s="49">
        <f>IF(OR('① Timelog Input'!B55="",J55=0),"",M55/J55)</f>
        <v>161.49929585093705</v>
      </c>
      <c r="Q55" s="46" t="str">
        <f>IF('① Timelog Input'!B55="","",'① Timelog Input'!L55)</f>
        <v>90.16%</v>
      </c>
      <c r="R55" s="46" t="str">
        <f>IF('① Timelog Input'!B55="","",IF(NOT(ISNUMBER(L55)),"No Data",IF(L55&gt;=Settings!B13,"HIGH",IF(L55&gt;=Settings!B14,"MEDIUM","LOW"))))</f>
        <v>LOW</v>
      </c>
    </row>
    <row r="56" spans="1:18" ht="15" customHeight="1" x14ac:dyDescent="0.2">
      <c r="A56" s="46">
        <f>IF('① Timelog Input'!B56="","",ROW()-3)</f>
        <v>53</v>
      </c>
      <c r="B56" s="46" t="str">
        <f>IF('① Timelog Input'!B56="","",'① Timelog Input'!C56)</f>
        <v>CAS-RT_2335</v>
      </c>
      <c r="C56" s="46" t="str">
        <f>IF('① Timelog Input'!B56="","",'① Timelog Input'!B56)</f>
        <v>Seemu.A</v>
      </c>
      <c r="D56" s="46" t="str">
        <f>IF('① Timelog Input'!B56="","",'① Timelog Input'!F56)</f>
        <v>Remote</v>
      </c>
      <c r="E56" s="46" t="str">
        <f>IF('① Timelog Input'!B56="","",'① Timelog Input'!G56)</f>
        <v>Associate</v>
      </c>
      <c r="F56" s="46" t="str">
        <f>IF('① Timelog Input'!B56="","",'① Timelog Input'!H56)</f>
        <v>Accounting</v>
      </c>
      <c r="G56" s="46" t="str">
        <f>IF('① Timelog Input'!B56="","",'① Timelog Input'!E56)</f>
        <v>Nikita Shah</v>
      </c>
      <c r="H56" s="46" t="str">
        <f>IF('① Timelog Input'!B56="","",'① Timelog Input'!D56)</f>
        <v>Preety</v>
      </c>
      <c r="I56" s="47">
        <f>IF('① Timelog Input'!B56="","",IF(ISNUMBER('① Timelog Input'!I56),'① Timelog Input'!I56,0))</f>
        <v>103.38</v>
      </c>
      <c r="J56" s="46">
        <f>IF('① Timelog Input'!B56="","",IF(ISNUMBER('① Timelog Input'!J56),'① Timelog Input'!J56,0))</f>
        <v>103.38</v>
      </c>
      <c r="K56" s="46">
        <f>IF('① Timelog Input'!B56="","",Settings!B6)</f>
        <v>160</v>
      </c>
      <c r="L56" s="48">
        <f>IF(OR('① Timelog Input'!B56="",K56=0),"",J56/K56)</f>
        <v>0.64612499999999995</v>
      </c>
      <c r="M56" s="49">
        <f>IF('① Timelog Input'!B56="","",IFERROR(VLOOKUP(B56,'② Salary Input'!A:V,14,FALSE()),0))</f>
        <v>18304</v>
      </c>
      <c r="N56" s="49">
        <f>IF('① Timelog Input'!B56="","",IFERROR(VLOOKUP(B56,'② Salary Input'!A:V,10,FALSE()),0))</f>
        <v>18054</v>
      </c>
      <c r="O56" s="49">
        <f>IF('① Timelog Input'!B56="","",IF(AND(D56="Remote",N56&gt;0),N56,IF(K56=0,0,M56/K56)))</f>
        <v>18054</v>
      </c>
      <c r="P56" s="49">
        <f>IF(OR('① Timelog Input'!B56="",J56=0),"",M56/J56)</f>
        <v>177.05552331205263</v>
      </c>
      <c r="Q56" s="46" t="str">
        <f>IF('① Timelog Input'!B56="","",'① Timelog Input'!L56)</f>
        <v>100%</v>
      </c>
      <c r="R56" s="46" t="str">
        <f>IF('① Timelog Input'!B56="","",IF(NOT(ISNUMBER(L56)),"No Data",IF(L56&gt;=Settings!B13,"HIGH",IF(L56&gt;=Settings!B14,"MEDIUM","LOW"))))</f>
        <v>LOW</v>
      </c>
    </row>
    <row r="57" spans="1:18" ht="15" customHeight="1" x14ac:dyDescent="0.2">
      <c r="A57" s="46">
        <f>IF('① Timelog Input'!B57="","",ROW()-3)</f>
        <v>54</v>
      </c>
      <c r="B57" s="46" t="str">
        <f>IF('① Timelog Input'!B57="","",'① Timelog Input'!C57)</f>
        <v>CAS-RT_2340</v>
      </c>
      <c r="C57" s="46" t="str">
        <f>IF('① Timelog Input'!B57="","",'① Timelog Input'!B57)</f>
        <v>Kanica.P</v>
      </c>
      <c r="D57" s="46" t="str">
        <f>IF('① Timelog Input'!B57="","",'① Timelog Input'!F57)</f>
        <v>Remote</v>
      </c>
      <c r="E57" s="46" t="str">
        <f>IF('① Timelog Input'!B57="","",'① Timelog Input'!G57)</f>
        <v>Sr. Associate</v>
      </c>
      <c r="F57" s="46" t="str">
        <f>IF('① Timelog Input'!B57="","",'① Timelog Input'!H57)</f>
        <v>Accounting</v>
      </c>
      <c r="G57" s="46" t="str">
        <f>IF('① Timelog Input'!B57="","",'① Timelog Input'!E57)</f>
        <v>Nikita Shah</v>
      </c>
      <c r="H57" s="46" t="str">
        <f>IF('① Timelog Input'!B57="","",'① Timelog Input'!D57)</f>
        <v>Shefali</v>
      </c>
      <c r="I57" s="47">
        <f>IF('① Timelog Input'!B57="","",IF(ISNUMBER('① Timelog Input'!I57),'① Timelog Input'!I57,0))</f>
        <v>160</v>
      </c>
      <c r="J57" s="46">
        <f>IF('① Timelog Input'!B57="","",IF(ISNUMBER('① Timelog Input'!J57),'① Timelog Input'!J57,0))</f>
        <v>160</v>
      </c>
      <c r="K57" s="46">
        <f>IF('① Timelog Input'!B57="","",Settings!B6)</f>
        <v>160</v>
      </c>
      <c r="L57" s="48">
        <f>IF(OR('① Timelog Input'!B57="",K57=0),"",J57/K57)</f>
        <v>1</v>
      </c>
      <c r="M57" s="49">
        <f>IF('① Timelog Input'!B57="","",IFERROR(VLOOKUP(B57,'② Salary Input'!A:V,14,FALSE()),0))</f>
        <v>36600</v>
      </c>
      <c r="N57" s="49">
        <f>IF('① Timelog Input'!B57="","",IFERROR(VLOOKUP(B57,'② Salary Input'!A:V,10,FALSE()),0))</f>
        <v>36350</v>
      </c>
      <c r="O57" s="49">
        <f>IF('① Timelog Input'!B57="","",IF(AND(D57="Remote",N57&gt;0),N57,IF(K57=0,0,M57/K57)))</f>
        <v>36350</v>
      </c>
      <c r="P57" s="49">
        <f>IF(OR('① Timelog Input'!B57="",J57=0),"",M57/J57)</f>
        <v>228.75</v>
      </c>
      <c r="Q57" s="46" t="str">
        <f>IF('① Timelog Input'!B57="","",'① Timelog Input'!L57)</f>
        <v>100%</v>
      </c>
      <c r="R57" s="46" t="str">
        <f>IF('① Timelog Input'!B57="","",IF(NOT(ISNUMBER(L57)),"No Data",IF(L57&gt;=Settings!B13,"HIGH",IF(L57&gt;=Settings!B14,"MEDIUM","LOW"))))</f>
        <v>HIGH</v>
      </c>
    </row>
    <row r="58" spans="1:18" ht="15" customHeight="1" x14ac:dyDescent="0.2">
      <c r="A58" s="46">
        <f>IF('① Timelog Input'!B58="","",ROW()-3)</f>
        <v>55</v>
      </c>
      <c r="B58" s="46" t="str">
        <f>IF('① Timelog Input'!B58="","",'① Timelog Input'!C58)</f>
        <v>CAS-IH_1137</v>
      </c>
      <c r="C58" s="46" t="str">
        <f>IF('① Timelog Input'!B58="","",'① Timelog Input'!B58)</f>
        <v>Ammie</v>
      </c>
      <c r="D58" s="46" t="str">
        <f>IF('① Timelog Input'!B58="","",'① Timelog Input'!F58)</f>
        <v>In-house</v>
      </c>
      <c r="E58" s="46" t="str">
        <f>IF('① Timelog Input'!B58="","",'① Timelog Input'!G58)</f>
        <v>Sr. Controller</v>
      </c>
      <c r="F58" s="46" t="str">
        <f>IF('① Timelog Input'!B58="","",'① Timelog Input'!H58)</f>
        <v>Individual Tax, Business Tax</v>
      </c>
      <c r="G58" s="46" t="str">
        <f>IF('① Timelog Input'!B58="","",'① Timelog Input'!E58)</f>
        <v>--</v>
      </c>
      <c r="H58" s="46" t="str">
        <f>IF('① Timelog Input'!B58="","",'① Timelog Input'!D58)</f>
        <v>Andrew Jindal</v>
      </c>
      <c r="I58" s="47">
        <f>IF('① Timelog Input'!B58="","",IF(ISNUMBER('① Timelog Input'!I58),'① Timelog Input'!I58,0))</f>
        <v>177.82</v>
      </c>
      <c r="J58" s="46">
        <f>IF('① Timelog Input'!B58="","",IF(ISNUMBER('① Timelog Input'!J58),'① Timelog Input'!J58,0))</f>
        <v>177.82</v>
      </c>
      <c r="K58" s="46">
        <f>IF('① Timelog Input'!B58="","",Settings!B6)</f>
        <v>160</v>
      </c>
      <c r="L58" s="48">
        <f>IF(OR('① Timelog Input'!B58="",K58=0),"",J58/K58)</f>
        <v>1.111375</v>
      </c>
      <c r="M58" s="49">
        <f>IF('① Timelog Input'!B58="","",IFERROR(VLOOKUP(B58,'② Salary Input'!A:V,14,FALSE()),0))</f>
        <v>481667</v>
      </c>
      <c r="N58" s="49">
        <f>IF('① Timelog Input'!B58="","",IFERROR(VLOOKUP(B58,'② Salary Input'!A:V,10,FALSE()),0))</f>
        <v>0</v>
      </c>
      <c r="O58" s="49">
        <f>IF('① Timelog Input'!B58="","",IF(AND(D58="Remote",N58&gt;0),N58,IF(K58=0,0,M58/K58)))</f>
        <v>3010.4187499999998</v>
      </c>
      <c r="P58" s="49">
        <f>IF(OR('① Timelog Input'!B58="",J58=0),"",M58/J58)</f>
        <v>2708.7335507816892</v>
      </c>
      <c r="Q58" s="46" t="str">
        <f>IF('① Timelog Input'!B58="","",'① Timelog Input'!L58)</f>
        <v>100%</v>
      </c>
      <c r="R58" s="46" t="str">
        <f>IF('① Timelog Input'!B58="","",IF(NOT(ISNUMBER(L58)),"No Data",IF(L58&gt;=Settings!B13,"HIGH",IF(L58&gt;=Settings!B14,"MEDIUM","LOW"))))</f>
        <v>HIGH</v>
      </c>
    </row>
    <row r="59" spans="1:18" ht="15" customHeight="1" x14ac:dyDescent="0.2">
      <c r="A59" s="46">
        <f>IF('① Timelog Input'!B59="","",ROW()-3)</f>
        <v>56</v>
      </c>
      <c r="B59" s="46" t="str">
        <f>IF('① Timelog Input'!B59="","",'① Timelog Input'!C59)</f>
        <v>CAS-RT_2349</v>
      </c>
      <c r="C59" s="46" t="str">
        <f>IF('① Timelog Input'!B59="","",'① Timelog Input'!B59)</f>
        <v>Pranjali.M</v>
      </c>
      <c r="D59" s="46" t="str">
        <f>IF('① Timelog Input'!B59="","",'① Timelog Input'!F59)</f>
        <v>Remote</v>
      </c>
      <c r="E59" s="46" t="str">
        <f>IF('① Timelog Input'!B59="","",'① Timelog Input'!G59)</f>
        <v>Associate</v>
      </c>
      <c r="F59" s="46" t="str">
        <f>IF('① Timelog Input'!B59="","",'① Timelog Input'!H59)</f>
        <v>Accounting</v>
      </c>
      <c r="G59" s="46" t="str">
        <f>IF('① Timelog Input'!B59="","",'① Timelog Input'!E59)</f>
        <v>Ayushi</v>
      </c>
      <c r="H59" s="46" t="str">
        <f>IF('① Timelog Input'!B59="","",'① Timelog Input'!D59)</f>
        <v>Sukhmeen.K</v>
      </c>
      <c r="I59" s="47">
        <f>IF('① Timelog Input'!B59="","",IF(ISNUMBER('① Timelog Input'!I59),'① Timelog Input'!I59,0))</f>
        <v>80.09</v>
      </c>
      <c r="J59" s="46">
        <f>IF('① Timelog Input'!B59="","",IF(ISNUMBER('① Timelog Input'!J59),'① Timelog Input'!J59,0))</f>
        <v>78.17</v>
      </c>
      <c r="K59" s="46">
        <f>IF('① Timelog Input'!B59="","",Settings!B6)</f>
        <v>160</v>
      </c>
      <c r="L59" s="48">
        <f>IF(OR('① Timelog Input'!B59="",K59=0),"",J59/K59)</f>
        <v>0.48856250000000001</v>
      </c>
      <c r="M59" s="49">
        <f>IF('① Timelog Input'!B59="","",IFERROR(VLOOKUP(B59,'② Salary Input'!A:V,14,FALSE()),0))</f>
        <v>17553</v>
      </c>
      <c r="N59" s="49">
        <f>IF('① Timelog Input'!B59="","",IFERROR(VLOOKUP(B59,'② Salary Input'!A:V,10,FALSE()),0))</f>
        <v>17353</v>
      </c>
      <c r="O59" s="49">
        <f>IF('① Timelog Input'!B59="","",IF(AND(D59="Remote",N59&gt;0),N59,IF(K59=0,0,M59/K59)))</f>
        <v>17353</v>
      </c>
      <c r="P59" s="49">
        <f>IF(OR('① Timelog Input'!B59="",J59=0),"",M59/J59)</f>
        <v>224.54905974158885</v>
      </c>
      <c r="Q59" s="46" t="str">
        <f>IF('① Timelog Input'!B59="","",'① Timelog Input'!L59)</f>
        <v>97.6%</v>
      </c>
      <c r="R59" s="46" t="str">
        <f>IF('① Timelog Input'!B59="","",IF(NOT(ISNUMBER(L59)),"No Data",IF(L59&gt;=Settings!B13,"HIGH",IF(L59&gt;=Settings!B14,"MEDIUM","LOW"))))</f>
        <v>LOW</v>
      </c>
    </row>
    <row r="60" spans="1:18" ht="15" customHeight="1" x14ac:dyDescent="0.2">
      <c r="A60" s="46">
        <f>IF('① Timelog Input'!B60="","",ROW()-3)</f>
        <v>57</v>
      </c>
      <c r="B60" s="46" t="str">
        <f>IF('① Timelog Input'!B60="","",'① Timelog Input'!C60)</f>
        <v>CAS-RT_2351</v>
      </c>
      <c r="C60" s="46" t="str">
        <f>IF('① Timelog Input'!B60="","",'① Timelog Input'!B60)</f>
        <v>Shikha.S</v>
      </c>
      <c r="D60" s="46" t="str">
        <f>IF('① Timelog Input'!B60="","",'① Timelog Input'!F60)</f>
        <v>Remote</v>
      </c>
      <c r="E60" s="46" t="str">
        <f>IF('① Timelog Input'!B60="","",'① Timelog Input'!G60)</f>
        <v>Associate</v>
      </c>
      <c r="F60" s="46" t="str">
        <f>IF('① Timelog Input'!B60="","",'① Timelog Input'!H60)</f>
        <v>Accounting</v>
      </c>
      <c r="G60" s="46" t="str">
        <f>IF('① Timelog Input'!B60="","",'① Timelog Input'!E60)</f>
        <v>Nikita Shah</v>
      </c>
      <c r="H60" s="46" t="str">
        <f>IF('① Timelog Input'!B60="","",'① Timelog Input'!D60)</f>
        <v>Shefali</v>
      </c>
      <c r="I60" s="47">
        <f>IF('① Timelog Input'!B60="","",IF(ISNUMBER('① Timelog Input'!I60),'① Timelog Input'!I60,0))</f>
        <v>177.89</v>
      </c>
      <c r="J60" s="46">
        <f>IF('① Timelog Input'!B60="","",IF(ISNUMBER('① Timelog Input'!J60),'① Timelog Input'!J60,0))</f>
        <v>177.89</v>
      </c>
      <c r="K60" s="46">
        <f>IF('① Timelog Input'!B60="","",Settings!B6)</f>
        <v>160</v>
      </c>
      <c r="L60" s="48">
        <f>IF(OR('① Timelog Input'!B60="",K60=0),"",J60/K60)</f>
        <v>1.1118124999999999</v>
      </c>
      <c r="M60" s="49">
        <f>IF('① Timelog Input'!B60="","",IFERROR(VLOOKUP(B60,'② Salary Input'!A:V,14,FALSE()),0))</f>
        <v>40388</v>
      </c>
      <c r="N60" s="49">
        <f>IF('① Timelog Input'!B60="","",IFERROR(VLOOKUP(B60,'② Salary Input'!A:V,10,FALSE()),0))</f>
        <v>40138</v>
      </c>
      <c r="O60" s="49">
        <f>IF('① Timelog Input'!B60="","",IF(AND(D60="Remote",N60&gt;0),N60,IF(K60=0,0,M60/K60)))</f>
        <v>40138</v>
      </c>
      <c r="P60" s="49">
        <f>IF(OR('① Timelog Input'!B60="",J60=0),"",M60/J60)</f>
        <v>227.03918151666761</v>
      </c>
      <c r="Q60" s="46" t="str">
        <f>IF('① Timelog Input'!B60="","",'① Timelog Input'!L60)</f>
        <v>100%</v>
      </c>
      <c r="R60" s="46" t="str">
        <f>IF('① Timelog Input'!B60="","",IF(NOT(ISNUMBER(L60)),"No Data",IF(L60&gt;=Settings!B13,"HIGH",IF(L60&gt;=Settings!B14,"MEDIUM","LOW"))))</f>
        <v>HIGH</v>
      </c>
    </row>
    <row r="61" spans="1:18" ht="15" customHeight="1" x14ac:dyDescent="0.2">
      <c r="A61" s="46">
        <f>IF('① Timelog Input'!B61="","",ROW()-3)</f>
        <v>58</v>
      </c>
      <c r="B61" s="46" t="str">
        <f>IF('① Timelog Input'!B61="","",'① Timelog Input'!C61)</f>
        <v>CAS-RT_2359</v>
      </c>
      <c r="C61" s="46" t="str">
        <f>IF('① Timelog Input'!B61="","",'① Timelog Input'!B61)</f>
        <v>Rutu.G</v>
      </c>
      <c r="D61" s="46" t="str">
        <f>IF('① Timelog Input'!B61="","",'① Timelog Input'!F61)</f>
        <v>Remote</v>
      </c>
      <c r="E61" s="46" t="str">
        <f>IF('① Timelog Input'!B61="","",'① Timelog Input'!G61)</f>
        <v>Associate</v>
      </c>
      <c r="F61" s="46" t="str">
        <f>IF('① Timelog Input'!B61="","",'① Timelog Input'!H61)</f>
        <v>Accounting</v>
      </c>
      <c r="G61" s="46" t="str">
        <f>IF('① Timelog Input'!B61="","",'① Timelog Input'!E61)</f>
        <v>Nikita Shah</v>
      </c>
      <c r="H61" s="46" t="str">
        <f>IF('① Timelog Input'!B61="","",'① Timelog Input'!D61)</f>
        <v>Preety</v>
      </c>
      <c r="I61" s="46">
        <f>IF('① Timelog Input'!B61="","",IF(ISNUMBER('① Timelog Input'!I61),'① Timelog Input'!I61,0))</f>
        <v>117.87</v>
      </c>
      <c r="J61" s="46">
        <f>IF('① Timelog Input'!B61="","",IF(ISNUMBER('① Timelog Input'!J61),'① Timelog Input'!J61,0))</f>
        <v>112.78</v>
      </c>
      <c r="K61" s="46">
        <f>IF('① Timelog Input'!B61="","",Settings!B6)</f>
        <v>160</v>
      </c>
      <c r="L61" s="48">
        <f>IF(OR('① Timelog Input'!B61="",K61=0),"",J61/K61)</f>
        <v>0.70487500000000003</v>
      </c>
      <c r="M61" s="49">
        <f>IF('① Timelog Input'!B61="","",IFERROR(VLOOKUP(B61,'② Salary Input'!A:V,14,FALSE()),0))</f>
        <v>31433</v>
      </c>
      <c r="N61" s="49">
        <f>IF('① Timelog Input'!B61="","",IFERROR(VLOOKUP(B61,'② Salary Input'!A:V,10,FALSE()),0))</f>
        <v>31183</v>
      </c>
      <c r="O61" s="49">
        <f>IF('① Timelog Input'!B61="","",IF(AND(D61="Remote",N61&gt;0),N61,IF(K61=0,0,M61/K61)))</f>
        <v>31183</v>
      </c>
      <c r="P61" s="49">
        <f>IF(OR('① Timelog Input'!B61="",J61=0),"",M61/J61)</f>
        <v>278.71076431991486</v>
      </c>
      <c r="Q61" s="46" t="str">
        <f>IF('① Timelog Input'!B61="","",'① Timelog Input'!L61)</f>
        <v>95.68%</v>
      </c>
      <c r="R61" s="46" t="str">
        <f>IF('① Timelog Input'!B61="","",IF(NOT(ISNUMBER(L61)),"No Data",IF(L61&gt;=Settings!B13,"HIGH",IF(L61&gt;=Settings!B14,"MEDIUM","LOW"))))</f>
        <v>MEDIUM</v>
      </c>
    </row>
    <row r="62" spans="1:18" ht="15" customHeight="1" x14ac:dyDescent="0.2">
      <c r="A62" s="46">
        <f>IF('① Timelog Input'!B62="","",ROW()-3)</f>
        <v>59</v>
      </c>
      <c r="B62" s="46" t="str">
        <f>IF('① Timelog Input'!B62="","",'① Timelog Input'!C62)</f>
        <v>CAS-IH_1003</v>
      </c>
      <c r="C62" s="46" t="str">
        <f>IF('① Timelog Input'!B62="","",'① Timelog Input'!B62)</f>
        <v>Sachi</v>
      </c>
      <c r="D62" s="46" t="str">
        <f>IF('① Timelog Input'!B62="","",'① Timelog Input'!F62)</f>
        <v>In-house</v>
      </c>
      <c r="E62" s="46" t="str">
        <f>IF('① Timelog Input'!B62="","",'① Timelog Input'!G62)</f>
        <v>Coo</v>
      </c>
      <c r="F62" s="46" t="str">
        <f>IF('① Timelog Input'!B62="","",'① Timelog Input'!H62)</f>
        <v>FP&amp;A</v>
      </c>
      <c r="G62" s="46" t="str">
        <f>IF('① Timelog Input'!B62="","",'① Timelog Input'!E62)</f>
        <v>--</v>
      </c>
      <c r="H62" s="46" t="str">
        <f>IF('① Timelog Input'!B62="","",'① Timelog Input'!D62)</f>
        <v>Sam</v>
      </c>
      <c r="I62" s="47">
        <f>IF('① Timelog Input'!B62="","",IF(ISNUMBER('① Timelog Input'!I62),'① Timelog Input'!I62,0))</f>
        <v>0</v>
      </c>
      <c r="J62" s="46">
        <f>IF('① Timelog Input'!B62="","",IF(ISNUMBER('① Timelog Input'!J62),'① Timelog Input'!J62,0))</f>
        <v>0</v>
      </c>
      <c r="K62" s="46">
        <f>IF('① Timelog Input'!B62="","",Settings!B6)</f>
        <v>160</v>
      </c>
      <c r="L62" s="48">
        <f>IF(OR('① Timelog Input'!B62="",K62=0),"",J62/K62)</f>
        <v>0</v>
      </c>
      <c r="M62" s="49">
        <f>IF('① Timelog Input'!B62="","",IFERROR(VLOOKUP(B62,'② Salary Input'!A:V,14,FALSE()),0))</f>
        <v>0</v>
      </c>
      <c r="N62" s="49">
        <f>IF('① Timelog Input'!B62="","",IFERROR(VLOOKUP(B62,'② Salary Input'!A:V,10,FALSE()),0))</f>
        <v>0</v>
      </c>
      <c r="O62" s="49">
        <f>IF('① Timelog Input'!B62="","",IF(AND(D62="Remote",N62&gt;0),N62,IF(K62=0,0,M62/K62)))</f>
        <v>0</v>
      </c>
      <c r="P62" s="49" t="str">
        <f>IF(OR('① Timelog Input'!B62="",J62=0),"",M62/J62)</f>
        <v/>
      </c>
      <c r="Q62" s="46" t="str">
        <f>IF('① Timelog Input'!B62="","",'① Timelog Input'!L62)</f>
        <v>--</v>
      </c>
      <c r="R62" s="46" t="str">
        <f>IF('① Timelog Input'!B62="","",IF(NOT(ISNUMBER(L62)),"No Data",IF(L62&gt;=Settings!B13,"HIGH",IF(L62&gt;=Settings!B14,"MEDIUM","LOW"))))</f>
        <v>LOW</v>
      </c>
    </row>
    <row r="63" spans="1:18" ht="15" customHeight="1" x14ac:dyDescent="0.2">
      <c r="A63" s="46">
        <f>IF('① Timelog Input'!B63="","",ROW()-3)</f>
        <v>60</v>
      </c>
      <c r="B63" s="46" t="str">
        <f>IF('① Timelog Input'!B63="","",'① Timelog Input'!C63)</f>
        <v>CAS-RR_2374</v>
      </c>
      <c r="C63" s="46" t="str">
        <f>IF('① Timelog Input'!B63="","",'① Timelog Input'!B63)</f>
        <v>Aishwarya.V</v>
      </c>
      <c r="D63" s="46" t="str">
        <f>IF('① Timelog Input'!B63="","",'① Timelog Input'!F63)</f>
        <v>Remote</v>
      </c>
      <c r="E63" s="46" t="str">
        <f>IF('① Timelog Input'!B63="","",'① Timelog Input'!G63)</f>
        <v>Asst. Team Lead</v>
      </c>
      <c r="F63" s="46" t="str">
        <f>IF('① Timelog Input'!B63="","",'① Timelog Input'!H63)</f>
        <v>Accounting</v>
      </c>
      <c r="G63" s="46" t="str">
        <f>IF('① Timelog Input'!B63="","",'① Timelog Input'!E63)</f>
        <v>Jasleen.D</v>
      </c>
      <c r="H63" s="46" t="str">
        <f>IF('① Timelog Input'!B63="","",'① Timelog Input'!D63)</f>
        <v>Anshul Ohri</v>
      </c>
      <c r="I63" s="47">
        <f>IF('① Timelog Input'!B63="","",IF(ISNUMBER('① Timelog Input'!I63),'① Timelog Input'!I63,0))</f>
        <v>132.13</v>
      </c>
      <c r="J63" s="46">
        <f>IF('① Timelog Input'!B63="","",IF(ISNUMBER('① Timelog Input'!J63),'① Timelog Input'!J63,0))</f>
        <v>131.78</v>
      </c>
      <c r="K63" s="46">
        <f>IF('① Timelog Input'!B63="","",Settings!B6)</f>
        <v>160</v>
      </c>
      <c r="L63" s="48">
        <f>IF(OR('① Timelog Input'!B63="",K63=0),"",J63/K63)</f>
        <v>0.82362500000000005</v>
      </c>
      <c r="M63" s="49">
        <f>IF('① Timelog Input'!B63="","",IFERROR(VLOOKUP(B63,'② Salary Input'!A:V,14,FALSE()),0))</f>
        <v>62258</v>
      </c>
      <c r="N63" s="49">
        <f>IF('① Timelog Input'!B63="","",IFERROR(VLOOKUP(B63,'② Salary Input'!A:V,10,FALSE()),0))</f>
        <v>0</v>
      </c>
      <c r="O63" s="49">
        <f>IF('① Timelog Input'!B63="","",IF(AND(D63="Remote",N63&gt;0),N63,IF(K63=0,0,M63/K63)))</f>
        <v>389.11250000000001</v>
      </c>
      <c r="P63" s="49">
        <f>IF(OR('① Timelog Input'!B63="",J63=0),"",M63/J63)</f>
        <v>472.43891334041587</v>
      </c>
      <c r="Q63" s="46" t="str">
        <f>IF('① Timelog Input'!B63="","",'① Timelog Input'!L63)</f>
        <v>99.74%</v>
      </c>
      <c r="R63" s="46" t="str">
        <f>IF('① Timelog Input'!B63="","",IF(NOT(ISNUMBER(L63)),"No Data",IF(L63&gt;=Settings!B13,"HIGH",IF(L63&gt;=Settings!B14,"MEDIUM","LOW"))))</f>
        <v>MEDIUM</v>
      </c>
    </row>
    <row r="64" spans="1:18" ht="15" customHeight="1" x14ac:dyDescent="0.2">
      <c r="A64" s="46">
        <f>IF('① Timelog Input'!B64="","",ROW()-3)</f>
        <v>61</v>
      </c>
      <c r="B64" s="46" t="str">
        <f>IF('① Timelog Input'!B64="","",'① Timelog Input'!C64)</f>
        <v>CAS-RT_2367</v>
      </c>
      <c r="C64" s="46" t="str">
        <f>IF('① Timelog Input'!B64="","",'① Timelog Input'!B64)</f>
        <v>Tejas.P</v>
      </c>
      <c r="D64" s="46" t="str">
        <f>IF('① Timelog Input'!B64="","",'① Timelog Input'!F64)</f>
        <v>Remote</v>
      </c>
      <c r="E64" s="46" t="str">
        <f>IF('① Timelog Input'!B64="","",'① Timelog Input'!G64)</f>
        <v>Sr. Associate</v>
      </c>
      <c r="F64" s="46" t="str">
        <f>IF('① Timelog Input'!B64="","",'① Timelog Input'!H64)</f>
        <v>Accounting</v>
      </c>
      <c r="G64" s="46" t="str">
        <f>IF('① Timelog Input'!B64="","",'① Timelog Input'!E64)</f>
        <v>Jasleen.D</v>
      </c>
      <c r="H64" s="46" t="str">
        <f>IF('① Timelog Input'!B64="","",'① Timelog Input'!D64)</f>
        <v>Anshul Ohri</v>
      </c>
      <c r="I64" s="46">
        <f>IF('① Timelog Input'!B64="","",IF(ISNUMBER('① Timelog Input'!I64),'① Timelog Input'!I64,0))</f>
        <v>185.75</v>
      </c>
      <c r="J64" s="46">
        <f>IF('① Timelog Input'!B64="","",IF(ISNUMBER('① Timelog Input'!J64),'① Timelog Input'!J64,0))</f>
        <v>185.75</v>
      </c>
      <c r="K64" s="46">
        <f>IF('① Timelog Input'!B64="","",Settings!B6)</f>
        <v>160</v>
      </c>
      <c r="L64" s="48">
        <f>IF(OR('① Timelog Input'!B64="",K64=0),"",J64/K64)</f>
        <v>1.1609375</v>
      </c>
      <c r="M64" s="49">
        <f>IF('① Timelog Input'!B64="","",IFERROR(VLOOKUP(B64,'② Salary Input'!A:V,14,FALSE()),0))</f>
        <v>45729</v>
      </c>
      <c r="N64" s="49">
        <f>IF('① Timelog Input'!B64="","",IFERROR(VLOOKUP(B64,'② Salary Input'!A:V,10,FALSE()),0))</f>
        <v>45479</v>
      </c>
      <c r="O64" s="49">
        <f>IF('① Timelog Input'!B64="","",IF(AND(D64="Remote",N64&gt;0),N64,IF(K64=0,0,M64/K64)))</f>
        <v>45479</v>
      </c>
      <c r="P64" s="49">
        <f>IF(OR('① Timelog Input'!B64="",J64=0),"",M64/J64)</f>
        <v>246.18573351278602</v>
      </c>
      <c r="Q64" s="46" t="str">
        <f>IF('① Timelog Input'!B64="","",'① Timelog Input'!L64)</f>
        <v>100%</v>
      </c>
      <c r="R64" s="46" t="str">
        <f>IF('① Timelog Input'!B64="","",IF(NOT(ISNUMBER(L64)),"No Data",IF(L64&gt;=Settings!B13,"HIGH",IF(L64&gt;=Settings!B14,"MEDIUM","LOW"))))</f>
        <v>HIGH</v>
      </c>
    </row>
    <row r="65" spans="1:18" ht="15" customHeight="1" x14ac:dyDescent="0.2">
      <c r="A65" s="46">
        <f>IF('① Timelog Input'!B65="","",ROW()-3)</f>
        <v>62</v>
      </c>
      <c r="B65" s="46" t="str">
        <f>IF('① Timelog Input'!B65="","",'① Timelog Input'!C65)</f>
        <v>CAS-RT_2361</v>
      </c>
      <c r="C65" s="46" t="str">
        <f>IF('① Timelog Input'!B65="","",'① Timelog Input'!B65)</f>
        <v>Priyam.B</v>
      </c>
      <c r="D65" s="46" t="str">
        <f>IF('① Timelog Input'!B65="","",'① Timelog Input'!F65)</f>
        <v>Remote</v>
      </c>
      <c r="E65" s="46" t="str">
        <f>IF('① Timelog Input'!B65="","",'① Timelog Input'!G65)</f>
        <v>Asst. Team Lead</v>
      </c>
      <c r="F65" s="46" t="str">
        <f>IF('① Timelog Input'!B65="","",'① Timelog Input'!H65)</f>
        <v>Accounting</v>
      </c>
      <c r="G65" s="46" t="str">
        <f>IF('① Timelog Input'!B65="","",'① Timelog Input'!E65)</f>
        <v>Nikita Shah</v>
      </c>
      <c r="H65" s="46" t="str">
        <f>IF('① Timelog Input'!B65="","",'① Timelog Input'!D65)</f>
        <v>Shefali</v>
      </c>
      <c r="I65" s="47">
        <f>IF('① Timelog Input'!B65="","",IF(ISNUMBER('① Timelog Input'!I65),'① Timelog Input'!I65,0))</f>
        <v>0</v>
      </c>
      <c r="J65" s="46">
        <f>IF('① Timelog Input'!B65="","",IF(ISNUMBER('① Timelog Input'!J65),'① Timelog Input'!J65,0))</f>
        <v>0</v>
      </c>
      <c r="K65" s="46">
        <f>IF('① Timelog Input'!B65="","",Settings!B6)</f>
        <v>160</v>
      </c>
      <c r="L65" s="48">
        <f>IF(OR('① Timelog Input'!B65="",K65=0),"",J65/K65)</f>
        <v>0</v>
      </c>
      <c r="M65" s="49">
        <f>IF('① Timelog Input'!B65="","",IFERROR(VLOOKUP(B65,'② Salary Input'!A:V,14,FALSE()),0))</f>
        <v>24000</v>
      </c>
      <c r="N65" s="49">
        <f>IF('① Timelog Input'!B65="","",IFERROR(VLOOKUP(B65,'② Salary Input'!A:V,10,FALSE()),0))</f>
        <v>23700</v>
      </c>
      <c r="O65" s="49">
        <f>IF('① Timelog Input'!B65="","",IF(AND(D65="Remote",N65&gt;0),N65,IF(K65=0,0,M65/K65)))</f>
        <v>23700</v>
      </c>
      <c r="P65" s="49" t="str">
        <f>IF(OR('① Timelog Input'!B65="",J65=0),"",M65/J65)</f>
        <v/>
      </c>
      <c r="Q65" s="46" t="str">
        <f>IF('① Timelog Input'!B65="","",'① Timelog Input'!L65)</f>
        <v>--</v>
      </c>
      <c r="R65" s="46" t="str">
        <f>IF('① Timelog Input'!B65="","",IF(NOT(ISNUMBER(L65)),"No Data",IF(L65&gt;=Settings!B13,"HIGH",IF(L65&gt;=Settings!B14,"MEDIUM","LOW"))))</f>
        <v>LOW</v>
      </c>
    </row>
    <row r="66" spans="1:18" ht="15" customHeight="1" x14ac:dyDescent="0.2">
      <c r="A66" s="46">
        <f>IF('① Timelog Input'!B66="","",ROW()-3)</f>
        <v>63</v>
      </c>
      <c r="B66" s="46" t="str">
        <f>IF('① Timelog Input'!B66="","",'① Timelog Input'!C66)</f>
        <v>CAS-IH_1151</v>
      </c>
      <c r="C66" s="46" t="str">
        <f>IF('① Timelog Input'!B66="","",'① Timelog Input'!B66)</f>
        <v>Jaya.L</v>
      </c>
      <c r="D66" s="46" t="str">
        <f>IF('① Timelog Input'!B66="","",'① Timelog Input'!F66)</f>
        <v>In-house</v>
      </c>
      <c r="E66" s="46" t="str">
        <f>IF('① Timelog Input'!B66="","",'① Timelog Input'!G66)</f>
        <v>Asst. Team Lead</v>
      </c>
      <c r="F66" s="46" t="str">
        <f>IF('① Timelog Input'!B66="","",'① Timelog Input'!H66)</f>
        <v>Accounting, L&amp;D</v>
      </c>
      <c r="G66" s="46" t="str">
        <f>IF('① Timelog Input'!B66="","",'① Timelog Input'!E66)</f>
        <v>Sarah</v>
      </c>
      <c r="H66" s="46" t="str">
        <f>IF('① Timelog Input'!B66="","",'① Timelog Input'!D66)</f>
        <v>Sarah</v>
      </c>
      <c r="I66" s="47">
        <f>IF('① Timelog Input'!B66="","",IF(ISNUMBER('① Timelog Input'!I66),'① Timelog Input'!I66,0))</f>
        <v>167.77</v>
      </c>
      <c r="J66" s="46">
        <f>IF('① Timelog Input'!B66="","",IF(ISNUMBER('① Timelog Input'!J66),'① Timelog Input'!J66,0))</f>
        <v>150.27000000000001</v>
      </c>
      <c r="K66" s="46">
        <f>IF('① Timelog Input'!B66="","",Settings!B6)</f>
        <v>160</v>
      </c>
      <c r="L66" s="48">
        <f>IF(OR('① Timelog Input'!B66="",K66=0),"",J66/K66)</f>
        <v>0.93918750000000006</v>
      </c>
      <c r="M66" s="49">
        <f>IF('① Timelog Input'!B66="","",IFERROR(VLOOKUP(B66,'② Salary Input'!A:V,14,FALSE()),0))</f>
        <v>75000</v>
      </c>
      <c r="N66" s="49">
        <f>IF('① Timelog Input'!B66="","",IFERROR(VLOOKUP(B66,'② Salary Input'!A:V,10,FALSE()),0))</f>
        <v>0</v>
      </c>
      <c r="O66" s="49">
        <f>IF('① Timelog Input'!B66="","",IF(AND(D66="Remote",N66&gt;0),N66,IF(K66=0,0,M66/K66)))</f>
        <v>468.75</v>
      </c>
      <c r="P66" s="49">
        <f>IF(OR('① Timelog Input'!B66="",J66=0),"",M66/J66)</f>
        <v>499.10161708923931</v>
      </c>
      <c r="Q66" s="46" t="str">
        <f>IF('① Timelog Input'!B66="","",'① Timelog Input'!L66)</f>
        <v>89.57%</v>
      </c>
      <c r="R66" s="46" t="str">
        <f>IF('① Timelog Input'!B66="","",IF(NOT(ISNUMBER(L66)),"No Data",IF(L66&gt;=Settings!B13,"HIGH",IF(L66&gt;=Settings!B14,"MEDIUM","LOW"))))</f>
        <v>HIGH</v>
      </c>
    </row>
    <row r="67" spans="1:18" ht="15" customHeight="1" x14ac:dyDescent="0.2">
      <c r="A67" s="46">
        <f>IF('① Timelog Input'!B67="","",ROW()-3)</f>
        <v>64</v>
      </c>
      <c r="B67" s="46" t="str">
        <f>IF('① Timelog Input'!B67="","",'① Timelog Input'!C67)</f>
        <v>CAS-RT_2369</v>
      </c>
      <c r="C67" s="46" t="str">
        <f>IF('① Timelog Input'!B67="","",'① Timelog Input'!B67)</f>
        <v>Ayushi.B</v>
      </c>
      <c r="D67" s="46" t="str">
        <f>IF('① Timelog Input'!B67="","",'① Timelog Input'!F67)</f>
        <v>Remote</v>
      </c>
      <c r="E67" s="46" t="str">
        <f>IF('① Timelog Input'!B67="","",'① Timelog Input'!G67)</f>
        <v>Associate</v>
      </c>
      <c r="F67" s="46" t="str">
        <f>IF('① Timelog Input'!B67="","",'① Timelog Input'!H67)</f>
        <v>Accounting</v>
      </c>
      <c r="G67" s="46" t="str">
        <f>IF('① Timelog Input'!B67="","",'① Timelog Input'!E67)</f>
        <v>Jyoti</v>
      </c>
      <c r="H67" s="46" t="str">
        <f>IF('① Timelog Input'!B67="","",'① Timelog Input'!D67)</f>
        <v>Jyoti</v>
      </c>
      <c r="I67" s="47">
        <f>IF('① Timelog Input'!B67="","",IF(ISNUMBER('① Timelog Input'!I67),'① Timelog Input'!I67,0))</f>
        <v>145.74</v>
      </c>
      <c r="J67" s="46">
        <f>IF('① Timelog Input'!B67="","",IF(ISNUMBER('① Timelog Input'!J67),'① Timelog Input'!J67,0))</f>
        <v>136.24</v>
      </c>
      <c r="K67" s="46">
        <f>IF('① Timelog Input'!B67="","",Settings!B6)</f>
        <v>160</v>
      </c>
      <c r="L67" s="48">
        <f>IF(OR('① Timelog Input'!B67="",K67=0),"",J67/K67)</f>
        <v>0.85150000000000003</v>
      </c>
      <c r="M67" s="49">
        <f>IF('① Timelog Input'!B67="","",IFERROR(VLOOKUP(B67,'② Salary Input'!A:V,14,FALSE()),0))</f>
        <v>32613</v>
      </c>
      <c r="N67" s="49">
        <f>IF('① Timelog Input'!B67="","",IFERROR(VLOOKUP(B67,'② Salary Input'!A:V,10,FALSE()),0))</f>
        <v>32413</v>
      </c>
      <c r="O67" s="49">
        <f>IF('① Timelog Input'!B67="","",IF(AND(D67="Remote",N67&gt;0),N67,IF(K67=0,0,M67/K67)))</f>
        <v>32413</v>
      </c>
      <c r="P67" s="49">
        <f>IF(OR('① Timelog Input'!B67="",J67=0),"",M67/J67)</f>
        <v>239.37903699354081</v>
      </c>
      <c r="Q67" s="46" t="str">
        <f>IF('① Timelog Input'!B67="","",'① Timelog Input'!L67)</f>
        <v>93.48%</v>
      </c>
      <c r="R67" s="46" t="str">
        <f>IF('① Timelog Input'!B67="","",IF(NOT(ISNUMBER(L67)),"No Data",IF(L67&gt;=Settings!B13,"HIGH",IF(L67&gt;=Settings!B14,"MEDIUM","LOW"))))</f>
        <v>HIGH</v>
      </c>
    </row>
    <row r="68" spans="1:18" ht="15" customHeight="1" x14ac:dyDescent="0.2">
      <c r="A68" s="46">
        <f>IF('① Timelog Input'!B68="","",ROW()-3)</f>
        <v>65</v>
      </c>
      <c r="B68" s="46" t="str">
        <f>IF('① Timelog Input'!B68="","",'① Timelog Input'!C68)</f>
        <v>CAS-IH_1144</v>
      </c>
      <c r="C68" s="46" t="str">
        <f>IF('① Timelog Input'!B68="","",'① Timelog Input'!B68)</f>
        <v>Akanksha.V</v>
      </c>
      <c r="D68" s="46" t="str">
        <f>IF('① Timelog Input'!B68="","",'① Timelog Input'!F68)</f>
        <v>In-house</v>
      </c>
      <c r="E68" s="46" t="str">
        <f>IF('① Timelog Input'!B68="","",'① Timelog Input'!G68)</f>
        <v>Associate</v>
      </c>
      <c r="F68" s="46" t="str">
        <f>IF('① Timelog Input'!B68="","",'① Timelog Input'!H68)</f>
        <v>HR</v>
      </c>
      <c r="G68" s="46" t="str">
        <f>IF('① Timelog Input'!B68="","",'① Timelog Input'!E68)</f>
        <v>Vinita Dagar</v>
      </c>
      <c r="H68" s="46" t="str">
        <f>IF('① Timelog Input'!B68="","",'① Timelog Input'!D68)</f>
        <v>Rashi</v>
      </c>
      <c r="I68" s="47">
        <f>IF('① Timelog Input'!B68="","",IF(ISNUMBER('① Timelog Input'!I68),'① Timelog Input'!I68,0))</f>
        <v>96</v>
      </c>
      <c r="J68" s="46">
        <f>IF('① Timelog Input'!B68="","",IF(ISNUMBER('① Timelog Input'!J68),'① Timelog Input'!J68,0))</f>
        <v>96</v>
      </c>
      <c r="K68" s="46">
        <f>IF('① Timelog Input'!B68="","",Settings!B6)</f>
        <v>160</v>
      </c>
      <c r="L68" s="48">
        <f>IF(OR('① Timelog Input'!B68="",K68=0),"",J68/K68)</f>
        <v>0.6</v>
      </c>
      <c r="M68" s="49">
        <f>IF('① Timelog Input'!B68="","",IFERROR(VLOOKUP(B68,'② Salary Input'!A:V,14,FALSE()),0))</f>
        <v>35000</v>
      </c>
      <c r="N68" s="49">
        <f>IF('① Timelog Input'!B68="","",IFERROR(VLOOKUP(B68,'② Salary Input'!A:V,10,FALSE()),0))</f>
        <v>0</v>
      </c>
      <c r="O68" s="49">
        <f>IF('① Timelog Input'!B68="","",IF(AND(D68="Remote",N68&gt;0),N68,IF(K68=0,0,M68/K68)))</f>
        <v>218.75</v>
      </c>
      <c r="P68" s="49">
        <f>IF(OR('① Timelog Input'!B68="",J68=0),"",M68/J68)</f>
        <v>364.58333333333331</v>
      </c>
      <c r="Q68" s="46" t="str">
        <f>IF('① Timelog Input'!B68="","",'① Timelog Input'!L68)</f>
        <v>100%</v>
      </c>
      <c r="R68" s="46" t="str">
        <f>IF('① Timelog Input'!B68="","",IF(NOT(ISNUMBER(L68)),"No Data",IF(L68&gt;=Settings!B13,"HIGH",IF(L68&gt;=Settings!B14,"MEDIUM","LOW"))))</f>
        <v>LOW</v>
      </c>
    </row>
    <row r="69" spans="1:18" ht="15" customHeight="1" x14ac:dyDescent="0.2">
      <c r="A69" s="46">
        <f>IF('① Timelog Input'!B69="","",ROW()-3)</f>
        <v>66</v>
      </c>
      <c r="B69" s="46" t="str">
        <f>IF('① Timelog Input'!B69="","",'① Timelog Input'!C69)</f>
        <v>CAS-RT_2372</v>
      </c>
      <c r="C69" s="46" t="str">
        <f>IF('① Timelog Input'!B69="","",'① Timelog Input'!B69)</f>
        <v>Teja.R</v>
      </c>
      <c r="D69" s="46" t="str">
        <f>IF('① Timelog Input'!B69="","",'① Timelog Input'!F69)</f>
        <v>Remote</v>
      </c>
      <c r="E69" s="46" t="str">
        <f>IF('① Timelog Input'!B69="","",'① Timelog Input'!G69)</f>
        <v>Associate</v>
      </c>
      <c r="F69" s="46" t="str">
        <f>IF('① Timelog Input'!B69="","",'① Timelog Input'!H69)</f>
        <v>Accounting</v>
      </c>
      <c r="G69" s="46" t="str">
        <f>IF('① Timelog Input'!B69="","",'① Timelog Input'!E69)</f>
        <v>Nikita Shah</v>
      </c>
      <c r="H69" s="46" t="str">
        <f>IF('① Timelog Input'!B69="","",'① Timelog Input'!D69)</f>
        <v>Shefali</v>
      </c>
      <c r="I69" s="47">
        <f>IF('① Timelog Input'!B69="","",IF(ISNUMBER('① Timelog Input'!I69),'① Timelog Input'!I69,0))</f>
        <v>122.85</v>
      </c>
      <c r="J69" s="46">
        <f>IF('① Timelog Input'!B69="","",IF(ISNUMBER('① Timelog Input'!J69),'① Timelog Input'!J69,0))</f>
        <v>122.85</v>
      </c>
      <c r="K69" s="46">
        <f>IF('① Timelog Input'!B69="","",Settings!B6)</f>
        <v>160</v>
      </c>
      <c r="L69" s="48">
        <f>IF(OR('① Timelog Input'!B69="",K69=0),"",J69/K69)</f>
        <v>0.76781250000000001</v>
      </c>
      <c r="M69" s="49">
        <f>IF('① Timelog Input'!B69="","",IFERROR(VLOOKUP(B69,'② Salary Input'!A:V,14,FALSE()),0))</f>
        <v>39483</v>
      </c>
      <c r="N69" s="49">
        <f>IF('① Timelog Input'!B69="","",IFERROR(VLOOKUP(B69,'② Salary Input'!A:V,10,FALSE()),0))</f>
        <v>39233</v>
      </c>
      <c r="O69" s="49">
        <f>IF('① Timelog Input'!B69="","",IF(AND(D69="Remote",N69&gt;0),N69,IF(K69=0,0,M69/K69)))</f>
        <v>39233</v>
      </c>
      <c r="P69" s="49">
        <f>IF(OR('① Timelog Input'!B69="",J69=0),"",M69/J69)</f>
        <v>321.39194139194143</v>
      </c>
      <c r="Q69" s="46" t="str">
        <f>IF('① Timelog Input'!B69="","",'① Timelog Input'!L69)</f>
        <v>100%</v>
      </c>
      <c r="R69" s="46" t="str">
        <f>IF('① Timelog Input'!B69="","",IF(NOT(ISNUMBER(L69)),"No Data",IF(L69&gt;=Settings!B13,"HIGH",IF(L69&gt;=Settings!B14,"MEDIUM","LOW"))))</f>
        <v>MEDIUM</v>
      </c>
    </row>
    <row r="70" spans="1:18" ht="15" customHeight="1" x14ac:dyDescent="0.2">
      <c r="A70" s="46">
        <f>IF('① Timelog Input'!B70="","",ROW()-3)</f>
        <v>67</v>
      </c>
      <c r="B70" s="46" t="str">
        <f>IF('① Timelog Input'!B70="","",'① Timelog Input'!C70)</f>
        <v>CAS-RT_2373</v>
      </c>
      <c r="C70" s="46" t="str">
        <f>IF('① Timelog Input'!B70="","",'① Timelog Input'!B70)</f>
        <v>Upasana</v>
      </c>
      <c r="D70" s="46" t="str">
        <f>IF('① Timelog Input'!B70="","",'① Timelog Input'!F70)</f>
        <v>Remote</v>
      </c>
      <c r="E70" s="46" t="str">
        <f>IF('① Timelog Input'!B70="","",'① Timelog Input'!G70)</f>
        <v>Sr. Associate</v>
      </c>
      <c r="F70" s="46" t="str">
        <f>IF('① Timelog Input'!B70="","",'① Timelog Input'!H70)</f>
        <v>Accounting</v>
      </c>
      <c r="G70" s="46" t="str">
        <f>IF('① Timelog Input'!B70="","",'① Timelog Input'!E70)</f>
        <v>Jyoti</v>
      </c>
      <c r="H70" s="46" t="str">
        <f>IF('① Timelog Input'!B70="","",'① Timelog Input'!D70)</f>
        <v>Jyoti</v>
      </c>
      <c r="I70" s="47">
        <f>IF('① Timelog Input'!B70="","",IF(ISNUMBER('① Timelog Input'!I70),'① Timelog Input'!I70,0))</f>
        <v>179.39</v>
      </c>
      <c r="J70" s="46">
        <f>IF('① Timelog Input'!B70="","",IF(ISNUMBER('① Timelog Input'!J70),'① Timelog Input'!J70,0))</f>
        <v>179.39</v>
      </c>
      <c r="K70" s="46">
        <f>IF('① Timelog Input'!B70="","",Settings!B6)</f>
        <v>160</v>
      </c>
      <c r="L70" s="48">
        <f>IF(OR('① Timelog Input'!B70="",K70=0),"",J70/K70)</f>
        <v>1.1211875</v>
      </c>
      <c r="M70" s="49">
        <f>IF('① Timelog Input'!B70="","",IFERROR(VLOOKUP(B70,'② Salary Input'!A:V,14,FALSE()),0))</f>
        <v>24275</v>
      </c>
      <c r="N70" s="49">
        <f>IF('① Timelog Input'!B70="","",IFERROR(VLOOKUP(B70,'② Salary Input'!A:V,10,FALSE()),0))</f>
        <v>23975</v>
      </c>
      <c r="O70" s="49">
        <f>IF('① Timelog Input'!B70="","",IF(AND(D70="Remote",N70&gt;0),N70,IF(K70=0,0,M70/K70)))</f>
        <v>23975</v>
      </c>
      <c r="P70" s="49">
        <f>IF(OR('① Timelog Input'!B70="",J70=0),"",M70/J70)</f>
        <v>135.31969452031888</v>
      </c>
      <c r="Q70" s="46" t="str">
        <f>IF('① Timelog Input'!B70="","",'① Timelog Input'!L70)</f>
        <v>100%</v>
      </c>
      <c r="R70" s="46" t="str">
        <f>IF('① Timelog Input'!B70="","",IF(NOT(ISNUMBER(L70)),"No Data",IF(L70&gt;=Settings!B13,"HIGH",IF(L70&gt;=Settings!B14,"MEDIUM","LOW"))))</f>
        <v>HIGH</v>
      </c>
    </row>
    <row r="71" spans="1:18" ht="15" customHeight="1" x14ac:dyDescent="0.2">
      <c r="A71" s="46">
        <f>IF('① Timelog Input'!B71="","",ROW()-3)</f>
        <v>68</v>
      </c>
      <c r="B71" s="46" t="str">
        <f>IF('① Timelog Input'!B71="","",'① Timelog Input'!C71)</f>
        <v>CAS-RT_2374</v>
      </c>
      <c r="C71" s="46" t="str">
        <f>IF('① Timelog Input'!B71="","",'① Timelog Input'!B71)</f>
        <v>Scarlett.C</v>
      </c>
      <c r="D71" s="46" t="str">
        <f>IF('① Timelog Input'!B71="","",'① Timelog Input'!F71)</f>
        <v>Remote</v>
      </c>
      <c r="E71" s="46" t="str">
        <f>IF('① Timelog Input'!B71="","",'① Timelog Input'!G71)</f>
        <v>Sr. Associate</v>
      </c>
      <c r="F71" s="46" t="str">
        <f>IF('① Timelog Input'!B71="","",'① Timelog Input'!H71)</f>
        <v>Accounting</v>
      </c>
      <c r="G71" s="46" t="str">
        <f>IF('① Timelog Input'!B71="","",'① Timelog Input'!E71)</f>
        <v>Jasleen.D</v>
      </c>
      <c r="H71" s="46" t="str">
        <f>IF('① Timelog Input'!B71="","",'① Timelog Input'!D71)</f>
        <v>Namya.S</v>
      </c>
      <c r="I71" s="46">
        <f>IF('① Timelog Input'!B71="","",IF(ISNUMBER('① Timelog Input'!I71),'① Timelog Input'!I71,0))</f>
        <v>178.012</v>
      </c>
      <c r="J71" s="46">
        <f>IF('① Timelog Input'!B71="","",IF(ISNUMBER('① Timelog Input'!J71),'① Timelog Input'!J71,0))</f>
        <v>178</v>
      </c>
      <c r="K71" s="46">
        <f>IF('① Timelog Input'!B71="","",Settings!B6)</f>
        <v>160</v>
      </c>
      <c r="L71" s="48">
        <f>IF(OR('① Timelog Input'!B71="",K71=0),"",J71/K71)</f>
        <v>1.1125</v>
      </c>
      <c r="M71" s="49">
        <f>IF('① Timelog Input'!B71="","",IFERROR(VLOOKUP(B71,'② Salary Input'!A:V,14,FALSE()),0))</f>
        <v>45050</v>
      </c>
      <c r="N71" s="49">
        <f>IF('① Timelog Input'!B71="","",IFERROR(VLOOKUP(B71,'② Salary Input'!A:V,10,FALSE()),0))</f>
        <v>44800</v>
      </c>
      <c r="O71" s="49">
        <f>IF('① Timelog Input'!B71="","",IF(AND(D71="Remote",N71&gt;0),N71,IF(K71=0,0,M71/K71)))</f>
        <v>44800</v>
      </c>
      <c r="P71" s="49">
        <f>IF(OR('① Timelog Input'!B71="",J71=0),"",M71/J71)</f>
        <v>253.08988764044943</v>
      </c>
      <c r="Q71" s="46" t="str">
        <f>IF('① Timelog Input'!B71="","",'① Timelog Input'!L71)</f>
        <v>99.99%</v>
      </c>
      <c r="R71" s="46" t="str">
        <f>IF('① Timelog Input'!B71="","",IF(NOT(ISNUMBER(L71)),"No Data",IF(L71&gt;=Settings!B13,"HIGH",IF(L71&gt;=Settings!B14,"MEDIUM","LOW"))))</f>
        <v>HIGH</v>
      </c>
    </row>
    <row r="72" spans="1:18" ht="15" customHeight="1" x14ac:dyDescent="0.2">
      <c r="A72" s="46">
        <f>IF('① Timelog Input'!B72="","",ROW()-3)</f>
        <v>69</v>
      </c>
      <c r="B72" s="46" t="str">
        <f>IF('① Timelog Input'!B72="","",'① Timelog Input'!C72)</f>
        <v>CAS-IH_1148</v>
      </c>
      <c r="C72" s="46" t="str">
        <f>IF('① Timelog Input'!B72="","",'① Timelog Input'!B72)</f>
        <v>Alan</v>
      </c>
      <c r="D72" s="46" t="str">
        <f>IF('① Timelog Input'!B72="","",'① Timelog Input'!F72)</f>
        <v>In-house</v>
      </c>
      <c r="E72" s="46" t="str">
        <f>IF('① Timelog Input'!B72="","",'① Timelog Input'!G72)</f>
        <v>Project Manager (S/W)</v>
      </c>
      <c r="F72" s="46" t="str">
        <f>IF('① Timelog Input'!B72="","",'① Timelog Input'!H72)</f>
        <v>IT</v>
      </c>
      <c r="G72" s="46" t="str">
        <f>IF('① Timelog Input'!B72="","",'① Timelog Input'!E72)</f>
        <v>--</v>
      </c>
      <c r="H72" s="46" t="str">
        <f>IF('① Timelog Input'!B72="","",'① Timelog Input'!D72)</f>
        <v>Andrew Jindal</v>
      </c>
      <c r="I72" s="47">
        <f>IF('① Timelog Input'!B72="","",IF(ISNUMBER('① Timelog Input'!I72),'① Timelog Input'!I72,0))</f>
        <v>0</v>
      </c>
      <c r="J72" s="46">
        <f>IF('① Timelog Input'!B72="","",IF(ISNUMBER('① Timelog Input'!J72),'① Timelog Input'!J72,0))</f>
        <v>0</v>
      </c>
      <c r="K72" s="46">
        <f>IF('① Timelog Input'!B72="","",Settings!B6)</f>
        <v>160</v>
      </c>
      <c r="L72" s="48">
        <f>IF(OR('① Timelog Input'!B72="",K72=0),"",J72/K72)</f>
        <v>0</v>
      </c>
      <c r="M72" s="49">
        <f>IF('① Timelog Input'!B72="","",IFERROR(VLOOKUP(B72,'② Salary Input'!A:V,14,FALSE()),0))</f>
        <v>125000</v>
      </c>
      <c r="N72" s="49">
        <f>IF('① Timelog Input'!B72="","",IFERROR(VLOOKUP(B72,'② Salary Input'!A:V,10,FALSE()),0))</f>
        <v>0</v>
      </c>
      <c r="O72" s="49">
        <f>IF('① Timelog Input'!B72="","",IF(AND(D72="Remote",N72&gt;0),N72,IF(K72=0,0,M72/K72)))</f>
        <v>781.25</v>
      </c>
      <c r="P72" s="49" t="str">
        <f>IF(OR('① Timelog Input'!B72="",J72=0),"",M72/J72)</f>
        <v/>
      </c>
      <c r="Q72" s="46" t="str">
        <f>IF('① Timelog Input'!B72="","",'① Timelog Input'!L72)</f>
        <v>--</v>
      </c>
      <c r="R72" s="46" t="str">
        <f>IF('① Timelog Input'!B72="","",IF(NOT(ISNUMBER(L72)),"No Data",IF(L72&gt;=Settings!B13,"HIGH",IF(L72&gt;=Settings!B14,"MEDIUM","LOW"))))</f>
        <v>LOW</v>
      </c>
    </row>
    <row r="73" spans="1:18" ht="15" customHeight="1" x14ac:dyDescent="0.2">
      <c r="A73" s="46">
        <f>IF('① Timelog Input'!B73="","",ROW()-3)</f>
        <v>70</v>
      </c>
      <c r="B73" s="46" t="str">
        <f>IF('① Timelog Input'!B73="","",'① Timelog Input'!C73)</f>
        <v>CAS-RT_2375</v>
      </c>
      <c r="C73" s="46" t="str">
        <f>IF('① Timelog Input'!B73="","",'① Timelog Input'!B73)</f>
        <v>Farheen.F</v>
      </c>
      <c r="D73" s="46" t="str">
        <f>IF('① Timelog Input'!B73="","",'① Timelog Input'!F73)</f>
        <v>Remote</v>
      </c>
      <c r="E73" s="46" t="str">
        <f>IF('① Timelog Input'!B73="","",'① Timelog Input'!G73)</f>
        <v>Associate</v>
      </c>
      <c r="F73" s="46" t="str">
        <f>IF('① Timelog Input'!B73="","",'① Timelog Input'!H73)</f>
        <v>Accounting</v>
      </c>
      <c r="G73" s="46" t="str">
        <f>IF('① Timelog Input'!B73="","",'① Timelog Input'!E73)</f>
        <v>Jasleen.D</v>
      </c>
      <c r="H73" s="46" t="str">
        <f>IF('① Timelog Input'!B73="","",'① Timelog Input'!D73)</f>
        <v>Anshul Ohri</v>
      </c>
      <c r="I73" s="47">
        <f>IF('① Timelog Input'!B73="","",IF(ISNUMBER('① Timelog Input'!I73),'① Timelog Input'!I73,0))</f>
        <v>158</v>
      </c>
      <c r="J73" s="46">
        <f>IF('① Timelog Input'!B73="","",IF(ISNUMBER('① Timelog Input'!J73),'① Timelog Input'!J73,0))</f>
        <v>158</v>
      </c>
      <c r="K73" s="46">
        <f>IF('① Timelog Input'!B73="","",Settings!B6)</f>
        <v>160</v>
      </c>
      <c r="L73" s="48">
        <f>IF(OR('① Timelog Input'!B73="",K73=0),"",J73/K73)</f>
        <v>0.98750000000000004</v>
      </c>
      <c r="M73" s="49">
        <f>IF('① Timelog Input'!B73="","",IFERROR(VLOOKUP(B73,'② Salary Input'!A:V,14,FALSE()),0))</f>
        <v>39500</v>
      </c>
      <c r="N73" s="49">
        <f>IF('① Timelog Input'!B73="","",IFERROR(VLOOKUP(B73,'② Salary Input'!A:V,10,FALSE()),0))</f>
        <v>39250</v>
      </c>
      <c r="O73" s="49">
        <f>IF('① Timelog Input'!B73="","",IF(AND(D73="Remote",N73&gt;0),N73,IF(K73=0,0,M73/K73)))</f>
        <v>39250</v>
      </c>
      <c r="P73" s="49">
        <f>IF(OR('① Timelog Input'!B73="",J73=0),"",M73/J73)</f>
        <v>250</v>
      </c>
      <c r="Q73" s="46" t="str">
        <f>IF('① Timelog Input'!B73="","",'① Timelog Input'!L73)</f>
        <v>100%</v>
      </c>
      <c r="R73" s="46" t="str">
        <f>IF('① Timelog Input'!B73="","",IF(NOT(ISNUMBER(L73)),"No Data",IF(L73&gt;=Settings!B13,"HIGH",IF(L73&gt;=Settings!B14,"MEDIUM","LOW"))))</f>
        <v>HIGH</v>
      </c>
    </row>
    <row r="74" spans="1:18" ht="15" customHeight="1" x14ac:dyDescent="0.2">
      <c r="A74" s="46">
        <f>IF('① Timelog Input'!B74="","",ROW()-3)</f>
        <v>71</v>
      </c>
      <c r="B74" s="46" t="str">
        <f>IF('① Timelog Input'!B74="","",'① Timelog Input'!C74)</f>
        <v>CAS-RT_2376</v>
      </c>
      <c r="C74" s="46" t="str">
        <f>IF('① Timelog Input'!B74="","",'① Timelog Input'!B74)</f>
        <v>Megha.J</v>
      </c>
      <c r="D74" s="46" t="str">
        <f>IF('① Timelog Input'!B74="","",'① Timelog Input'!F74)</f>
        <v>Remote</v>
      </c>
      <c r="E74" s="46" t="str">
        <f>IF('① Timelog Input'!B74="","",'① Timelog Input'!G74)</f>
        <v>Associate</v>
      </c>
      <c r="F74" s="46" t="str">
        <f>IF('① Timelog Input'!B74="","",'① Timelog Input'!H74)</f>
        <v>Accounting</v>
      </c>
      <c r="G74" s="46" t="str">
        <f>IF('① Timelog Input'!B74="","",'① Timelog Input'!E74)</f>
        <v>Jasleen.D</v>
      </c>
      <c r="H74" s="46" t="str">
        <f>IF('① Timelog Input'!B74="","",'① Timelog Input'!D74)</f>
        <v>Anshul Ohri</v>
      </c>
      <c r="I74" s="47">
        <f>IF('① Timelog Input'!B74="","",IF(ISNUMBER('① Timelog Input'!I74),'① Timelog Input'!I74,0))</f>
        <v>97.16</v>
      </c>
      <c r="J74" s="46">
        <f>IF('① Timelog Input'!B74="","",IF(ISNUMBER('① Timelog Input'!J74),'① Timelog Input'!J74,0))</f>
        <v>97.16</v>
      </c>
      <c r="K74" s="46">
        <f>IF('① Timelog Input'!B74="","",Settings!B6)</f>
        <v>160</v>
      </c>
      <c r="L74" s="48">
        <f>IF(OR('① Timelog Input'!B74="",K74=0),"",J74/K74)</f>
        <v>0.60724999999999996</v>
      </c>
      <c r="M74" s="49">
        <f>IF('① Timelog Input'!B74="","",IFERROR(VLOOKUP(B74,'② Salary Input'!A:V,14,FALSE()),0))</f>
        <v>45288</v>
      </c>
      <c r="N74" s="49">
        <f>IF('① Timelog Input'!B74="","",IFERROR(VLOOKUP(B74,'② Salary Input'!A:V,10,FALSE()),0))</f>
        <v>40038</v>
      </c>
      <c r="O74" s="49">
        <f>IF('① Timelog Input'!B74="","",IF(AND(D74="Remote",N74&gt;0),N74,IF(K74=0,0,M74/K74)))</f>
        <v>40038</v>
      </c>
      <c r="P74" s="49">
        <f>IF(OR('① Timelog Input'!B74="",J74=0),"",M74/J74)</f>
        <v>466.11774392754222</v>
      </c>
      <c r="Q74" s="46" t="str">
        <f>IF('① Timelog Input'!B74="","",'① Timelog Input'!L74)</f>
        <v>100%</v>
      </c>
      <c r="R74" s="46" t="str">
        <f>IF('① Timelog Input'!B74="","",IF(NOT(ISNUMBER(L74)),"No Data",IF(L74&gt;=Settings!B13,"HIGH",IF(L74&gt;=Settings!B14,"MEDIUM","LOW"))))</f>
        <v>LOW</v>
      </c>
    </row>
    <row r="75" spans="1:18" ht="15" customHeight="1" x14ac:dyDescent="0.2">
      <c r="A75" s="46">
        <f>IF('① Timelog Input'!B75="","",ROW()-3)</f>
        <v>72</v>
      </c>
      <c r="B75" s="46" t="str">
        <f>IF('① Timelog Input'!B75="","",'① Timelog Input'!C75)</f>
        <v>CAS-IH_1161</v>
      </c>
      <c r="C75" s="46" t="str">
        <f>IF('① Timelog Input'!B75="","",'① Timelog Input'!B75)</f>
        <v>Prachi.G</v>
      </c>
      <c r="D75" s="46" t="str">
        <f>IF('① Timelog Input'!B75="","",'① Timelog Input'!F75)</f>
        <v>In-house</v>
      </c>
      <c r="E75" s="46" t="str">
        <f>IF('① Timelog Input'!B75="","",'① Timelog Input'!G75)</f>
        <v>Sr. Manager</v>
      </c>
      <c r="F75" s="46" t="str">
        <f>IF('① Timelog Input'!B75="","",'① Timelog Input'!H75)</f>
        <v>FP&amp;A</v>
      </c>
      <c r="G75" s="46" t="str">
        <f>IF('① Timelog Input'!B75="","",'① Timelog Input'!E75)</f>
        <v>Sachi Mazumdar</v>
      </c>
      <c r="H75" s="46" t="str">
        <f>IF('① Timelog Input'!B75="","",'① Timelog Input'!D75)</f>
        <v>--</v>
      </c>
      <c r="I75" s="47">
        <f>IF('① Timelog Input'!B75="","",IF(ISNUMBER('① Timelog Input'!I75),'① Timelog Input'!I75,0))</f>
        <v>146</v>
      </c>
      <c r="J75" s="46">
        <f>IF('① Timelog Input'!B75="","",IF(ISNUMBER('① Timelog Input'!J75),'① Timelog Input'!J75,0))</f>
        <v>146</v>
      </c>
      <c r="K75" s="46">
        <f>IF('① Timelog Input'!B75="","",Settings!B6)</f>
        <v>160</v>
      </c>
      <c r="L75" s="48">
        <f>IF(OR('① Timelog Input'!B75="",K75=0),"",J75/K75)</f>
        <v>0.91249999999999998</v>
      </c>
      <c r="M75" s="49">
        <f>IF('① Timelog Input'!B75="","",IFERROR(VLOOKUP(B75,'② Salary Input'!A:V,14,FALSE()),0))</f>
        <v>316667</v>
      </c>
      <c r="N75" s="49">
        <f>IF('① Timelog Input'!B75="","",IFERROR(VLOOKUP(B75,'② Salary Input'!A:V,10,FALSE()),0))</f>
        <v>0</v>
      </c>
      <c r="O75" s="49">
        <f>IF('① Timelog Input'!B75="","",IF(AND(D75="Remote",N75&gt;0),N75,IF(K75=0,0,M75/K75)))</f>
        <v>1979.16875</v>
      </c>
      <c r="P75" s="49">
        <f>IF(OR('① Timelog Input'!B75="",J75=0),"",M75/J75)</f>
        <v>2168.9520547945203</v>
      </c>
      <c r="Q75" s="46" t="str">
        <f>IF('① Timelog Input'!B75="","",'① Timelog Input'!L75)</f>
        <v>100%</v>
      </c>
      <c r="R75" s="46" t="str">
        <f>IF('① Timelog Input'!B75="","",IF(NOT(ISNUMBER(L75)),"No Data",IF(L75&gt;=Settings!B13,"HIGH",IF(L75&gt;=Settings!B14,"MEDIUM","LOW"))))</f>
        <v>HIGH</v>
      </c>
    </row>
    <row r="76" spans="1:18" ht="15" customHeight="1" x14ac:dyDescent="0.2">
      <c r="A76" s="46">
        <f>IF('① Timelog Input'!B76="","",ROW()-3)</f>
        <v>73</v>
      </c>
      <c r="B76" s="46" t="str">
        <f>IF('① Timelog Input'!B76="","",'① Timelog Input'!C76)</f>
        <v>CAS-RT_2382</v>
      </c>
      <c r="C76" s="46" t="str">
        <f>IF('① Timelog Input'!B76="","",'① Timelog Input'!B76)</f>
        <v>Itee.S</v>
      </c>
      <c r="D76" s="46" t="str">
        <f>IF('① Timelog Input'!B76="","",'① Timelog Input'!F76)</f>
        <v>Remote</v>
      </c>
      <c r="E76" s="46" t="str">
        <f>IF('① Timelog Input'!B76="","",'① Timelog Input'!G76)</f>
        <v>Associate</v>
      </c>
      <c r="F76" s="46" t="str">
        <f>IF('① Timelog Input'!B76="","",'① Timelog Input'!H76)</f>
        <v>Accounting</v>
      </c>
      <c r="G76" s="46" t="str">
        <f>IF('① Timelog Input'!B76="","",'① Timelog Input'!E76)</f>
        <v>Ayushi</v>
      </c>
      <c r="H76" s="46" t="str">
        <f>IF('① Timelog Input'!B76="","",'① Timelog Input'!D76)</f>
        <v>Sukhmeen.K</v>
      </c>
      <c r="I76" s="47">
        <f>IF('① Timelog Input'!B76="","",IF(ISNUMBER('① Timelog Input'!I76),'① Timelog Input'!I76,0))</f>
        <v>174.65</v>
      </c>
      <c r="J76" s="46">
        <f>IF('① Timelog Input'!B76="","",IF(ISNUMBER('① Timelog Input'!J76),'① Timelog Input'!J76,0))</f>
        <v>155.29</v>
      </c>
      <c r="K76" s="46">
        <f>IF('① Timelog Input'!B76="","",Settings!B6)</f>
        <v>160</v>
      </c>
      <c r="L76" s="48">
        <f>IF(OR('① Timelog Input'!B76="",K76=0),"",J76/K76)</f>
        <v>0.97056249999999999</v>
      </c>
      <c r="M76" s="49">
        <f>IF('① Timelog Input'!B76="","",IFERROR(VLOOKUP(B76,'② Salary Input'!A:V,14,FALSE()),0))</f>
        <v>33363</v>
      </c>
      <c r="N76" s="49">
        <f>IF('① Timelog Input'!B76="","",IFERROR(VLOOKUP(B76,'② Salary Input'!A:V,10,FALSE()),0))</f>
        <v>33163</v>
      </c>
      <c r="O76" s="49">
        <f>IF('① Timelog Input'!B76="","",IF(AND(D76="Remote",N76&gt;0),N76,IF(K76=0,0,M76/K76)))</f>
        <v>33163</v>
      </c>
      <c r="P76" s="49">
        <f>IF(OR('① Timelog Input'!B76="",J76=0),"",M76/J76)</f>
        <v>214.84319659990985</v>
      </c>
      <c r="Q76" s="46" t="str">
        <f>IF('① Timelog Input'!B76="","",'① Timelog Input'!L76)</f>
        <v>88.91%</v>
      </c>
      <c r="R76" s="46" t="str">
        <f>IF('① Timelog Input'!B76="","",IF(NOT(ISNUMBER(L76)),"No Data",IF(L76&gt;=Settings!B13,"HIGH",IF(L76&gt;=Settings!B14,"MEDIUM","LOW"))))</f>
        <v>HIGH</v>
      </c>
    </row>
    <row r="77" spans="1:18" ht="15" customHeight="1" x14ac:dyDescent="0.2">
      <c r="A77" s="46">
        <f>IF('① Timelog Input'!B77="","",ROW()-3)</f>
        <v>74</v>
      </c>
      <c r="B77" s="46" t="str">
        <f>IF('① Timelog Input'!B77="","",'① Timelog Input'!C77)</f>
        <v>CAS-RT_2383</v>
      </c>
      <c r="C77" s="46" t="str">
        <f>IF('① Timelog Input'!B77="","",'① Timelog Input'!B77)</f>
        <v>Anushka.G</v>
      </c>
      <c r="D77" s="46" t="str">
        <f>IF('① Timelog Input'!B77="","",'① Timelog Input'!F77)</f>
        <v>Remote</v>
      </c>
      <c r="E77" s="46" t="str">
        <f>IF('① Timelog Input'!B77="","",'① Timelog Input'!G77)</f>
        <v>Associate</v>
      </c>
      <c r="F77" s="46" t="str">
        <f>IF('① Timelog Input'!B77="","",'① Timelog Input'!H77)</f>
        <v>L&amp;D</v>
      </c>
      <c r="G77" s="46" t="str">
        <f>IF('① Timelog Input'!B77="","",'① Timelog Input'!E77)</f>
        <v>Nikita Shah</v>
      </c>
      <c r="H77" s="46" t="str">
        <f>IF('① Timelog Input'!B77="","",'① Timelog Input'!D77)</f>
        <v>Nikita Shah</v>
      </c>
      <c r="I77" s="47">
        <f>IF('① Timelog Input'!B77="","",IF(ISNUMBER('① Timelog Input'!I77),'① Timelog Input'!I77,0))</f>
        <v>162</v>
      </c>
      <c r="J77" s="46">
        <f>IF('① Timelog Input'!B77="","",IF(ISNUMBER('① Timelog Input'!J77),'① Timelog Input'!J77,0))</f>
        <v>162</v>
      </c>
      <c r="K77" s="46">
        <f>IF('① Timelog Input'!B77="","",Settings!B6)</f>
        <v>160</v>
      </c>
      <c r="L77" s="48">
        <f>IF(OR('① Timelog Input'!B77="",K77=0),"",J77/K77)</f>
        <v>1.0125</v>
      </c>
      <c r="M77" s="49">
        <f>IF('① Timelog Input'!B77="","",IFERROR(VLOOKUP(B77,'② Salary Input'!A:V,14,FALSE()),0))</f>
        <v>33200</v>
      </c>
      <c r="N77" s="49">
        <f>IF('① Timelog Input'!B77="","",IFERROR(VLOOKUP(B77,'② Salary Input'!A:V,10,FALSE()),0))</f>
        <v>33000</v>
      </c>
      <c r="O77" s="49">
        <f>IF('① Timelog Input'!B77="","",IF(AND(D77="Remote",N77&gt;0),N77,IF(K77=0,0,M77/K77)))</f>
        <v>33000</v>
      </c>
      <c r="P77" s="49">
        <f>IF(OR('① Timelog Input'!B77="",J77=0),"",M77/J77)</f>
        <v>204.93827160493828</v>
      </c>
      <c r="Q77" s="46" t="str">
        <f>IF('① Timelog Input'!B77="","",'① Timelog Input'!L77)</f>
        <v>100%</v>
      </c>
      <c r="R77" s="46" t="str">
        <f>IF('① Timelog Input'!B77="","",IF(NOT(ISNUMBER(L77)),"No Data",IF(L77&gt;=Settings!B13,"HIGH",IF(L77&gt;=Settings!B14,"MEDIUM","LOW"))))</f>
        <v>HIGH</v>
      </c>
    </row>
    <row r="78" spans="1:18" ht="15" customHeight="1" x14ac:dyDescent="0.2">
      <c r="A78" s="46">
        <f>IF('① Timelog Input'!B78="","",ROW()-3)</f>
        <v>75</v>
      </c>
      <c r="B78" s="46" t="str">
        <f>IF('① Timelog Input'!B78="","",'① Timelog Input'!C78)</f>
        <v>CAS-RT_2384</v>
      </c>
      <c r="C78" s="46" t="str">
        <f>IF('① Timelog Input'!B78="","",'① Timelog Input'!B78)</f>
        <v>Priyanka.M</v>
      </c>
      <c r="D78" s="46" t="str">
        <f>IF('① Timelog Input'!B78="","",'① Timelog Input'!F78)</f>
        <v>Remote</v>
      </c>
      <c r="E78" s="46" t="str">
        <f>IF('① Timelog Input'!B78="","",'① Timelog Input'!G78)</f>
        <v>Asst. Team Lead</v>
      </c>
      <c r="F78" s="46" t="str">
        <f>IF('① Timelog Input'!B78="","",'① Timelog Input'!H78)</f>
        <v>Accounting</v>
      </c>
      <c r="G78" s="46" t="str">
        <f>IF('① Timelog Input'!B78="","",'① Timelog Input'!E78)</f>
        <v>Ayushi</v>
      </c>
      <c r="H78" s="46" t="str">
        <f>IF('① Timelog Input'!B78="","",'① Timelog Input'!D78)</f>
        <v>Sukhmeen.K</v>
      </c>
      <c r="I78" s="47">
        <f>IF('① Timelog Input'!B78="","",IF(ISNUMBER('① Timelog Input'!I78),'① Timelog Input'!I78,0))</f>
        <v>163.30000000000001</v>
      </c>
      <c r="J78" s="46">
        <f>IF('① Timelog Input'!B78="","",IF(ISNUMBER('① Timelog Input'!J78),'① Timelog Input'!J78,0))</f>
        <v>137.18</v>
      </c>
      <c r="K78" s="46">
        <f>IF('① Timelog Input'!B78="","",Settings!B6)</f>
        <v>160</v>
      </c>
      <c r="L78" s="48">
        <f>IF(OR('① Timelog Input'!B78="",K78=0),"",J78/K78)</f>
        <v>0.857375</v>
      </c>
      <c r="M78" s="49">
        <f>IF('① Timelog Input'!B78="","",IFERROR(VLOOKUP(B78,'② Salary Input'!A:V,14,FALSE()),0))</f>
        <v>63280</v>
      </c>
      <c r="N78" s="49">
        <f>IF('① Timelog Input'!B78="","",IFERROR(VLOOKUP(B78,'② Salary Input'!A:V,10,FALSE()),0))</f>
        <v>62880</v>
      </c>
      <c r="O78" s="49">
        <f>IF('① Timelog Input'!B78="","",IF(AND(D78="Remote",N78&gt;0),N78,IF(K78=0,0,M78/K78)))</f>
        <v>62880</v>
      </c>
      <c r="P78" s="49">
        <f>IF(OR('① Timelog Input'!B78="",J78=0),"",M78/J78)</f>
        <v>461.29173348884677</v>
      </c>
      <c r="Q78" s="46" t="str">
        <f>IF('① Timelog Input'!B78="","",'① Timelog Input'!L78)</f>
        <v>84%</v>
      </c>
      <c r="R78" s="46" t="str">
        <f>IF('① Timelog Input'!B78="","",IF(NOT(ISNUMBER(L78)),"No Data",IF(L78&gt;=Settings!B13,"HIGH",IF(L78&gt;=Settings!B14,"MEDIUM","LOW"))))</f>
        <v>HIGH</v>
      </c>
    </row>
    <row r="79" spans="1:18" ht="15" customHeight="1" x14ac:dyDescent="0.2">
      <c r="A79" s="46">
        <f>IF('① Timelog Input'!B79="","",ROW()-3)</f>
        <v>76</v>
      </c>
      <c r="B79" s="46" t="str">
        <f>IF('① Timelog Input'!B79="","",'① Timelog Input'!C79)</f>
        <v>CAS-RT_2385</v>
      </c>
      <c r="C79" s="46" t="str">
        <f>IF('① Timelog Input'!B79="","",'① Timelog Input'!B79)</f>
        <v>Raj.B</v>
      </c>
      <c r="D79" s="46" t="str">
        <f>IF('① Timelog Input'!B79="","",'① Timelog Input'!F79)</f>
        <v>Remote</v>
      </c>
      <c r="E79" s="46" t="str">
        <f>IF('① Timelog Input'!B79="","",'① Timelog Input'!G79)</f>
        <v>Sr. Associate</v>
      </c>
      <c r="F79" s="46" t="str">
        <f>IF('① Timelog Input'!B79="","",'① Timelog Input'!H79)</f>
        <v>Accounting</v>
      </c>
      <c r="G79" s="46" t="str">
        <f>IF('① Timelog Input'!B79="","",'① Timelog Input'!E79)</f>
        <v>Nikita Shah</v>
      </c>
      <c r="H79" s="46" t="str">
        <f>IF('① Timelog Input'!B79="","",'① Timelog Input'!D79)</f>
        <v>Shefali</v>
      </c>
      <c r="I79" s="47">
        <f>IF('① Timelog Input'!B79="","",IF(ISNUMBER('① Timelog Input'!I79),'① Timelog Input'!I79,0))</f>
        <v>167.9</v>
      </c>
      <c r="J79" s="46">
        <f>IF('① Timelog Input'!B79="","",IF(ISNUMBER('① Timelog Input'!J79),'① Timelog Input'!J79,0))</f>
        <v>167.9</v>
      </c>
      <c r="K79" s="46">
        <f>IF('① Timelog Input'!B79="","",Settings!B6)</f>
        <v>160</v>
      </c>
      <c r="L79" s="48">
        <f>IF(OR('① Timelog Input'!B79="",K79=0),"",J79/K79)</f>
        <v>1.0493749999999999</v>
      </c>
      <c r="M79" s="49">
        <f>IF('① Timelog Input'!B79="","",IFERROR(VLOOKUP(B79,'② Salary Input'!A:V,14,FALSE()),0))</f>
        <v>41083</v>
      </c>
      <c r="N79" s="49">
        <f>IF('① Timelog Input'!B79="","",IFERROR(VLOOKUP(B79,'② Salary Input'!A:V,10,FALSE()),0))</f>
        <v>40833</v>
      </c>
      <c r="O79" s="49">
        <f>IF('① Timelog Input'!B79="","",IF(AND(D79="Remote",N79&gt;0),N79,IF(K79=0,0,M79/K79)))</f>
        <v>40833</v>
      </c>
      <c r="P79" s="49">
        <f>IF(OR('① Timelog Input'!B79="",J79=0),"",M79/J79)</f>
        <v>244.6873138773079</v>
      </c>
      <c r="Q79" s="46" t="str">
        <f>IF('① Timelog Input'!B79="","",'① Timelog Input'!L79)</f>
        <v>100%</v>
      </c>
      <c r="R79" s="46" t="str">
        <f>IF('① Timelog Input'!B79="","",IF(NOT(ISNUMBER(L79)),"No Data",IF(L79&gt;=Settings!B13,"HIGH",IF(L79&gt;=Settings!B14,"MEDIUM","LOW"))))</f>
        <v>HIGH</v>
      </c>
    </row>
    <row r="80" spans="1:18" ht="15" customHeight="1" x14ac:dyDescent="0.2">
      <c r="A80" s="46">
        <f>IF('① Timelog Input'!B80="","",ROW()-3)</f>
        <v>77</v>
      </c>
      <c r="B80" s="46" t="str">
        <f>IF('① Timelog Input'!B80="","",'① Timelog Input'!C80)</f>
        <v>CAS-RT_2386</v>
      </c>
      <c r="C80" s="46" t="str">
        <f>IF('① Timelog Input'!B80="","",'① Timelog Input'!B80)</f>
        <v>Chhavi.S</v>
      </c>
      <c r="D80" s="46" t="str">
        <f>IF('① Timelog Input'!B80="","",'① Timelog Input'!F80)</f>
        <v>Remote</v>
      </c>
      <c r="E80" s="46" t="str">
        <f>IF('① Timelog Input'!B80="","",'① Timelog Input'!G80)</f>
        <v>Sr. Associate</v>
      </c>
      <c r="F80" s="46" t="str">
        <f>IF('① Timelog Input'!B80="","",'① Timelog Input'!H80)</f>
        <v>Accounting, VA</v>
      </c>
      <c r="G80" s="46" t="str">
        <f>IF('① Timelog Input'!B80="","",'① Timelog Input'!E80)</f>
        <v>Nikita Shah</v>
      </c>
      <c r="H80" s="46" t="str">
        <f>IF('① Timelog Input'!B80="","",'① Timelog Input'!D80)</f>
        <v>Shefali</v>
      </c>
      <c r="I80" s="47">
        <f>IF('① Timelog Input'!B80="","",IF(ISNUMBER('① Timelog Input'!I80),'① Timelog Input'!I80,0))</f>
        <v>165.71</v>
      </c>
      <c r="J80" s="46">
        <f>IF('① Timelog Input'!B80="","",IF(ISNUMBER('① Timelog Input'!J80),'① Timelog Input'!J80,0))</f>
        <v>165.71</v>
      </c>
      <c r="K80" s="46">
        <f>IF('① Timelog Input'!B80="","",Settings!B6)</f>
        <v>160</v>
      </c>
      <c r="L80" s="48">
        <f>IF(OR('① Timelog Input'!B80="",K80=0),"",J80/K80)</f>
        <v>1.0356875000000001</v>
      </c>
      <c r="M80" s="49">
        <f>IF('① Timelog Input'!B80="","",IFERROR(VLOOKUP(B80,'② Salary Input'!A:V,14,FALSE()),0))</f>
        <v>28783</v>
      </c>
      <c r="N80" s="49">
        <f>IF('① Timelog Input'!B80="","",IFERROR(VLOOKUP(B80,'② Salary Input'!A:V,10,FALSE()),0))</f>
        <v>28533</v>
      </c>
      <c r="O80" s="49">
        <f>IF('① Timelog Input'!B80="","",IF(AND(D80="Remote",N80&gt;0),N80,IF(K80=0,0,M80/K80)))</f>
        <v>28533</v>
      </c>
      <c r="P80" s="49">
        <f>IF(OR('① Timelog Input'!B80="",J80=0),"",M80/J80)</f>
        <v>173.69500935369018</v>
      </c>
      <c r="Q80" s="46" t="str">
        <f>IF('① Timelog Input'!B80="","",'① Timelog Input'!L80)</f>
        <v>100%</v>
      </c>
      <c r="R80" s="46" t="str">
        <f>IF('① Timelog Input'!B80="","",IF(NOT(ISNUMBER(L80)),"No Data",IF(L80&gt;=Settings!B13,"HIGH",IF(L80&gt;=Settings!B14,"MEDIUM","LOW"))))</f>
        <v>HIGH</v>
      </c>
    </row>
    <row r="81" spans="1:18" ht="15" customHeight="1" x14ac:dyDescent="0.2">
      <c r="A81" s="46">
        <f>IF('① Timelog Input'!B81="","",ROW()-3)</f>
        <v>78</v>
      </c>
      <c r="B81" s="46" t="str">
        <f>IF('① Timelog Input'!B81="","",'① Timelog Input'!C81)</f>
        <v>CAS-RT_2390</v>
      </c>
      <c r="C81" s="46" t="str">
        <f>IF('① Timelog Input'!B81="","",'① Timelog Input'!B81)</f>
        <v>Surbhi.A</v>
      </c>
      <c r="D81" s="46" t="str">
        <f>IF('① Timelog Input'!B81="","",'① Timelog Input'!F81)</f>
        <v>Remote</v>
      </c>
      <c r="E81" s="46" t="str">
        <f>IF('① Timelog Input'!B81="","",'① Timelog Input'!G81)</f>
        <v>Asst. Team Lead</v>
      </c>
      <c r="F81" s="46" t="str">
        <f>IF('① Timelog Input'!B81="","",'① Timelog Input'!H81)</f>
        <v>Accounting</v>
      </c>
      <c r="G81" s="46" t="str">
        <f>IF('① Timelog Input'!B81="","",'① Timelog Input'!E81)</f>
        <v>Jasleen.D</v>
      </c>
      <c r="H81" s="46" t="str">
        <f>IF('① Timelog Input'!B81="","",'① Timelog Input'!D81)</f>
        <v>Anshul Ohri</v>
      </c>
      <c r="I81" s="47">
        <f>IF('① Timelog Input'!B81="","",IF(ISNUMBER('① Timelog Input'!I81),'① Timelog Input'!I81,0))</f>
        <v>146.58000000000001</v>
      </c>
      <c r="J81" s="46">
        <f>IF('① Timelog Input'!B81="","",IF(ISNUMBER('① Timelog Input'!J81),'① Timelog Input'!J81,0))</f>
        <v>146.58000000000001</v>
      </c>
      <c r="K81" s="46">
        <f>IF('① Timelog Input'!B81="","",Settings!B6)</f>
        <v>160</v>
      </c>
      <c r="L81" s="48">
        <f>IF(OR('① Timelog Input'!B81="",K81=0),"",J81/K81)</f>
        <v>0.91612500000000008</v>
      </c>
      <c r="M81" s="49">
        <f>IF('① Timelog Input'!B81="","",IFERROR(VLOOKUP(B81,'② Salary Input'!A:V,14,FALSE()),0))</f>
        <v>55475</v>
      </c>
      <c r="N81" s="49">
        <f>IF('① Timelog Input'!B81="","",IFERROR(VLOOKUP(B81,'② Salary Input'!A:V,10,FALSE()),0))</f>
        <v>55125</v>
      </c>
      <c r="O81" s="49">
        <f>IF('① Timelog Input'!B81="","",IF(AND(D81="Remote",N81&gt;0),N81,IF(K81=0,0,M81/K81)))</f>
        <v>55125</v>
      </c>
      <c r="P81" s="49">
        <f>IF(OR('① Timelog Input'!B81="",J81=0),"",M81/J81)</f>
        <v>378.46227316141352</v>
      </c>
      <c r="Q81" s="46" t="str">
        <f>IF('① Timelog Input'!B81="","",'① Timelog Input'!L81)</f>
        <v>100%</v>
      </c>
      <c r="R81" s="46" t="str">
        <f>IF('① Timelog Input'!B81="","",IF(NOT(ISNUMBER(L81)),"No Data",IF(L81&gt;=Settings!B13,"HIGH",IF(L81&gt;=Settings!B14,"MEDIUM","LOW"))))</f>
        <v>HIGH</v>
      </c>
    </row>
    <row r="82" spans="1:18" ht="15" customHeight="1" x14ac:dyDescent="0.2">
      <c r="A82" s="46">
        <f>IF('① Timelog Input'!B82="","",ROW()-3)</f>
        <v>79</v>
      </c>
      <c r="B82" s="46" t="str">
        <f>IF('① Timelog Input'!B82="","",'① Timelog Input'!C82)</f>
        <v>CAS-IH_1165</v>
      </c>
      <c r="C82" s="46" t="str">
        <f>IF('① Timelog Input'!B82="","",'① Timelog Input'!B82)</f>
        <v>Jatin.S</v>
      </c>
      <c r="D82" s="46" t="str">
        <f>IF('① Timelog Input'!B82="","",'① Timelog Input'!F82)</f>
        <v>In-house</v>
      </c>
      <c r="E82" s="46" t="str">
        <f>IF('① Timelog Input'!B82="","",'① Timelog Input'!G82)</f>
        <v>Sr. Manager</v>
      </c>
      <c r="F82" s="46" t="str">
        <f>IF('① Timelog Input'!B82="","",'① Timelog Input'!H82)</f>
        <v>FP&amp;A</v>
      </c>
      <c r="G82" s="46" t="str">
        <f>IF('① Timelog Input'!B82="","",'① Timelog Input'!E82)</f>
        <v>Sachi Mazumdar</v>
      </c>
      <c r="H82" s="46" t="str">
        <f>IF('① Timelog Input'!B82="","",'① Timelog Input'!D82)</f>
        <v>Sachi Mazumdar</v>
      </c>
      <c r="I82" s="47">
        <f>IF('① Timelog Input'!B82="","",IF(ISNUMBER('① Timelog Input'!I82),'① Timelog Input'!I82,0))</f>
        <v>186</v>
      </c>
      <c r="J82" s="46">
        <f>IF('① Timelog Input'!B82="","",IF(ISNUMBER('① Timelog Input'!J82),'① Timelog Input'!J82,0))</f>
        <v>139</v>
      </c>
      <c r="K82" s="46">
        <f>IF('① Timelog Input'!B82="","",Settings!B6)</f>
        <v>160</v>
      </c>
      <c r="L82" s="48">
        <f>IF(OR('① Timelog Input'!B82="",K82=0),"",J82/K82)</f>
        <v>0.86875000000000002</v>
      </c>
      <c r="M82" s="49">
        <f>IF('① Timelog Input'!B82="","",IFERROR(VLOOKUP(B82,'② Salary Input'!A:V,14,FALSE()),0))</f>
        <v>208334</v>
      </c>
      <c r="N82" s="49">
        <f>IF('① Timelog Input'!B82="","",IFERROR(VLOOKUP(B82,'② Salary Input'!A:V,10,FALSE()),0))</f>
        <v>0</v>
      </c>
      <c r="O82" s="49">
        <f>IF('① Timelog Input'!B82="","",IF(AND(D82="Remote",N82&gt;0),N82,IF(K82=0,0,M82/K82)))</f>
        <v>1302.0875000000001</v>
      </c>
      <c r="P82" s="49">
        <f>IF(OR('① Timelog Input'!B82="",J82=0),"",M82/J82)</f>
        <v>1498.8057553956835</v>
      </c>
      <c r="Q82" s="46" t="str">
        <f>IF('① Timelog Input'!B82="","",'① Timelog Input'!L82)</f>
        <v>74.73%</v>
      </c>
      <c r="R82" s="46" t="str">
        <f>IF('① Timelog Input'!B82="","",IF(NOT(ISNUMBER(L82)),"No Data",IF(L82&gt;=Settings!B13,"HIGH",IF(L82&gt;=Settings!B14,"MEDIUM","LOW"))))</f>
        <v>HIGH</v>
      </c>
    </row>
    <row r="83" spans="1:18" ht="15" customHeight="1" x14ac:dyDescent="0.2">
      <c r="A83" s="46">
        <f>IF('① Timelog Input'!B83="","",ROW()-3)</f>
        <v>80</v>
      </c>
      <c r="B83" s="46" t="str">
        <f>IF('① Timelog Input'!B83="","",'① Timelog Input'!C83)</f>
        <v>CASUS-IH_002</v>
      </c>
      <c r="C83" s="46" t="str">
        <f>IF('① Timelog Input'!B83="","",'① Timelog Input'!B83)</f>
        <v>Angela</v>
      </c>
      <c r="D83" s="46" t="str">
        <f>IF('① Timelog Input'!B83="","",'① Timelog Input'!F83)</f>
        <v>In-house</v>
      </c>
      <c r="E83" s="46" t="str">
        <f>IF('① Timelog Input'!B83="","",'① Timelog Input'!G83)</f>
        <v>Controller</v>
      </c>
      <c r="F83" s="46" t="str">
        <f>IF('① Timelog Input'!B83="","",'① Timelog Input'!H83)</f>
        <v>Marketing</v>
      </c>
      <c r="G83" s="46" t="str">
        <f>IF('① Timelog Input'!B83="","",'① Timelog Input'!E83)</f>
        <v>--</v>
      </c>
      <c r="H83" s="46" t="str">
        <f>IF('① Timelog Input'!B83="","",'① Timelog Input'!D83)</f>
        <v>Sam</v>
      </c>
      <c r="I83" s="46">
        <f>IF('① Timelog Input'!B83="","",IF(ISNUMBER('① Timelog Input'!I83),'① Timelog Input'!I83,0))</f>
        <v>16</v>
      </c>
      <c r="J83" s="46">
        <f>IF('① Timelog Input'!B83="","",IF(ISNUMBER('① Timelog Input'!J83),'① Timelog Input'!J83,0))</f>
        <v>16</v>
      </c>
      <c r="K83" s="46">
        <f>IF('① Timelog Input'!B83="","",Settings!B6)</f>
        <v>160</v>
      </c>
      <c r="L83" s="48">
        <f>IF(OR('① Timelog Input'!B83="",K83=0),"",J83/K83)</f>
        <v>0.1</v>
      </c>
      <c r="M83" s="49">
        <f>IF('① Timelog Input'!B83="","",IFERROR(VLOOKUP(B83,'② Salary Input'!A:V,14,FALSE()),0))</f>
        <v>0</v>
      </c>
      <c r="N83" s="49">
        <f>IF('① Timelog Input'!B83="","",IFERROR(VLOOKUP(B83,'② Salary Input'!A:V,10,FALSE()),0))</f>
        <v>0</v>
      </c>
      <c r="O83" s="49">
        <f>IF('① Timelog Input'!B83="","",IF(AND(D83="Remote",N83&gt;0),N83,IF(K83=0,0,M83/K83)))</f>
        <v>0</v>
      </c>
      <c r="P83" s="49">
        <f>IF(OR('① Timelog Input'!B83="",J83=0),"",M83/J83)</f>
        <v>0</v>
      </c>
      <c r="Q83" s="46" t="str">
        <f>IF('① Timelog Input'!B83="","",'① Timelog Input'!L83)</f>
        <v>100%</v>
      </c>
      <c r="R83" s="46" t="str">
        <f>IF('① Timelog Input'!B83="","",IF(NOT(ISNUMBER(L83)),"No Data",IF(L83&gt;=Settings!B13,"HIGH",IF(L83&gt;=Settings!B14,"MEDIUM","LOW"))))</f>
        <v>LOW</v>
      </c>
    </row>
    <row r="84" spans="1:18" ht="15" customHeight="1" x14ac:dyDescent="0.2">
      <c r="A84" s="46">
        <f>IF('① Timelog Input'!B84="","",ROW()-3)</f>
        <v>81</v>
      </c>
      <c r="B84" s="46" t="str">
        <f>IF('① Timelog Input'!B84="","",'① Timelog Input'!C84)</f>
        <v>CAS-RT_2392</v>
      </c>
      <c r="C84" s="46" t="str">
        <f>IF('① Timelog Input'!B84="","",'① Timelog Input'!B84)</f>
        <v>Harsh.G</v>
      </c>
      <c r="D84" s="46" t="str">
        <f>IF('① Timelog Input'!B84="","",'① Timelog Input'!F84)</f>
        <v>Remote</v>
      </c>
      <c r="E84" s="46" t="str">
        <f>IF('① Timelog Input'!B84="","",'① Timelog Input'!G84)</f>
        <v>Sr. Associate</v>
      </c>
      <c r="F84" s="46" t="str">
        <f>IF('① Timelog Input'!B84="","",'① Timelog Input'!H84)</f>
        <v>Accounting</v>
      </c>
      <c r="G84" s="46" t="str">
        <f>IF('① Timelog Input'!B84="","",'① Timelog Input'!E84)</f>
        <v>Ayushi</v>
      </c>
      <c r="H84" s="46" t="str">
        <f>IF('① Timelog Input'!B84="","",'① Timelog Input'!D84)</f>
        <v>Suhani</v>
      </c>
      <c r="I84" s="47">
        <f>IF('① Timelog Input'!B84="","",IF(ISNUMBER('① Timelog Input'!I84),'① Timelog Input'!I84,0))</f>
        <v>0</v>
      </c>
      <c r="J84" s="46">
        <f>IF('① Timelog Input'!B84="","",IF(ISNUMBER('① Timelog Input'!J84),'① Timelog Input'!J84,0))</f>
        <v>0</v>
      </c>
      <c r="K84" s="46">
        <f>IF('① Timelog Input'!B84="","",Settings!B6)</f>
        <v>160</v>
      </c>
      <c r="L84" s="48">
        <f>IF(OR('① Timelog Input'!B84="",K84=0),"",J84/K84)</f>
        <v>0</v>
      </c>
      <c r="M84" s="49">
        <f>IF('① Timelog Input'!B84="","",IFERROR(VLOOKUP(B84,'② Salary Input'!A:V,14,FALSE()),0))</f>
        <v>14988</v>
      </c>
      <c r="N84" s="49">
        <f>IF('① Timelog Input'!B84="","",IFERROR(VLOOKUP(B84,'② Salary Input'!A:V,10,FALSE()),0))</f>
        <v>14738</v>
      </c>
      <c r="O84" s="49">
        <f>IF('① Timelog Input'!B84="","",IF(AND(D84="Remote",N84&gt;0),N84,IF(K84=0,0,M84/K84)))</f>
        <v>14738</v>
      </c>
      <c r="P84" s="49" t="str">
        <f>IF(OR('① Timelog Input'!B84="",J84=0),"",M84/J84)</f>
        <v/>
      </c>
      <c r="Q84" s="46" t="str">
        <f>IF('① Timelog Input'!B84="","",'① Timelog Input'!L84)</f>
        <v>--</v>
      </c>
      <c r="R84" s="46" t="str">
        <f>IF('① Timelog Input'!B84="","",IF(NOT(ISNUMBER(L84)),"No Data",IF(L84&gt;=Settings!B13,"HIGH",IF(L84&gt;=Settings!B14,"MEDIUM","LOW"))))</f>
        <v>LOW</v>
      </c>
    </row>
    <row r="85" spans="1:18" ht="15" customHeight="1" x14ac:dyDescent="0.2">
      <c r="A85" s="46">
        <f>IF('① Timelog Input'!B85="","",ROW()-3)</f>
        <v>82</v>
      </c>
      <c r="B85" s="46" t="str">
        <f>IF('① Timelog Input'!B85="","",'① Timelog Input'!C85)</f>
        <v>CAS-IH_1166</v>
      </c>
      <c r="C85" s="46" t="str">
        <f>IF('① Timelog Input'!B85="","",'① Timelog Input'!B85)</f>
        <v>Namya.S</v>
      </c>
      <c r="D85" s="46" t="str">
        <f>IF('① Timelog Input'!B85="","",'① Timelog Input'!F85)</f>
        <v>In-house</v>
      </c>
      <c r="E85" s="46" t="str">
        <f>IF('① Timelog Input'!B85="","",'① Timelog Input'!G85)</f>
        <v>Asst. Team Lead</v>
      </c>
      <c r="F85" s="46" t="str">
        <f>IF('① Timelog Input'!B85="","",'① Timelog Input'!H85)</f>
        <v>Accounting</v>
      </c>
      <c r="G85" s="46" t="str">
        <f>IF('① Timelog Input'!B85="","",'① Timelog Input'!E85)</f>
        <v>Jasleen.D</v>
      </c>
      <c r="H85" s="46" t="str">
        <f>IF('① Timelog Input'!B85="","",'① Timelog Input'!D85)</f>
        <v>Jasleen.D</v>
      </c>
      <c r="I85" s="47">
        <f>IF('① Timelog Input'!B85="","",IF(ISNUMBER('① Timelog Input'!I85),'① Timelog Input'!I85,0))</f>
        <v>146.28</v>
      </c>
      <c r="J85" s="46">
        <f>IF('① Timelog Input'!B85="","",IF(ISNUMBER('① Timelog Input'!J85),'① Timelog Input'!J85,0))</f>
        <v>146.28</v>
      </c>
      <c r="K85" s="46">
        <f>IF('① Timelog Input'!B85="","",Settings!B6)</f>
        <v>160</v>
      </c>
      <c r="L85" s="48">
        <f>IF(OR('① Timelog Input'!B85="",K85=0),"",J85/K85)</f>
        <v>0.91425000000000001</v>
      </c>
      <c r="M85" s="49">
        <f>IF('① Timelog Input'!B85="","",IFERROR(VLOOKUP(B85,'② Salary Input'!A:V,14,FALSE()),0))</f>
        <v>80000</v>
      </c>
      <c r="N85" s="49">
        <f>IF('① Timelog Input'!B85="","",IFERROR(VLOOKUP(B85,'② Salary Input'!A:V,10,FALSE()),0))</f>
        <v>0</v>
      </c>
      <c r="O85" s="49">
        <f>IF('① Timelog Input'!B85="","",IF(AND(D85="Remote",N85&gt;0),N85,IF(K85=0,0,M85/K85)))</f>
        <v>500</v>
      </c>
      <c r="P85" s="49">
        <f>IF(OR('① Timelog Input'!B85="",J85=0),"",M85/J85)</f>
        <v>546.89636313918515</v>
      </c>
      <c r="Q85" s="46" t="str">
        <f>IF('① Timelog Input'!B85="","",'① Timelog Input'!L85)</f>
        <v>100%</v>
      </c>
      <c r="R85" s="46" t="str">
        <f>IF('① Timelog Input'!B85="","",IF(NOT(ISNUMBER(L85)),"No Data",IF(L85&gt;=Settings!B13,"HIGH",IF(L85&gt;=Settings!B14,"MEDIUM","LOW"))))</f>
        <v>HIGH</v>
      </c>
    </row>
    <row r="86" spans="1:18" ht="15" customHeight="1" x14ac:dyDescent="0.2">
      <c r="A86" s="46">
        <f>IF('① Timelog Input'!B86="","",ROW()-3)</f>
        <v>83</v>
      </c>
      <c r="B86" s="46" t="str">
        <f>IF('① Timelog Input'!B86="","",'① Timelog Input'!C86)</f>
        <v>CAS-RT_2393</v>
      </c>
      <c r="C86" s="46" t="str">
        <f>IF('① Timelog Input'!B86="","",'① Timelog Input'!B86)</f>
        <v>Kashish.B</v>
      </c>
      <c r="D86" s="46" t="str">
        <f>IF('① Timelog Input'!B86="","",'① Timelog Input'!F86)</f>
        <v>Remote</v>
      </c>
      <c r="E86" s="46" t="str">
        <f>IF('① Timelog Input'!B86="","",'① Timelog Input'!G86)</f>
        <v>Sr. Associate</v>
      </c>
      <c r="F86" s="46" t="str">
        <f>IF('① Timelog Input'!B86="","",'① Timelog Input'!H86)</f>
        <v>Accounting</v>
      </c>
      <c r="G86" s="46" t="str">
        <f>IF('① Timelog Input'!B86="","",'① Timelog Input'!E86)</f>
        <v>Nikita Shah</v>
      </c>
      <c r="H86" s="46" t="str">
        <f>IF('① Timelog Input'!B86="","",'① Timelog Input'!D86)</f>
        <v>Preety</v>
      </c>
      <c r="I86" s="47">
        <f>IF('① Timelog Input'!B86="","",IF(ISNUMBER('① Timelog Input'!I86),'① Timelog Input'!I86,0))</f>
        <v>165.25</v>
      </c>
      <c r="J86" s="46">
        <f>IF('① Timelog Input'!B86="","",IF(ISNUMBER('① Timelog Input'!J86),'① Timelog Input'!J86,0))</f>
        <v>156.25</v>
      </c>
      <c r="K86" s="46">
        <f>IF('① Timelog Input'!B86="","",Settings!B6)</f>
        <v>160</v>
      </c>
      <c r="L86" s="48">
        <f>IF(OR('① Timelog Input'!B86="",K86=0),"",J86/K86)</f>
        <v>0.9765625</v>
      </c>
      <c r="M86" s="49">
        <f>IF('① Timelog Input'!B86="","",IFERROR(VLOOKUP(B86,'② Salary Input'!A:V,14,FALSE()),0))</f>
        <v>40813</v>
      </c>
      <c r="N86" s="49">
        <f>IF('① Timelog Input'!B86="","",IFERROR(VLOOKUP(B86,'② Salary Input'!A:V,10,FALSE()),0))</f>
        <v>40563</v>
      </c>
      <c r="O86" s="49">
        <f>IF('① Timelog Input'!B86="","",IF(AND(D86="Remote",N86&gt;0),N86,IF(K86=0,0,M86/K86)))</f>
        <v>40563</v>
      </c>
      <c r="P86" s="49">
        <f>IF(OR('① Timelog Input'!B86="",J86=0),"",M86/J86)</f>
        <v>261.20319999999998</v>
      </c>
      <c r="Q86" s="46" t="str">
        <f>IF('① Timelog Input'!B86="","",'① Timelog Input'!L86)</f>
        <v>94.55%</v>
      </c>
      <c r="R86" s="46" t="str">
        <f>IF('① Timelog Input'!B86="","",IF(NOT(ISNUMBER(L86)),"No Data",IF(L86&gt;=Settings!B13,"HIGH",IF(L86&gt;=Settings!B14,"MEDIUM","LOW"))))</f>
        <v>HIGH</v>
      </c>
    </row>
    <row r="87" spans="1:18" ht="15" customHeight="1" x14ac:dyDescent="0.2">
      <c r="A87" s="46">
        <f>IF('① Timelog Input'!B87="","",ROW()-3)</f>
        <v>84</v>
      </c>
      <c r="B87" s="46" t="str">
        <f>IF('① Timelog Input'!B87="","",'① Timelog Input'!C87)</f>
        <v>CAS-RT_2396</v>
      </c>
      <c r="C87" s="46" t="str">
        <f>IF('① Timelog Input'!B87="","",'① Timelog Input'!B87)</f>
        <v>Amishi.S</v>
      </c>
      <c r="D87" s="46" t="str">
        <f>IF('① Timelog Input'!B87="","",'① Timelog Input'!F87)</f>
        <v>Remote</v>
      </c>
      <c r="E87" s="46" t="str">
        <f>IF('① Timelog Input'!B87="","",'① Timelog Input'!G87)</f>
        <v>Sr. Associate</v>
      </c>
      <c r="F87" s="46" t="str">
        <f>IF('① Timelog Input'!B87="","",'① Timelog Input'!H87)</f>
        <v>Accounting</v>
      </c>
      <c r="G87" s="46" t="str">
        <f>IF('① Timelog Input'!B87="","",'① Timelog Input'!E87)</f>
        <v>Jasleen.D</v>
      </c>
      <c r="H87" s="46" t="str">
        <f>IF('① Timelog Input'!B87="","",'① Timelog Input'!D87)</f>
        <v>Aishwarya.V</v>
      </c>
      <c r="I87" s="47">
        <f>IF('① Timelog Input'!B87="","",IF(ISNUMBER('① Timelog Input'!I87),'① Timelog Input'!I87,0))</f>
        <v>170.87</v>
      </c>
      <c r="J87" s="46">
        <f>IF('① Timelog Input'!B87="","",IF(ISNUMBER('① Timelog Input'!J87),'① Timelog Input'!J87,0))</f>
        <v>170.87</v>
      </c>
      <c r="K87" s="46">
        <f>IF('① Timelog Input'!B87="","",Settings!B6)</f>
        <v>160</v>
      </c>
      <c r="L87" s="48">
        <f>IF(OR('① Timelog Input'!B87="",K87=0),"",J87/K87)</f>
        <v>1.0679375</v>
      </c>
      <c r="M87" s="49">
        <f>IF('① Timelog Input'!B87="","",IFERROR(VLOOKUP(B87,'② Salary Input'!A:V,14,FALSE()),0))</f>
        <v>47300</v>
      </c>
      <c r="N87" s="49">
        <f>IF('① Timelog Input'!B87="","",IFERROR(VLOOKUP(B87,'② Salary Input'!A:V,10,FALSE()),0))</f>
        <v>42050</v>
      </c>
      <c r="O87" s="49">
        <f>IF('① Timelog Input'!B87="","",IF(AND(D87="Remote",N87&gt;0),N87,IF(K87=0,0,M87/K87)))</f>
        <v>42050</v>
      </c>
      <c r="P87" s="49">
        <f>IF(OR('① Timelog Input'!B87="",J87=0),"",M87/J87)</f>
        <v>276.81863404927719</v>
      </c>
      <c r="Q87" s="46" t="str">
        <f>IF('① Timelog Input'!B87="","",'① Timelog Input'!L87)</f>
        <v>100%</v>
      </c>
      <c r="R87" s="46" t="str">
        <f>IF('① Timelog Input'!B87="","",IF(NOT(ISNUMBER(L87)),"No Data",IF(L87&gt;=Settings!B13,"HIGH",IF(L87&gt;=Settings!B14,"MEDIUM","LOW"))))</f>
        <v>HIGH</v>
      </c>
    </row>
    <row r="88" spans="1:18" ht="15" customHeight="1" x14ac:dyDescent="0.2">
      <c r="A88" s="46">
        <f>IF('① Timelog Input'!B88="","",ROW()-3)</f>
        <v>85</v>
      </c>
      <c r="B88" s="46" t="str">
        <f>IF('① Timelog Input'!B88="","",'① Timelog Input'!C88)</f>
        <v>CAS-RR_2372</v>
      </c>
      <c r="C88" s="46" t="str">
        <f>IF('① Timelog Input'!B88="","",'① Timelog Input'!B88)</f>
        <v>Harsh.V</v>
      </c>
      <c r="D88" s="46" t="str">
        <f>IF('① Timelog Input'!B88="","",'① Timelog Input'!F88)</f>
        <v>Remote</v>
      </c>
      <c r="E88" s="46" t="str">
        <f>IF('① Timelog Input'!B88="","",'① Timelog Input'!G88)</f>
        <v>Associate</v>
      </c>
      <c r="F88" s="46" t="str">
        <f>IF('① Timelog Input'!B88="","",'① Timelog Input'!H88)</f>
        <v>Accounting</v>
      </c>
      <c r="G88" s="46" t="str">
        <f>IF('① Timelog Input'!B88="","",'① Timelog Input'!E88)</f>
        <v>Jyoti</v>
      </c>
      <c r="H88" s="46" t="str">
        <f>IF('① Timelog Input'!B88="","",'① Timelog Input'!D88)</f>
        <v>Robin</v>
      </c>
      <c r="I88" s="46">
        <f>IF('① Timelog Input'!B88="","",IF(ISNUMBER('① Timelog Input'!I88),'① Timelog Input'!I88,0))</f>
        <v>55.43</v>
      </c>
      <c r="J88" s="46">
        <f>IF('① Timelog Input'!B88="","",IF(ISNUMBER('① Timelog Input'!J88),'① Timelog Input'!J88,0))</f>
        <v>46.67</v>
      </c>
      <c r="K88" s="46">
        <f>IF('① Timelog Input'!B88="","",Settings!B6)</f>
        <v>160</v>
      </c>
      <c r="L88" s="48">
        <f>IF(OR('① Timelog Input'!B88="",K88=0),"",J88/K88)</f>
        <v>0.29168749999999999</v>
      </c>
      <c r="M88" s="49">
        <f>IF('① Timelog Input'!B88="","",IFERROR(VLOOKUP(B88,'② Salary Input'!A:V,14,FALSE()),0))</f>
        <v>28065</v>
      </c>
      <c r="N88" s="49">
        <f>IF('① Timelog Input'!B88="","",IFERROR(VLOOKUP(B88,'② Salary Input'!A:V,10,FALSE()),0))</f>
        <v>0</v>
      </c>
      <c r="O88" s="49">
        <f>IF('① Timelog Input'!B88="","",IF(AND(D88="Remote",N88&gt;0),N88,IF(K88=0,0,M88/K88)))</f>
        <v>175.40625</v>
      </c>
      <c r="P88" s="49">
        <f>IF(OR('① Timelog Input'!B88="",J88=0),"",M88/J88)</f>
        <v>601.34990357831578</v>
      </c>
      <c r="Q88" s="46" t="str">
        <f>IF('① Timelog Input'!B88="","",'① Timelog Input'!L88)</f>
        <v>84.2%</v>
      </c>
      <c r="R88" s="46" t="str">
        <f>IF('① Timelog Input'!B88="","",IF(NOT(ISNUMBER(L88)),"No Data",IF(L88&gt;=Settings!B13,"HIGH",IF(L88&gt;=Settings!B14,"MEDIUM","LOW"))))</f>
        <v>LOW</v>
      </c>
    </row>
    <row r="89" spans="1:18" ht="15" customHeight="1" x14ac:dyDescent="0.2">
      <c r="A89" s="46">
        <f>IF('① Timelog Input'!B89="","",ROW()-3)</f>
        <v>86</v>
      </c>
      <c r="B89" s="46">
        <f>IF('① Timelog Input'!B89="","",'① Timelog Input'!C89)</f>
        <v>209</v>
      </c>
      <c r="C89" s="46" t="str">
        <f>IF('① Timelog Input'!B89="","",'① Timelog Input'!B89)</f>
        <v>Ash</v>
      </c>
      <c r="D89" s="46" t="str">
        <f>IF('① Timelog Input'!B89="","",'① Timelog Input'!F89)</f>
        <v>Remote</v>
      </c>
      <c r="E89" s="46" t="str">
        <f>IF('① Timelog Input'!B89="","",'① Timelog Input'!G89)</f>
        <v>Controller</v>
      </c>
      <c r="F89" s="46" t="str">
        <f>IF('① Timelog Input'!B89="","",'① Timelog Input'!H89)</f>
        <v>IT</v>
      </c>
      <c r="G89" s="46" t="str">
        <f>IF('① Timelog Input'!B89="","",'① Timelog Input'!E89)</f>
        <v>--</v>
      </c>
      <c r="H89" s="46" t="str">
        <f>IF('① Timelog Input'!B89="","",'① Timelog Input'!D89)</f>
        <v>--</v>
      </c>
      <c r="I89" s="47">
        <f>IF('① Timelog Input'!B89="","",IF(ISNUMBER('① Timelog Input'!I89),'① Timelog Input'!I89,0))</f>
        <v>0</v>
      </c>
      <c r="J89" s="46">
        <f>IF('① Timelog Input'!B89="","",IF(ISNUMBER('① Timelog Input'!J89),'① Timelog Input'!J89,0))</f>
        <v>0</v>
      </c>
      <c r="K89" s="46">
        <f>IF('① Timelog Input'!B89="","",Settings!B6)</f>
        <v>160</v>
      </c>
      <c r="L89" s="48">
        <f>IF(OR('① Timelog Input'!B89="",K89=0),"",J89/K89)</f>
        <v>0</v>
      </c>
      <c r="M89" s="49">
        <f>IF('① Timelog Input'!B89="","",IFERROR(VLOOKUP(B89,'② Salary Input'!A:V,14,FALSE()),0))</f>
        <v>0</v>
      </c>
      <c r="N89" s="49">
        <f>IF('① Timelog Input'!B89="","",IFERROR(VLOOKUP(B89,'② Salary Input'!A:V,10,FALSE()),0))</f>
        <v>0</v>
      </c>
      <c r="O89" s="49">
        <f>IF('① Timelog Input'!B89="","",IF(AND(D89="Remote",N89&gt;0),N89,IF(K89=0,0,M89/K89)))</f>
        <v>0</v>
      </c>
      <c r="P89" s="49" t="str">
        <f>IF(OR('① Timelog Input'!B89="",J89=0),"",M89/J89)</f>
        <v/>
      </c>
      <c r="Q89" s="46" t="str">
        <f>IF('① Timelog Input'!B89="","",'① Timelog Input'!L89)</f>
        <v>--</v>
      </c>
      <c r="R89" s="46" t="str">
        <f>IF('① Timelog Input'!B89="","",IF(NOT(ISNUMBER(L89)),"No Data",IF(L89&gt;=Settings!B13,"HIGH",IF(L89&gt;=Settings!B14,"MEDIUM","LOW"))))</f>
        <v>LOW</v>
      </c>
    </row>
    <row r="90" spans="1:18" ht="15" customHeight="1" x14ac:dyDescent="0.2">
      <c r="A90" s="46">
        <f>IF('① Timelog Input'!B90="","",ROW()-3)</f>
        <v>87</v>
      </c>
      <c r="B90" s="46" t="str">
        <f>IF('① Timelog Input'!B90="","",'① Timelog Input'!C90)</f>
        <v>CASCFO-IH-004</v>
      </c>
      <c r="C90" s="46" t="str">
        <f>IF('① Timelog Input'!B90="","",'① Timelog Input'!B90)</f>
        <v>Anshika.B</v>
      </c>
      <c r="D90" s="46" t="str">
        <f>IF('① Timelog Input'!B90="","",'① Timelog Input'!F90)</f>
        <v>In-house</v>
      </c>
      <c r="E90" s="46" t="str">
        <f>IF('① Timelog Input'!B90="","",'① Timelog Input'!G90)</f>
        <v>Associate</v>
      </c>
      <c r="F90" s="46" t="str">
        <f>IF('① Timelog Input'!B90="","",'① Timelog Input'!H90)</f>
        <v>HR</v>
      </c>
      <c r="G90" s="46" t="str">
        <f>IF('① Timelog Input'!B90="","",'① Timelog Input'!E90)</f>
        <v>Vinita Dagar</v>
      </c>
      <c r="H90" s="46" t="str">
        <f>IF('① Timelog Input'!B90="","",'① Timelog Input'!D90)</f>
        <v>Monika.M</v>
      </c>
      <c r="I90" s="46">
        <f>IF('① Timelog Input'!B90="","",IF(ISNUMBER('① Timelog Input'!I90),'① Timelog Input'!I90,0))</f>
        <v>159</v>
      </c>
      <c r="J90" s="46">
        <f>IF('① Timelog Input'!B90="","",IF(ISNUMBER('① Timelog Input'!J90),'① Timelog Input'!J90,0))</f>
        <v>151</v>
      </c>
      <c r="K90" s="46">
        <f>IF('① Timelog Input'!B90="","",Settings!B6)</f>
        <v>160</v>
      </c>
      <c r="L90" s="48">
        <f>IF(OR('① Timelog Input'!B90="",K90=0),"",J90/K90)</f>
        <v>0.94374999999999998</v>
      </c>
      <c r="M90" s="49">
        <f>IF('① Timelog Input'!B90="","",IFERROR(VLOOKUP(B90,'② Salary Input'!A:V,14,FALSE()),0))</f>
        <v>0</v>
      </c>
      <c r="N90" s="49">
        <f>IF('① Timelog Input'!B90="","",IFERROR(VLOOKUP(B90,'② Salary Input'!A:V,10,FALSE()),0))</f>
        <v>0</v>
      </c>
      <c r="O90" s="49">
        <f>IF('① Timelog Input'!B90="","",IF(AND(D90="Remote",N90&gt;0),N90,IF(K90=0,0,M90/K90)))</f>
        <v>0</v>
      </c>
      <c r="P90" s="49">
        <f>IF(OR('① Timelog Input'!B90="",J90=0),"",M90/J90)</f>
        <v>0</v>
      </c>
      <c r="Q90" s="46" t="str">
        <f>IF('① Timelog Input'!B90="","",'① Timelog Input'!L90)</f>
        <v>94.97%</v>
      </c>
      <c r="R90" s="46" t="str">
        <f>IF('① Timelog Input'!B90="","",IF(NOT(ISNUMBER(L90)),"No Data",IF(L90&gt;=Settings!B13,"HIGH",IF(L90&gt;=Settings!B14,"MEDIUM","LOW"))))</f>
        <v>HIGH</v>
      </c>
    </row>
    <row r="91" spans="1:18" ht="15" customHeight="1" x14ac:dyDescent="0.2">
      <c r="A91" s="46">
        <f>IF('① Timelog Input'!B91="","",ROW()-3)</f>
        <v>88</v>
      </c>
      <c r="B91" s="46" t="str">
        <f>IF('① Timelog Input'!B91="","",'① Timelog Input'!C91)</f>
        <v>CASCFO-IH-005</v>
      </c>
      <c r="C91" s="46" t="str">
        <f>IF('① Timelog Input'!B91="","",'① Timelog Input'!B91)</f>
        <v>Deepak</v>
      </c>
      <c r="D91" s="46" t="str">
        <f>IF('① Timelog Input'!B91="","",'① Timelog Input'!F91)</f>
        <v>In-house</v>
      </c>
      <c r="E91" s="46" t="str">
        <f>IF('① Timelog Input'!B91="","",'① Timelog Input'!G91)</f>
        <v>Sr. Associate</v>
      </c>
      <c r="F91" s="46" t="str">
        <f>IF('① Timelog Input'!B91="","",'① Timelog Input'!H91)</f>
        <v>HR</v>
      </c>
      <c r="G91" s="46" t="str">
        <f>IF('① Timelog Input'!B91="","",'① Timelog Input'!E91)</f>
        <v>Vinita Dagar</v>
      </c>
      <c r="H91" s="46" t="str">
        <f>IF('① Timelog Input'!B91="","",'① Timelog Input'!D91)</f>
        <v>Akhilesh Sirvi</v>
      </c>
      <c r="I91" s="47">
        <f>IF('① Timelog Input'!B91="","",IF(ISNUMBER('① Timelog Input'!I91),'① Timelog Input'!I91,0))</f>
        <v>0</v>
      </c>
      <c r="J91" s="46">
        <f>IF('① Timelog Input'!B91="","",IF(ISNUMBER('① Timelog Input'!J91),'① Timelog Input'!J91,0))</f>
        <v>0</v>
      </c>
      <c r="K91" s="46">
        <f>IF('① Timelog Input'!B91="","",Settings!B6)</f>
        <v>160</v>
      </c>
      <c r="L91" s="48">
        <f>IF(OR('① Timelog Input'!B91="",K91=0),"",J91/K91)</f>
        <v>0</v>
      </c>
      <c r="M91" s="49">
        <f>IF('① Timelog Input'!B91="","",IFERROR(VLOOKUP(B91,'② Salary Input'!A:V,14,FALSE()),0))</f>
        <v>0</v>
      </c>
      <c r="N91" s="49">
        <f>IF('① Timelog Input'!B91="","",IFERROR(VLOOKUP(B91,'② Salary Input'!A:V,10,FALSE()),0))</f>
        <v>0</v>
      </c>
      <c r="O91" s="49">
        <f>IF('① Timelog Input'!B91="","",IF(AND(D91="Remote",N91&gt;0),N91,IF(K91=0,0,M91/K91)))</f>
        <v>0</v>
      </c>
      <c r="P91" s="49" t="str">
        <f>IF(OR('① Timelog Input'!B91="",J91=0),"",M91/J91)</f>
        <v/>
      </c>
      <c r="Q91" s="46" t="str">
        <f>IF('① Timelog Input'!B91="","",'① Timelog Input'!L91)</f>
        <v>--</v>
      </c>
      <c r="R91" s="46" t="str">
        <f>IF('① Timelog Input'!B91="","",IF(NOT(ISNUMBER(L91)),"No Data",IF(L91&gt;=Settings!B13,"HIGH",IF(L91&gt;=Settings!B14,"MEDIUM","LOW"))))</f>
        <v>LOW</v>
      </c>
    </row>
    <row r="92" spans="1:18" ht="15" customHeight="1" x14ac:dyDescent="0.2">
      <c r="A92" s="46">
        <f>IF('① Timelog Input'!B92="","",ROW()-3)</f>
        <v>89</v>
      </c>
      <c r="B92" s="46" t="str">
        <f>IF('① Timelog Input'!B92="","",'① Timelog Input'!C92)</f>
        <v>CAS-RT_2401</v>
      </c>
      <c r="C92" s="46" t="str">
        <f>IF('① Timelog Input'!B92="","",'① Timelog Input'!B92)</f>
        <v>Simran.</v>
      </c>
      <c r="D92" s="46" t="str">
        <f>IF('① Timelog Input'!B92="","",'① Timelog Input'!F92)</f>
        <v>Remote</v>
      </c>
      <c r="E92" s="46" t="str">
        <f>IF('① Timelog Input'!B92="","",'① Timelog Input'!G92)</f>
        <v>Sr. Associate</v>
      </c>
      <c r="F92" s="46" t="str">
        <f>IF('① Timelog Input'!B92="","",'① Timelog Input'!H92)</f>
        <v>Accounting</v>
      </c>
      <c r="G92" s="46" t="str">
        <f>IF('① Timelog Input'!B92="","",'① Timelog Input'!E92)</f>
        <v>Nikita Shah</v>
      </c>
      <c r="H92" s="46" t="str">
        <f>IF('① Timelog Input'!B92="","",'① Timelog Input'!D92)</f>
        <v>Raj.B</v>
      </c>
      <c r="I92" s="46">
        <f>IF('① Timelog Input'!B92="","",IF(ISNUMBER('① Timelog Input'!I92),'① Timelog Input'!I92,0))</f>
        <v>178.85</v>
      </c>
      <c r="J92" s="46">
        <f>IF('① Timelog Input'!B92="","",IF(ISNUMBER('① Timelog Input'!J92),'① Timelog Input'!J92,0))</f>
        <v>178.85</v>
      </c>
      <c r="K92" s="46">
        <f>IF('① Timelog Input'!B92="","",Settings!B6)</f>
        <v>160</v>
      </c>
      <c r="L92" s="48">
        <f>IF(OR('① Timelog Input'!B92="",K92=0),"",J92/K92)</f>
        <v>1.1178124999999999</v>
      </c>
      <c r="M92" s="49">
        <f>IF('① Timelog Input'!B92="","",IFERROR(VLOOKUP(B92,'② Salary Input'!A:V,14,FALSE()),0))</f>
        <v>43813</v>
      </c>
      <c r="N92" s="49">
        <f>IF('① Timelog Input'!B92="","",IFERROR(VLOOKUP(B92,'② Salary Input'!A:V,10,FALSE()),0))</f>
        <v>43563</v>
      </c>
      <c r="O92" s="49">
        <f>IF('① Timelog Input'!B92="","",IF(AND(D92="Remote",N92&gt;0),N92,IF(K92=0,0,M92/K92)))</f>
        <v>43563</v>
      </c>
      <c r="P92" s="49">
        <f>IF(OR('① Timelog Input'!B92="",J92=0),"",M92/J92)</f>
        <v>244.9706457925636</v>
      </c>
      <c r="Q92" s="46" t="str">
        <f>IF('① Timelog Input'!B92="","",'① Timelog Input'!L92)</f>
        <v>100%</v>
      </c>
      <c r="R92" s="46" t="str">
        <f>IF('① Timelog Input'!B92="","",IF(NOT(ISNUMBER(L92)),"No Data",IF(L92&gt;=Settings!B13,"HIGH",IF(L92&gt;=Settings!B14,"MEDIUM","LOW"))))</f>
        <v>HIGH</v>
      </c>
    </row>
    <row r="93" spans="1:18" ht="15" customHeight="1" x14ac:dyDescent="0.2">
      <c r="A93" s="46">
        <f>IF('① Timelog Input'!B93="","",ROW()-3)</f>
        <v>90</v>
      </c>
      <c r="B93" s="46" t="str">
        <f>IF('① Timelog Input'!B93="","",'① Timelog Input'!C93)</f>
        <v>CASUS-IH_003</v>
      </c>
      <c r="C93" s="46" t="str">
        <f>IF('① Timelog Input'!B93="","",'① Timelog Input'!B93)</f>
        <v>Marta</v>
      </c>
      <c r="D93" s="46" t="str">
        <f>IF('① Timelog Input'!B93="","",'① Timelog Input'!F93)</f>
        <v>Remote</v>
      </c>
      <c r="E93" s="46" t="str">
        <f>IF('① Timelog Input'!B93="","",'① Timelog Input'!G93)</f>
        <v>Associate</v>
      </c>
      <c r="F93" s="46" t="str">
        <f>IF('① Timelog Input'!B93="","",'① Timelog Input'!H93)</f>
        <v>Marketing</v>
      </c>
      <c r="G93" s="46" t="str">
        <f>IF('① Timelog Input'!B93="","",'① Timelog Input'!E93)</f>
        <v>Angela</v>
      </c>
      <c r="H93" s="46" t="str">
        <f>IF('① Timelog Input'!B93="","",'① Timelog Input'!D93)</f>
        <v>Angela</v>
      </c>
      <c r="I93" s="47">
        <f>IF('① Timelog Input'!B93="","",IF(ISNUMBER('① Timelog Input'!I93),'① Timelog Input'!I93,0))</f>
        <v>0</v>
      </c>
      <c r="J93" s="46">
        <f>IF('① Timelog Input'!B93="","",IF(ISNUMBER('① Timelog Input'!J93),'① Timelog Input'!J93,0))</f>
        <v>0</v>
      </c>
      <c r="K93" s="46">
        <f>IF('① Timelog Input'!B93="","",Settings!B6)</f>
        <v>160</v>
      </c>
      <c r="L93" s="48">
        <f>IF(OR('① Timelog Input'!B93="",K93=0),"",J93/K93)</f>
        <v>0</v>
      </c>
      <c r="M93" s="49">
        <f>IF('① Timelog Input'!B93="","",IFERROR(VLOOKUP(B93,'② Salary Input'!A:V,14,FALSE()),0))</f>
        <v>0</v>
      </c>
      <c r="N93" s="49">
        <f>IF('① Timelog Input'!B93="","",IFERROR(VLOOKUP(B93,'② Salary Input'!A:V,10,FALSE()),0))</f>
        <v>0</v>
      </c>
      <c r="O93" s="49">
        <f>IF('① Timelog Input'!B93="","",IF(AND(D93="Remote",N93&gt;0),N93,IF(K93=0,0,M93/K93)))</f>
        <v>0</v>
      </c>
      <c r="P93" s="49" t="str">
        <f>IF(OR('① Timelog Input'!B93="",J93=0),"",M93/J93)</f>
        <v/>
      </c>
      <c r="Q93" s="46" t="str">
        <f>IF('① Timelog Input'!B93="","",'① Timelog Input'!L93)</f>
        <v>--</v>
      </c>
      <c r="R93" s="46" t="str">
        <f>IF('① Timelog Input'!B93="","",IF(NOT(ISNUMBER(L93)),"No Data",IF(L93&gt;=Settings!B13,"HIGH",IF(L93&gt;=Settings!B14,"MEDIUM","LOW"))))</f>
        <v>LOW</v>
      </c>
    </row>
    <row r="94" spans="1:18" ht="15" customHeight="1" x14ac:dyDescent="0.2">
      <c r="A94" s="46">
        <f>IF('① Timelog Input'!B94="","",ROW()-3)</f>
        <v>91</v>
      </c>
      <c r="B94" s="46" t="str">
        <f>IF('① Timelog Input'!B94="","",'① Timelog Input'!C94)</f>
        <v>CAS-IH_1170</v>
      </c>
      <c r="C94" s="46" t="str">
        <f>IF('① Timelog Input'!B94="","",'① Timelog Input'!B94)</f>
        <v>Sakshi.M</v>
      </c>
      <c r="D94" s="46" t="str">
        <f>IF('① Timelog Input'!B94="","",'① Timelog Input'!F94)</f>
        <v>Remote</v>
      </c>
      <c r="E94" s="46" t="str">
        <f>IF('① Timelog Input'!B94="","",'① Timelog Input'!G94)</f>
        <v>Manager</v>
      </c>
      <c r="F94" s="46" t="str">
        <f>IF('① Timelog Input'!B94="","",'① Timelog Input'!H94)</f>
        <v>FP&amp;A</v>
      </c>
      <c r="G94" s="46" t="str">
        <f>IF('① Timelog Input'!B94="","",'① Timelog Input'!E94)</f>
        <v>Prachi Guglani</v>
      </c>
      <c r="H94" s="46" t="str">
        <f>IF('① Timelog Input'!B94="","",'① Timelog Input'!D94)</f>
        <v>Prachi Guglani</v>
      </c>
      <c r="I94" s="46">
        <f>IF('① Timelog Input'!B94="","",IF(ISNUMBER('① Timelog Input'!I94),'① Timelog Input'!I94,0))</f>
        <v>171</v>
      </c>
      <c r="J94" s="46">
        <f>IF('① Timelog Input'!B94="","",IF(ISNUMBER('① Timelog Input'!J94),'① Timelog Input'!J94,0))</f>
        <v>153</v>
      </c>
      <c r="K94" s="46">
        <f>IF('① Timelog Input'!B94="","",Settings!B6)</f>
        <v>160</v>
      </c>
      <c r="L94" s="48">
        <f>IF(OR('① Timelog Input'!B94="",K94=0),"",J94/K94)</f>
        <v>0.95625000000000004</v>
      </c>
      <c r="M94" s="49">
        <f>IF('① Timelog Input'!B94="","",IFERROR(VLOOKUP(B94,'② Salary Input'!A:V,14,FALSE()),0))</f>
        <v>208333</v>
      </c>
      <c r="N94" s="49">
        <f>IF('① Timelog Input'!B94="","",IFERROR(VLOOKUP(B94,'② Salary Input'!A:V,10,FALSE()),0))</f>
        <v>0</v>
      </c>
      <c r="O94" s="49">
        <f>IF('① Timelog Input'!B94="","",IF(AND(D94="Remote",N94&gt;0),N94,IF(K94=0,0,M94/K94)))</f>
        <v>1302.08125</v>
      </c>
      <c r="P94" s="49">
        <f>IF(OR('① Timelog Input'!B94="",J94=0),"",M94/J94)</f>
        <v>1361.6535947712418</v>
      </c>
      <c r="Q94" s="46" t="str">
        <f>IF('① Timelog Input'!B94="","",'① Timelog Input'!L94)</f>
        <v>89.47%</v>
      </c>
      <c r="R94" s="46" t="str">
        <f>IF('① Timelog Input'!B94="","",IF(NOT(ISNUMBER(L94)),"No Data",IF(L94&gt;=Settings!B13,"HIGH",IF(L94&gt;=Settings!B14,"MEDIUM","LOW"))))</f>
        <v>HIGH</v>
      </c>
    </row>
    <row r="95" spans="1:18" ht="15" customHeight="1" x14ac:dyDescent="0.2">
      <c r="A95" s="46">
        <f>IF('① Timelog Input'!B95="","",ROW()-3)</f>
        <v>92</v>
      </c>
      <c r="B95" s="46" t="str">
        <f>IF('① Timelog Input'!B95="","",'① Timelog Input'!C95)</f>
        <v>CASCFO****</v>
      </c>
      <c r="C95" s="46" t="str">
        <f>IF('① Timelog Input'!B95="","",'① Timelog Input'!B95)</f>
        <v>Tracey.G</v>
      </c>
      <c r="D95" s="46" t="str">
        <f>IF('① Timelog Input'!B95="","",'① Timelog Input'!F95)</f>
        <v>Remote</v>
      </c>
      <c r="E95" s="46" t="str">
        <f>IF('① Timelog Input'!B95="","",'① Timelog Input'!G95)</f>
        <v>Coo</v>
      </c>
      <c r="F95" s="46" t="str">
        <f>IF('① Timelog Input'!B95="","",'① Timelog Input'!H95)</f>
        <v>Accounting, Individual Tax, Business Tax, VA</v>
      </c>
      <c r="G95" s="46" t="str">
        <f>IF('① Timelog Input'!B95="","",'① Timelog Input'!E95)</f>
        <v>--</v>
      </c>
      <c r="H95" s="46" t="str">
        <f>IF('① Timelog Input'!B95="","",'① Timelog Input'!D95)</f>
        <v>Sam</v>
      </c>
      <c r="I95" s="47">
        <f>IF('① Timelog Input'!B95="","",IF(ISNUMBER('① Timelog Input'!I95),'① Timelog Input'!I95,0))</f>
        <v>0</v>
      </c>
      <c r="J95" s="46">
        <f>IF('① Timelog Input'!B95="","",IF(ISNUMBER('① Timelog Input'!J95),'① Timelog Input'!J95,0))</f>
        <v>0</v>
      </c>
      <c r="K95" s="46">
        <f>IF('① Timelog Input'!B95="","",Settings!B6)</f>
        <v>160</v>
      </c>
      <c r="L95" s="48">
        <f>IF(OR('① Timelog Input'!B95="",K95=0),"",J95/K95)</f>
        <v>0</v>
      </c>
      <c r="M95" s="49">
        <f>IF('① Timelog Input'!B95="","",IFERROR(VLOOKUP(B95,'② Salary Input'!A:V,14,FALSE()),0))</f>
        <v>0</v>
      </c>
      <c r="N95" s="49">
        <f>IF('① Timelog Input'!B95="","",IFERROR(VLOOKUP(B95,'② Salary Input'!A:V,10,FALSE()),0))</f>
        <v>0</v>
      </c>
      <c r="O95" s="49">
        <f>IF('① Timelog Input'!B95="","",IF(AND(D95="Remote",N95&gt;0),N95,IF(K95=0,0,M95/K95)))</f>
        <v>0</v>
      </c>
      <c r="P95" s="49" t="str">
        <f>IF(OR('① Timelog Input'!B95="",J95=0),"",M95/J95)</f>
        <v/>
      </c>
      <c r="Q95" s="46" t="str">
        <f>IF('① Timelog Input'!B95="","",'① Timelog Input'!L95)</f>
        <v>--</v>
      </c>
      <c r="R95" s="46" t="str">
        <f>IF('① Timelog Input'!B95="","",IF(NOT(ISNUMBER(L95)),"No Data",IF(L95&gt;=Settings!B13,"HIGH",IF(L95&gt;=Settings!B14,"MEDIUM","LOW"))))</f>
        <v>LOW</v>
      </c>
    </row>
    <row r="96" spans="1:18" ht="15" customHeight="1" x14ac:dyDescent="0.2">
      <c r="A96" s="46">
        <f>IF('① Timelog Input'!B96="","",ROW()-3)</f>
        <v>93</v>
      </c>
      <c r="B96" s="46" t="str">
        <f>IF('① Timelog Input'!B96="","",'① Timelog Input'!C96)</f>
        <v>CAS-IH_1171</v>
      </c>
      <c r="C96" s="46" t="str">
        <f>IF('① Timelog Input'!B96="","",'① Timelog Input'!B96)</f>
        <v>Khushboo.S</v>
      </c>
      <c r="D96" s="46" t="str">
        <f>IF('① Timelog Input'!B96="","",'① Timelog Input'!F96)</f>
        <v>In-house</v>
      </c>
      <c r="E96" s="46" t="str">
        <f>IF('① Timelog Input'!B96="","",'① Timelog Input'!G96)</f>
        <v>Manager</v>
      </c>
      <c r="F96" s="46" t="str">
        <f>IF('① Timelog Input'!B96="","",'① Timelog Input'!H96)</f>
        <v>Accounting</v>
      </c>
      <c r="G96" s="46" t="str">
        <f>IF('① Timelog Input'!B96="","",'① Timelog Input'!E96)</f>
        <v>Jasleen.D</v>
      </c>
      <c r="H96" s="46" t="str">
        <f>IF('① Timelog Input'!B96="","",'① Timelog Input'!D96)</f>
        <v>Jasleen.D</v>
      </c>
      <c r="I96" s="47">
        <f>IF('① Timelog Input'!B96="","",IF(ISNUMBER('① Timelog Input'!I96),'① Timelog Input'!I96,0))</f>
        <v>181.12</v>
      </c>
      <c r="J96" s="46">
        <f>IF('① Timelog Input'!B96="","",IF(ISNUMBER('① Timelog Input'!J96),'① Timelog Input'!J96,0))</f>
        <v>181.12</v>
      </c>
      <c r="K96" s="46">
        <f>IF('① Timelog Input'!B96="","",Settings!B6)</f>
        <v>160</v>
      </c>
      <c r="L96" s="48">
        <f>IF(OR('① Timelog Input'!B96="",K96=0),"",J96/K96)</f>
        <v>1.1320000000000001</v>
      </c>
      <c r="M96" s="49">
        <f>IF('① Timelog Input'!B96="","",IFERROR(VLOOKUP(B96,'② Salary Input'!A:V,14,FALSE()),0))</f>
        <v>141666</v>
      </c>
      <c r="N96" s="49">
        <f>IF('① Timelog Input'!B96="","",IFERROR(VLOOKUP(B96,'② Salary Input'!A:V,10,FALSE()),0))</f>
        <v>0</v>
      </c>
      <c r="O96" s="49">
        <f>IF('① Timelog Input'!B96="","",IF(AND(D96="Remote",N96&gt;0),N96,IF(K96=0,0,M96/K96)))</f>
        <v>885.41250000000002</v>
      </c>
      <c r="P96" s="49">
        <f>IF(OR('① Timelog Input'!B96="",J96=0),"",M96/J96)</f>
        <v>782.16651943462898</v>
      </c>
      <c r="Q96" s="46" t="str">
        <f>IF('① Timelog Input'!B96="","",'① Timelog Input'!L96)</f>
        <v>100%</v>
      </c>
      <c r="R96" s="46" t="str">
        <f>IF('① Timelog Input'!B96="","",IF(NOT(ISNUMBER(L96)),"No Data",IF(L96&gt;=Settings!B13,"HIGH",IF(L96&gt;=Settings!B14,"MEDIUM","LOW"))))</f>
        <v>HIGH</v>
      </c>
    </row>
    <row r="97" spans="1:18" ht="15" customHeight="1" x14ac:dyDescent="0.2">
      <c r="A97" s="46">
        <f>IF('① Timelog Input'!B97="","",ROW()-3)</f>
        <v>94</v>
      </c>
      <c r="B97" s="46" t="str">
        <f>IF('① Timelog Input'!B97="","",'① Timelog Input'!C97)</f>
        <v>CAS-RT_2402</v>
      </c>
      <c r="C97" s="46" t="str">
        <f>IF('① Timelog Input'!B97="","",'① Timelog Input'!B97)</f>
        <v>Prerna.G</v>
      </c>
      <c r="D97" s="46" t="str">
        <f>IF('① Timelog Input'!B97="","",'① Timelog Input'!F97)</f>
        <v>Remote</v>
      </c>
      <c r="E97" s="46" t="str">
        <f>IF('① Timelog Input'!B97="","",'① Timelog Input'!G97)</f>
        <v>Manager</v>
      </c>
      <c r="F97" s="46" t="str">
        <f>IF('① Timelog Input'!B97="","",'① Timelog Input'!H97)</f>
        <v>Accounting</v>
      </c>
      <c r="G97" s="46" t="str">
        <f>IF('① Timelog Input'!B97="","",'① Timelog Input'!E97)</f>
        <v>Ayushi</v>
      </c>
      <c r="H97" s="46" t="str">
        <f>IF('① Timelog Input'!B97="","",'① Timelog Input'!D97)</f>
        <v>Suhani</v>
      </c>
      <c r="I97" s="47">
        <f>IF('① Timelog Input'!B97="","",IF(ISNUMBER('① Timelog Input'!I97),'① Timelog Input'!I97,0))</f>
        <v>157.46</v>
      </c>
      <c r="J97" s="46">
        <f>IF('① Timelog Input'!B97="","",IF(ISNUMBER('① Timelog Input'!J97),'① Timelog Input'!J97,0))</f>
        <v>117.89</v>
      </c>
      <c r="K97" s="46">
        <f>IF('① Timelog Input'!B97="","",Settings!B6)</f>
        <v>160</v>
      </c>
      <c r="L97" s="48">
        <f>IF(OR('① Timelog Input'!B97="",K97=0),"",J97/K97)</f>
        <v>0.73681249999999998</v>
      </c>
      <c r="M97" s="49">
        <f>IF('① Timelog Input'!B97="","",IFERROR(VLOOKUP(B97,'② Salary Input'!A:V,14,FALSE()),0))</f>
        <v>69507</v>
      </c>
      <c r="N97" s="49">
        <f>IF('① Timelog Input'!B97="","",IFERROR(VLOOKUP(B97,'② Salary Input'!A:V,10,FALSE()),0))</f>
        <v>69107</v>
      </c>
      <c r="O97" s="49">
        <f>IF('① Timelog Input'!B97="","",IF(AND(D97="Remote",N97&gt;0),N97,IF(K97=0,0,M97/K97)))</f>
        <v>69107</v>
      </c>
      <c r="P97" s="49">
        <f>IF(OR('① Timelog Input'!B97="",J97=0),"",M97/J97)</f>
        <v>589.59199253541442</v>
      </c>
      <c r="Q97" s="46" t="str">
        <f>IF('① Timelog Input'!B97="","",'① Timelog Input'!L97)</f>
        <v>74.87%</v>
      </c>
      <c r="R97" s="46" t="str">
        <f>IF('① Timelog Input'!B97="","",IF(NOT(ISNUMBER(L97)),"No Data",IF(L97&gt;=Settings!B13,"HIGH",IF(L97&gt;=Settings!B14,"MEDIUM","LOW"))))</f>
        <v>MEDIUM</v>
      </c>
    </row>
    <row r="98" spans="1:18" ht="15" customHeight="1" x14ac:dyDescent="0.2">
      <c r="A98" s="46">
        <f>IF('① Timelog Input'!B98="","",ROW()-3)</f>
        <v>95</v>
      </c>
      <c r="B98" s="46" t="str">
        <f>IF('① Timelog Input'!B98="","",'① Timelog Input'!C98)</f>
        <v>CASCFO-IH-007</v>
      </c>
      <c r="C98" s="46" t="str">
        <f>IF('① Timelog Input'!B98="","",'① Timelog Input'!B98)</f>
        <v>Monika.M</v>
      </c>
      <c r="D98" s="46" t="str">
        <f>IF('① Timelog Input'!B98="","",'① Timelog Input'!F98)</f>
        <v>In-house</v>
      </c>
      <c r="E98" s="46" t="str">
        <f>IF('① Timelog Input'!B98="","",'① Timelog Input'!G98)</f>
        <v>Manager</v>
      </c>
      <c r="F98" s="46" t="str">
        <f>IF('① Timelog Input'!B98="","",'① Timelog Input'!H98)</f>
        <v>HR</v>
      </c>
      <c r="G98" s="46" t="str">
        <f>IF('① Timelog Input'!B98="","",'① Timelog Input'!E98)</f>
        <v>Vinita Dagar</v>
      </c>
      <c r="H98" s="46" t="str">
        <f>IF('① Timelog Input'!B98="","",'① Timelog Input'!D98)</f>
        <v>Andrew Jindal</v>
      </c>
      <c r="I98" s="47">
        <f>IF('① Timelog Input'!B98="","",IF(ISNUMBER('① Timelog Input'!I98),'① Timelog Input'!I98,0))</f>
        <v>158</v>
      </c>
      <c r="J98" s="46">
        <f>IF('① Timelog Input'!B98="","",IF(ISNUMBER('① Timelog Input'!J98),'① Timelog Input'!J98,0))</f>
        <v>134</v>
      </c>
      <c r="K98" s="46">
        <f>IF('① Timelog Input'!B98="","",Settings!B6)</f>
        <v>160</v>
      </c>
      <c r="L98" s="48">
        <f>IF(OR('① Timelog Input'!B98="",K98=0),"",J98/K98)</f>
        <v>0.83750000000000002</v>
      </c>
      <c r="M98" s="49">
        <f>IF('① Timelog Input'!B98="","",IFERROR(VLOOKUP(B98,'② Salary Input'!A:V,14,FALSE()),0))</f>
        <v>0</v>
      </c>
      <c r="N98" s="49">
        <f>IF('① Timelog Input'!B98="","",IFERROR(VLOOKUP(B98,'② Salary Input'!A:V,10,FALSE()),0))</f>
        <v>0</v>
      </c>
      <c r="O98" s="49">
        <f>IF('① Timelog Input'!B98="","",IF(AND(D98="Remote",N98&gt;0),N98,IF(K98=0,0,M98/K98)))</f>
        <v>0</v>
      </c>
      <c r="P98" s="49">
        <f>IF(OR('① Timelog Input'!B98="",J98=0),"",M98/J98)</f>
        <v>0</v>
      </c>
      <c r="Q98" s="46" t="str">
        <f>IF('① Timelog Input'!B98="","",'① Timelog Input'!L98)</f>
        <v>84.81%</v>
      </c>
      <c r="R98" s="46" t="str">
        <f>IF('① Timelog Input'!B98="","",IF(NOT(ISNUMBER(L98)),"No Data",IF(L98&gt;=Settings!B13,"HIGH",IF(L98&gt;=Settings!B14,"MEDIUM","LOW"))))</f>
        <v>MEDIUM</v>
      </c>
    </row>
    <row r="99" spans="1:18" ht="15" customHeight="1" x14ac:dyDescent="0.2">
      <c r="A99" s="46">
        <f>IF('① Timelog Input'!B99="","",ROW()-3)</f>
        <v>96</v>
      </c>
      <c r="B99" s="46" t="str">
        <f>IF('① Timelog Input'!B99="","",'① Timelog Input'!C99)</f>
        <v>CAS-RT_2403</v>
      </c>
      <c r="C99" s="46" t="str">
        <f>IF('① Timelog Input'!B99="","",'① Timelog Input'!B99)</f>
        <v>Richa.A</v>
      </c>
      <c r="D99" s="46" t="str">
        <f>IF('① Timelog Input'!B99="","",'① Timelog Input'!F99)</f>
        <v>Remote</v>
      </c>
      <c r="E99" s="46" t="str">
        <f>IF('① Timelog Input'!B99="","",'① Timelog Input'!G99)</f>
        <v>Sr. Associate</v>
      </c>
      <c r="F99" s="46" t="str">
        <f>IF('① Timelog Input'!B99="","",'① Timelog Input'!H99)</f>
        <v>Accounting</v>
      </c>
      <c r="G99" s="46" t="str">
        <f>IF('① Timelog Input'!B99="","",'① Timelog Input'!E99)</f>
        <v>Ayushi</v>
      </c>
      <c r="H99" s="46" t="str">
        <f>IF('① Timelog Input'!B99="","",'① Timelog Input'!D99)</f>
        <v>Sukhmeen.K</v>
      </c>
      <c r="I99" s="46">
        <f>IF('① Timelog Input'!B99="","",IF(ISNUMBER('① Timelog Input'!I99),'① Timelog Input'!I99,0))</f>
        <v>162.27000000000001</v>
      </c>
      <c r="J99" s="46">
        <f>IF('① Timelog Input'!B99="","",IF(ISNUMBER('① Timelog Input'!J99),'① Timelog Input'!J99,0))</f>
        <v>130.19</v>
      </c>
      <c r="K99" s="46">
        <f>IF('① Timelog Input'!B99="","",Settings!B6)</f>
        <v>160</v>
      </c>
      <c r="L99" s="48">
        <f>IF(OR('① Timelog Input'!B99="",K99=0),"",J99/K99)</f>
        <v>0.81368750000000001</v>
      </c>
      <c r="M99" s="49">
        <f>IF('① Timelog Input'!B99="","",IFERROR(VLOOKUP(B99,'② Salary Input'!A:V,14,FALSE()),0))</f>
        <v>42375</v>
      </c>
      <c r="N99" s="49">
        <f>IF('① Timelog Input'!B99="","",IFERROR(VLOOKUP(B99,'② Salary Input'!A:V,10,FALSE()),0))</f>
        <v>42125</v>
      </c>
      <c r="O99" s="49">
        <f>IF('① Timelog Input'!B99="","",IF(AND(D99="Remote",N99&gt;0),N99,IF(K99=0,0,M99/K99)))</f>
        <v>42125</v>
      </c>
      <c r="P99" s="49">
        <f>IF(OR('① Timelog Input'!B99="",J99=0),"",M99/J99)</f>
        <v>325.48582840463939</v>
      </c>
      <c r="Q99" s="46" t="str">
        <f>IF('① Timelog Input'!B99="","",'① Timelog Input'!L99)</f>
        <v>80.23%</v>
      </c>
      <c r="R99" s="46" t="str">
        <f>IF('① Timelog Input'!B99="","",IF(NOT(ISNUMBER(L99)),"No Data",IF(L99&gt;=Settings!B13,"HIGH",IF(L99&gt;=Settings!B14,"MEDIUM","LOW"))))</f>
        <v>MEDIUM</v>
      </c>
    </row>
    <row r="100" spans="1:18" ht="15" customHeight="1" x14ac:dyDescent="0.2">
      <c r="A100" s="46">
        <f>IF('① Timelog Input'!B100="","",ROW()-3)</f>
        <v>97</v>
      </c>
      <c r="B100" s="46" t="str">
        <f>IF('① Timelog Input'!B100="","",'① Timelog Input'!C100)</f>
        <v>CASUS-IH_004</v>
      </c>
      <c r="C100" s="46" t="str">
        <f>IF('① Timelog Input'!B100="","",'① Timelog Input'!B100)</f>
        <v>brandon</v>
      </c>
      <c r="D100" s="46" t="str">
        <f>IF('① Timelog Input'!B100="","",'① Timelog Input'!F100)</f>
        <v>Remote</v>
      </c>
      <c r="E100" s="46" t="str">
        <f>IF('① Timelog Input'!B100="","",'① Timelog Input'!G100)</f>
        <v>Marketing</v>
      </c>
      <c r="F100" s="46" t="str">
        <f>IF('① Timelog Input'!B100="","",'① Timelog Input'!H100)</f>
        <v>Marketing</v>
      </c>
      <c r="G100" s="46" t="str">
        <f>IF('① Timelog Input'!B100="","",'① Timelog Input'!E100)</f>
        <v>Angela</v>
      </c>
      <c r="H100" s="46" t="str">
        <f>IF('① Timelog Input'!B100="","",'① Timelog Input'!D100)</f>
        <v>Angela</v>
      </c>
      <c r="I100" s="47">
        <f>IF('① Timelog Input'!B100="","",IF(ISNUMBER('① Timelog Input'!I100),'① Timelog Input'!I100,0))</f>
        <v>0</v>
      </c>
      <c r="J100" s="46">
        <f>IF('① Timelog Input'!B100="","",IF(ISNUMBER('① Timelog Input'!J100),'① Timelog Input'!J100,0))</f>
        <v>0</v>
      </c>
      <c r="K100" s="46">
        <f>IF('① Timelog Input'!B100="","",Settings!B6)</f>
        <v>160</v>
      </c>
      <c r="L100" s="48">
        <f>IF(OR('① Timelog Input'!B100="",K100=0),"",J100/K100)</f>
        <v>0</v>
      </c>
      <c r="M100" s="49">
        <f>IF('① Timelog Input'!B100="","",IFERROR(VLOOKUP(B100,'② Salary Input'!A:V,14,FALSE()),0))</f>
        <v>0</v>
      </c>
      <c r="N100" s="49">
        <f>IF('① Timelog Input'!B100="","",IFERROR(VLOOKUP(B100,'② Salary Input'!A:V,10,FALSE()),0))</f>
        <v>0</v>
      </c>
      <c r="O100" s="49">
        <f>IF('① Timelog Input'!B100="","",IF(AND(D100="Remote",N100&gt;0),N100,IF(K100=0,0,M100/K100)))</f>
        <v>0</v>
      </c>
      <c r="P100" s="49" t="str">
        <f>IF(OR('① Timelog Input'!B100="",J100=0),"",M100/J100)</f>
        <v/>
      </c>
      <c r="Q100" s="46" t="str">
        <f>IF('① Timelog Input'!B100="","",'① Timelog Input'!L100)</f>
        <v>--</v>
      </c>
      <c r="R100" s="46" t="str">
        <f>IF('① Timelog Input'!B100="","",IF(NOT(ISNUMBER(L100)),"No Data",IF(L100&gt;=Settings!B13,"HIGH",IF(L100&gt;=Settings!B14,"MEDIUM","LOW"))))</f>
        <v>LOW</v>
      </c>
    </row>
    <row r="101" spans="1:18" ht="15" customHeight="1" x14ac:dyDescent="0.2">
      <c r="A101" s="46">
        <f>IF('① Timelog Input'!B101="","",ROW()-3)</f>
        <v>98</v>
      </c>
      <c r="B101" s="46" t="str">
        <f>IF('① Timelog Input'!B101="","",'① Timelog Input'!C101)</f>
        <v>CAS-RT_2404</v>
      </c>
      <c r="C101" s="46" t="str">
        <f>IF('① Timelog Input'!B101="","",'① Timelog Input'!B101)</f>
        <v>Ankita.S</v>
      </c>
      <c r="D101" s="46" t="str">
        <f>IF('① Timelog Input'!B101="","",'① Timelog Input'!F101)</f>
        <v>Remote</v>
      </c>
      <c r="E101" s="46" t="str">
        <f>IF('① Timelog Input'!B101="","",'① Timelog Input'!G101)</f>
        <v>Sr. Associate</v>
      </c>
      <c r="F101" s="46" t="str">
        <f>IF('① Timelog Input'!B101="","",'① Timelog Input'!H101)</f>
        <v>Accounting</v>
      </c>
      <c r="G101" s="46" t="str">
        <f>IF('① Timelog Input'!B101="","",'① Timelog Input'!E101)</f>
        <v>Nikita Shah</v>
      </c>
      <c r="H101" s="46" t="str">
        <f>IF('① Timelog Input'!B101="","",'① Timelog Input'!D101)</f>
        <v>Shefali</v>
      </c>
      <c r="I101" s="47">
        <f>IF('① Timelog Input'!B101="","",IF(ISNUMBER('① Timelog Input'!I101),'① Timelog Input'!I101,0))</f>
        <v>16.059999999999999</v>
      </c>
      <c r="J101" s="46">
        <f>IF('① Timelog Input'!B101="","",IF(ISNUMBER('① Timelog Input'!J101),'① Timelog Input'!J101,0))</f>
        <v>16.059999999999999</v>
      </c>
      <c r="K101" s="46">
        <f>IF('① Timelog Input'!B101="","",Settings!B6)</f>
        <v>160</v>
      </c>
      <c r="L101" s="48">
        <f>IF(OR('① Timelog Input'!B101="",K101=0),"",J101/K101)</f>
        <v>0.10037499999999999</v>
      </c>
      <c r="M101" s="49">
        <f>IF('① Timelog Input'!B101="","",IFERROR(VLOOKUP(B101,'② Salary Input'!A:V,14,FALSE()),0))</f>
        <v>9970</v>
      </c>
      <c r="N101" s="49">
        <f>IF('① Timelog Input'!B101="","",IFERROR(VLOOKUP(B101,'② Salary Input'!A:V,10,FALSE()),0))</f>
        <v>9770</v>
      </c>
      <c r="O101" s="49">
        <f>IF('① Timelog Input'!B101="","",IF(AND(D101="Remote",N101&gt;0),N101,IF(K101=0,0,M101/K101)))</f>
        <v>9770</v>
      </c>
      <c r="P101" s="49">
        <f>IF(OR('① Timelog Input'!B101="",J101=0),"",M101/J101)</f>
        <v>620.79701120797017</v>
      </c>
      <c r="Q101" s="46" t="str">
        <f>IF('① Timelog Input'!B101="","",'① Timelog Input'!L101)</f>
        <v>100%</v>
      </c>
      <c r="R101" s="46" t="str">
        <f>IF('① Timelog Input'!B101="","",IF(NOT(ISNUMBER(L101)),"No Data",IF(L101&gt;=Settings!B13,"HIGH",IF(L101&gt;=Settings!B14,"MEDIUM","LOW"))))</f>
        <v>LOW</v>
      </c>
    </row>
    <row r="102" spans="1:18" ht="15" customHeight="1" x14ac:dyDescent="0.2">
      <c r="A102" s="46">
        <f>IF('① Timelog Input'!B102="","",ROW()-3)</f>
        <v>99</v>
      </c>
      <c r="B102" s="46" t="str">
        <f>IF('① Timelog Input'!B102="","",'① Timelog Input'!C102)</f>
        <v>CAS-RT_2406</v>
      </c>
      <c r="C102" s="46" t="str">
        <f>IF('① Timelog Input'!B102="","",'① Timelog Input'!B102)</f>
        <v>Garima.B</v>
      </c>
      <c r="D102" s="46" t="str">
        <f>IF('① Timelog Input'!B102="","",'① Timelog Input'!F102)</f>
        <v>Remote</v>
      </c>
      <c r="E102" s="46" t="str">
        <f>IF('① Timelog Input'!B102="","",'① Timelog Input'!G102)</f>
        <v>Asst. Team Lead</v>
      </c>
      <c r="F102" s="46" t="str">
        <f>IF('① Timelog Input'!B102="","",'① Timelog Input'!H102)</f>
        <v>Accounting</v>
      </c>
      <c r="G102" s="46" t="str">
        <f>IF('① Timelog Input'!B102="","",'① Timelog Input'!E102)</f>
        <v>Nikita Shah</v>
      </c>
      <c r="H102" s="46" t="str">
        <f>IF('① Timelog Input'!B102="","",'① Timelog Input'!D102)</f>
        <v>Shefali</v>
      </c>
      <c r="I102" s="47">
        <f>IF('① Timelog Input'!B102="","",IF(ISNUMBER('① Timelog Input'!I102),'① Timelog Input'!I102,0))</f>
        <v>55.32</v>
      </c>
      <c r="J102" s="46">
        <f>IF('① Timelog Input'!B102="","",IF(ISNUMBER('① Timelog Input'!J102),'① Timelog Input'!J102,0))</f>
        <v>55.32</v>
      </c>
      <c r="K102" s="46">
        <f>IF('① Timelog Input'!B102="","",Settings!B6)</f>
        <v>160</v>
      </c>
      <c r="L102" s="48">
        <f>IF(OR('① Timelog Input'!B102="",K102=0),"",J102/K102)</f>
        <v>0.34575</v>
      </c>
      <c r="M102" s="49">
        <f>IF('① Timelog Input'!B102="","",IFERROR(VLOOKUP(B102,'② Salary Input'!A:V,14,FALSE()),0))</f>
        <v>17173</v>
      </c>
      <c r="N102" s="49">
        <f>IF('① Timelog Input'!B102="","",IFERROR(VLOOKUP(B102,'② Salary Input'!A:V,10,FALSE()),0))</f>
        <v>16823</v>
      </c>
      <c r="O102" s="49">
        <f>IF('① Timelog Input'!B102="","",IF(AND(D102="Remote",N102&gt;0),N102,IF(K102=0,0,M102/K102)))</f>
        <v>16823</v>
      </c>
      <c r="P102" s="49">
        <f>IF(OR('① Timelog Input'!B102="",J102=0),"",M102/J102)</f>
        <v>310.43022415039769</v>
      </c>
      <c r="Q102" s="46" t="str">
        <f>IF('① Timelog Input'!B102="","",'① Timelog Input'!L102)</f>
        <v>100%</v>
      </c>
      <c r="R102" s="46" t="str">
        <f>IF('① Timelog Input'!B102="","",IF(NOT(ISNUMBER(L102)),"No Data",IF(L102&gt;=Settings!B13,"HIGH",IF(L102&gt;=Settings!B14,"MEDIUM","LOW"))))</f>
        <v>LOW</v>
      </c>
    </row>
    <row r="103" spans="1:18" ht="15" customHeight="1" x14ac:dyDescent="0.2">
      <c r="A103" s="46">
        <f>IF('① Timelog Input'!B103="","",ROW()-3)</f>
        <v>100</v>
      </c>
      <c r="B103" s="46" t="str">
        <f>IF('① Timelog Input'!B103="","",'① Timelog Input'!C103)</f>
        <v>CAS-RT_2407</v>
      </c>
      <c r="C103" s="46" t="str">
        <f>IF('① Timelog Input'!B103="","",'① Timelog Input'!B103)</f>
        <v>Priyanka.P</v>
      </c>
      <c r="D103" s="46" t="str">
        <f>IF('① Timelog Input'!B103="","",'① Timelog Input'!F103)</f>
        <v>Remote</v>
      </c>
      <c r="E103" s="46" t="str">
        <f>IF('① Timelog Input'!B103="","",'① Timelog Input'!G103)</f>
        <v>Sr. Associate</v>
      </c>
      <c r="F103" s="46" t="str">
        <f>IF('① Timelog Input'!B103="","",'① Timelog Input'!H103)</f>
        <v>Accounting</v>
      </c>
      <c r="G103" s="46" t="str">
        <f>IF('① Timelog Input'!B103="","",'① Timelog Input'!E103)</f>
        <v>Nikita Shah</v>
      </c>
      <c r="H103" s="46" t="str">
        <f>IF('① Timelog Input'!B103="","",'① Timelog Input'!D103)</f>
        <v>Sakshi Bansal</v>
      </c>
      <c r="I103" s="46">
        <f>IF('① Timelog Input'!B103="","",IF(ISNUMBER('① Timelog Input'!I103),'① Timelog Input'!I103,0))</f>
        <v>99.24</v>
      </c>
      <c r="J103" s="46">
        <f>IF('① Timelog Input'!B103="","",IF(ISNUMBER('① Timelog Input'!J103),'① Timelog Input'!J103,0))</f>
        <v>94.24</v>
      </c>
      <c r="K103" s="46">
        <f>IF('① Timelog Input'!B103="","",Settings!B6)</f>
        <v>160</v>
      </c>
      <c r="L103" s="48">
        <f>IF(OR('① Timelog Input'!B103="",K103=0),"",J103/K103)</f>
        <v>0.58899999999999997</v>
      </c>
      <c r="M103" s="49">
        <f>IF('① Timelog Input'!B103="","",IFERROR(VLOOKUP(B103,'② Salary Input'!A:V,14,FALSE()),0))</f>
        <v>23829</v>
      </c>
      <c r="N103" s="49">
        <f>IF('① Timelog Input'!B103="","",IFERROR(VLOOKUP(B103,'② Salary Input'!A:V,10,FALSE()),0))</f>
        <v>23579</v>
      </c>
      <c r="O103" s="49">
        <f>IF('① Timelog Input'!B103="","",IF(AND(D103="Remote",N103&gt;0),N103,IF(K103=0,0,M103/K103)))</f>
        <v>23579</v>
      </c>
      <c r="P103" s="49">
        <f>IF(OR('① Timelog Input'!B103="",J103=0),"",M103/J103)</f>
        <v>252.85441426146011</v>
      </c>
      <c r="Q103" s="46" t="str">
        <f>IF('① Timelog Input'!B103="","",'① Timelog Input'!L103)</f>
        <v>94.96%</v>
      </c>
      <c r="R103" s="46" t="str">
        <f>IF('① Timelog Input'!B103="","",IF(NOT(ISNUMBER(L103)),"No Data",IF(L103&gt;=Settings!B13,"HIGH",IF(L103&gt;=Settings!B14,"MEDIUM","LOW"))))</f>
        <v>LOW</v>
      </c>
    </row>
    <row r="104" spans="1:18" ht="15" customHeight="1" x14ac:dyDescent="0.2">
      <c r="A104" s="46">
        <f>IF('① Timelog Input'!B104="","",ROW()-3)</f>
        <v>101</v>
      </c>
      <c r="B104" s="46" t="str">
        <f>IF('① Timelog Input'!B104="","",'① Timelog Input'!C104)</f>
        <v>CAS-RT_2408</v>
      </c>
      <c r="C104" s="46" t="str">
        <f>IF('① Timelog Input'!B104="","",'① Timelog Input'!B104)</f>
        <v>Jyoti.U</v>
      </c>
      <c r="D104" s="46" t="str">
        <f>IF('① Timelog Input'!B104="","",'① Timelog Input'!F104)</f>
        <v>Remote</v>
      </c>
      <c r="E104" s="46" t="str">
        <f>IF('① Timelog Input'!B104="","",'① Timelog Input'!G104)</f>
        <v>Sr. Associate</v>
      </c>
      <c r="F104" s="46" t="str">
        <f>IF('① Timelog Input'!B104="","",'① Timelog Input'!H104)</f>
        <v>Accounting</v>
      </c>
      <c r="G104" s="46" t="str">
        <f>IF('① Timelog Input'!B104="","",'① Timelog Input'!E104)</f>
        <v>Jasleen.D</v>
      </c>
      <c r="H104" s="46" t="str">
        <f>IF('① Timelog Input'!B104="","",'① Timelog Input'!D104)</f>
        <v>--</v>
      </c>
      <c r="I104" s="47">
        <f>IF('① Timelog Input'!B104="","",IF(ISNUMBER('① Timelog Input'!I104),'① Timelog Input'!I104,0))</f>
        <v>0</v>
      </c>
      <c r="J104" s="46">
        <f>IF('① Timelog Input'!B104="","",IF(ISNUMBER('① Timelog Input'!J104),'① Timelog Input'!J104,0))</f>
        <v>0</v>
      </c>
      <c r="K104" s="46">
        <f>IF('① Timelog Input'!B104="","",Settings!B6)</f>
        <v>160</v>
      </c>
      <c r="L104" s="48">
        <f>IF(OR('① Timelog Input'!B104="",K104=0),"",J104/K104)</f>
        <v>0</v>
      </c>
      <c r="M104" s="49">
        <f>IF('① Timelog Input'!B104="","",IFERROR(VLOOKUP(B104,'② Salary Input'!A:V,14,FALSE()),0))</f>
        <v>0</v>
      </c>
      <c r="N104" s="49">
        <f>IF('① Timelog Input'!B104="","",IFERROR(VLOOKUP(B104,'② Salary Input'!A:V,10,FALSE()),0))</f>
        <v>0</v>
      </c>
      <c r="O104" s="49">
        <f>IF('① Timelog Input'!B104="","",IF(AND(D104="Remote",N104&gt;0),N104,IF(K104=0,0,M104/K104)))</f>
        <v>0</v>
      </c>
      <c r="P104" s="49" t="str">
        <f>IF(OR('① Timelog Input'!B104="",J104=0),"",M104/J104)</f>
        <v/>
      </c>
      <c r="Q104" s="46" t="str">
        <f>IF('① Timelog Input'!B104="","",'① Timelog Input'!L104)</f>
        <v>--</v>
      </c>
      <c r="R104" s="46" t="str">
        <f>IF('① Timelog Input'!B104="","",IF(NOT(ISNUMBER(L104)),"No Data",IF(L104&gt;=Settings!B13,"HIGH",IF(L104&gt;=Settings!B14,"MEDIUM","LOW"))))</f>
        <v>LOW</v>
      </c>
    </row>
    <row r="105" spans="1:18" ht="15" customHeight="1" x14ac:dyDescent="0.2">
      <c r="A105" s="46">
        <f>IF('① Timelog Input'!B105="","",ROW()-3)</f>
        <v>102</v>
      </c>
      <c r="B105" s="46" t="str">
        <f>IF('① Timelog Input'!B105="","",'① Timelog Input'!C105)</f>
        <v>CAS-RT_2409</v>
      </c>
      <c r="C105" s="46" t="str">
        <f>IF('① Timelog Input'!B105="","",'① Timelog Input'!B105)</f>
        <v>Rajvi.S</v>
      </c>
      <c r="D105" s="46" t="str">
        <f>IF('① Timelog Input'!B105="","",'① Timelog Input'!F105)</f>
        <v>Remote</v>
      </c>
      <c r="E105" s="46" t="str">
        <f>IF('① Timelog Input'!B105="","",'① Timelog Input'!G105)</f>
        <v>Sr. Associate</v>
      </c>
      <c r="F105" s="46" t="str">
        <f>IF('① Timelog Input'!B105="","",'① Timelog Input'!H105)</f>
        <v>Accounting</v>
      </c>
      <c r="G105" s="46" t="str">
        <f>IF('① Timelog Input'!B105="","",'① Timelog Input'!E105)</f>
        <v>Jasleen.D</v>
      </c>
      <c r="H105" s="46" t="str">
        <f>IF('① Timelog Input'!B105="","",'① Timelog Input'!D105)</f>
        <v>Ankit Gupta</v>
      </c>
      <c r="I105" s="47">
        <f>IF('① Timelog Input'!B105="","",IF(ISNUMBER('① Timelog Input'!I105),'① Timelog Input'!I105,0))</f>
        <v>133.22</v>
      </c>
      <c r="J105" s="46">
        <f>IF('① Timelog Input'!B105="","",IF(ISNUMBER('① Timelog Input'!J105),'① Timelog Input'!J105,0))</f>
        <v>133.22</v>
      </c>
      <c r="K105" s="46">
        <f>IF('① Timelog Input'!B105="","",Settings!B6)</f>
        <v>160</v>
      </c>
      <c r="L105" s="48">
        <f>IF(OR('① Timelog Input'!B105="",K105=0),"",J105/K105)</f>
        <v>0.83262499999999995</v>
      </c>
      <c r="M105" s="49">
        <f>IF('① Timelog Input'!B105="","",IFERROR(VLOOKUP(B105,'② Salary Input'!A:V,14,FALSE()),0))</f>
        <v>30475</v>
      </c>
      <c r="N105" s="49">
        <f>IF('① Timelog Input'!B105="","",IFERROR(VLOOKUP(B105,'② Salary Input'!A:V,10,FALSE()),0))</f>
        <v>30225</v>
      </c>
      <c r="O105" s="49">
        <f>IF('① Timelog Input'!B105="","",IF(AND(D105="Remote",N105&gt;0),N105,IF(K105=0,0,M105/K105)))</f>
        <v>30225</v>
      </c>
      <c r="P105" s="49">
        <f>IF(OR('① Timelog Input'!B105="",J105=0),"",M105/J105)</f>
        <v>228.75694340189162</v>
      </c>
      <c r="Q105" s="46" t="str">
        <f>IF('① Timelog Input'!B105="","",'① Timelog Input'!L105)</f>
        <v>100%</v>
      </c>
      <c r="R105" s="46" t="str">
        <f>IF('① Timelog Input'!B105="","",IF(NOT(ISNUMBER(L105)),"No Data",IF(L105&gt;=Settings!B13,"HIGH",IF(L105&gt;=Settings!B14,"MEDIUM","LOW"))))</f>
        <v>MEDIUM</v>
      </c>
    </row>
    <row r="106" spans="1:18" ht="15" customHeight="1" x14ac:dyDescent="0.2">
      <c r="A106" s="46">
        <f>IF('① Timelog Input'!B106="","",ROW()-3)</f>
        <v>103</v>
      </c>
      <c r="B106" s="46" t="str">
        <f>IF('① Timelog Input'!B106="","",'① Timelog Input'!C106)</f>
        <v>CAS-RT_2411</v>
      </c>
      <c r="C106" s="46" t="str">
        <f>IF('① Timelog Input'!B106="","",'① Timelog Input'!B106)</f>
        <v>Komal.G</v>
      </c>
      <c r="D106" s="46" t="str">
        <f>IF('① Timelog Input'!B106="","",'① Timelog Input'!F106)</f>
        <v>Remote</v>
      </c>
      <c r="E106" s="46" t="str">
        <f>IF('① Timelog Input'!B106="","",'① Timelog Input'!G106)</f>
        <v>Sr. Associate</v>
      </c>
      <c r="F106" s="46" t="str">
        <f>IF('① Timelog Input'!B106="","",'① Timelog Input'!H106)</f>
        <v>Accounting</v>
      </c>
      <c r="G106" s="46" t="str">
        <f>IF('① Timelog Input'!B106="","",'① Timelog Input'!E106)</f>
        <v>Jasleen.D</v>
      </c>
      <c r="H106" s="46" t="str">
        <f>IF('① Timelog Input'!B106="","",'① Timelog Input'!D106)</f>
        <v>Anshul Ohri</v>
      </c>
      <c r="I106" s="46">
        <f>IF('① Timelog Input'!B106="","",IF(ISNUMBER('① Timelog Input'!I106),'① Timelog Input'!I106,0))</f>
        <v>164</v>
      </c>
      <c r="J106" s="46">
        <f>IF('① Timelog Input'!B106="","",IF(ISNUMBER('① Timelog Input'!J106),'① Timelog Input'!J106,0))</f>
        <v>164</v>
      </c>
      <c r="K106" s="46">
        <f>IF('① Timelog Input'!B106="","",Settings!B6)</f>
        <v>160</v>
      </c>
      <c r="L106" s="48">
        <f>IF(OR('① Timelog Input'!B106="",K106=0),"",J106/K106)</f>
        <v>1.0249999999999999</v>
      </c>
      <c r="M106" s="49">
        <f>IF('① Timelog Input'!B106="","",IFERROR(VLOOKUP(B106,'② Salary Input'!A:V,14,FALSE()),0))</f>
        <v>40750</v>
      </c>
      <c r="N106" s="49">
        <f>IF('① Timelog Input'!B106="","",IFERROR(VLOOKUP(B106,'② Salary Input'!A:V,10,FALSE()),0))</f>
        <v>40500</v>
      </c>
      <c r="O106" s="49">
        <f>IF('① Timelog Input'!B106="","",IF(AND(D106="Remote",N106&gt;0),N106,IF(K106=0,0,M106/K106)))</f>
        <v>40500</v>
      </c>
      <c r="P106" s="49">
        <f>IF(OR('① Timelog Input'!B106="",J106=0),"",M106/J106)</f>
        <v>248.47560975609755</v>
      </c>
      <c r="Q106" s="46" t="str">
        <f>IF('① Timelog Input'!B106="","",'① Timelog Input'!L106)</f>
        <v>100%</v>
      </c>
      <c r="R106" s="46" t="str">
        <f>IF('① Timelog Input'!B106="","",IF(NOT(ISNUMBER(L106)),"No Data",IF(L106&gt;=Settings!B13,"HIGH",IF(L106&gt;=Settings!B14,"MEDIUM","LOW"))))</f>
        <v>HIGH</v>
      </c>
    </row>
    <row r="107" spans="1:18" ht="15" customHeight="1" x14ac:dyDescent="0.2">
      <c r="A107" s="46">
        <f>IF('① Timelog Input'!B107="","",ROW()-3)</f>
        <v>104</v>
      </c>
      <c r="B107" s="46" t="str">
        <f>IF('① Timelog Input'!B107="","",'① Timelog Input'!C107)</f>
        <v>CAS-RT_2412</v>
      </c>
      <c r="C107" s="46" t="str">
        <f>IF('① Timelog Input'!B107="","",'① Timelog Input'!B107)</f>
        <v>Swati.S</v>
      </c>
      <c r="D107" s="46" t="str">
        <f>IF('① Timelog Input'!B107="","",'① Timelog Input'!F107)</f>
        <v>Remote</v>
      </c>
      <c r="E107" s="46" t="str">
        <f>IF('① Timelog Input'!B107="","",'① Timelog Input'!G107)</f>
        <v>Asst. Team Lead</v>
      </c>
      <c r="F107" s="46" t="str">
        <f>IF('① Timelog Input'!B107="","",'① Timelog Input'!H107)</f>
        <v>Accounting</v>
      </c>
      <c r="G107" s="46" t="str">
        <f>IF('① Timelog Input'!B107="","",'① Timelog Input'!E107)</f>
        <v>Jasleen.D</v>
      </c>
      <c r="H107" s="46" t="str">
        <f>IF('① Timelog Input'!B107="","",'① Timelog Input'!D107)</f>
        <v>Ankit Gupta</v>
      </c>
      <c r="I107" s="47">
        <f>IF('① Timelog Input'!B107="","",IF(ISNUMBER('① Timelog Input'!I107),'① Timelog Input'!I107,0))</f>
        <v>0</v>
      </c>
      <c r="J107" s="46">
        <f>IF('① Timelog Input'!B107="","",IF(ISNUMBER('① Timelog Input'!J107),'① Timelog Input'!J107,0))</f>
        <v>0</v>
      </c>
      <c r="K107" s="46">
        <f>IF('① Timelog Input'!B107="","",Settings!B6)</f>
        <v>160</v>
      </c>
      <c r="L107" s="48">
        <f>IF(OR('① Timelog Input'!B107="",K107=0),"",J107/K107)</f>
        <v>0</v>
      </c>
      <c r="M107" s="49">
        <f>IF('① Timelog Input'!B107="","",IFERROR(VLOOKUP(B107,'② Salary Input'!A:V,14,FALSE()),0))</f>
        <v>20213</v>
      </c>
      <c r="N107" s="49">
        <f>IF('① Timelog Input'!B107="","",IFERROR(VLOOKUP(B107,'② Salary Input'!A:V,10,FALSE()),0))</f>
        <v>19863</v>
      </c>
      <c r="O107" s="49">
        <f>IF('① Timelog Input'!B107="","",IF(AND(D107="Remote",N107&gt;0),N107,IF(K107=0,0,M107/K107)))</f>
        <v>19863</v>
      </c>
      <c r="P107" s="49" t="str">
        <f>IF(OR('① Timelog Input'!B107="",J107=0),"",M107/J107)</f>
        <v/>
      </c>
      <c r="Q107" s="46" t="str">
        <f>IF('① Timelog Input'!B107="","",'① Timelog Input'!L107)</f>
        <v>--</v>
      </c>
      <c r="R107" s="46" t="str">
        <f>IF('① Timelog Input'!B107="","",IF(NOT(ISNUMBER(L107)),"No Data",IF(L107&gt;=Settings!B13,"HIGH",IF(L107&gt;=Settings!B14,"MEDIUM","LOW"))))</f>
        <v>LOW</v>
      </c>
    </row>
    <row r="108" spans="1:18" ht="15" customHeight="1" x14ac:dyDescent="0.2">
      <c r="A108" s="46">
        <f>IF('① Timelog Input'!B108="","",ROW()-3)</f>
        <v>105</v>
      </c>
      <c r="B108" s="46" t="str">
        <f>IF('① Timelog Input'!B108="","",'① Timelog Input'!C108)</f>
        <v>CAS-RT_2413</v>
      </c>
      <c r="C108" s="46" t="str">
        <f>IF('① Timelog Input'!B108="","",'① Timelog Input'!B108)</f>
        <v>Neha.S</v>
      </c>
      <c r="D108" s="46" t="str">
        <f>IF('① Timelog Input'!B108="","",'① Timelog Input'!F108)</f>
        <v>Remote</v>
      </c>
      <c r="E108" s="46" t="str">
        <f>IF('① Timelog Input'!B108="","",'① Timelog Input'!G108)</f>
        <v>Asst. Team Lead</v>
      </c>
      <c r="F108" s="46" t="str">
        <f>IF('① Timelog Input'!B108="","",'① Timelog Input'!H108)</f>
        <v>Accounting</v>
      </c>
      <c r="G108" s="46" t="str">
        <f>IF('① Timelog Input'!B108="","",'① Timelog Input'!E108)</f>
        <v>Nikita Shah</v>
      </c>
      <c r="H108" s="46" t="str">
        <f>IF('① Timelog Input'!B108="","",'① Timelog Input'!D108)</f>
        <v>Shefali</v>
      </c>
      <c r="I108" s="47">
        <f>IF('① Timelog Input'!B108="","",IF(ISNUMBER('① Timelog Input'!I108),'① Timelog Input'!I108,0))</f>
        <v>133.02000000000001</v>
      </c>
      <c r="J108" s="46">
        <f>IF('① Timelog Input'!B108="","",IF(ISNUMBER('① Timelog Input'!J108),'① Timelog Input'!J108,0))</f>
        <v>133.02000000000001</v>
      </c>
      <c r="K108" s="46">
        <f>IF('① Timelog Input'!B108="","",Settings!B6)</f>
        <v>160</v>
      </c>
      <c r="L108" s="48">
        <f>IF(OR('① Timelog Input'!B108="",K108=0),"",J108/K108)</f>
        <v>0.83137500000000009</v>
      </c>
      <c r="M108" s="49">
        <f>IF('① Timelog Input'!B108="","",IFERROR(VLOOKUP(B108,'② Salary Input'!A:V,14,FALSE()),0))</f>
        <v>57367</v>
      </c>
      <c r="N108" s="49">
        <f>IF('① Timelog Input'!B108="","",IFERROR(VLOOKUP(B108,'② Salary Input'!A:V,10,FALSE()),0))</f>
        <v>56967</v>
      </c>
      <c r="O108" s="49">
        <f>IF('① Timelog Input'!B108="","",IF(AND(D108="Remote",N108&gt;0),N108,IF(K108=0,0,M108/K108)))</f>
        <v>56967</v>
      </c>
      <c r="P108" s="49">
        <f>IF(OR('① Timelog Input'!B108="",J108=0),"",M108/J108)</f>
        <v>431.26597504134713</v>
      </c>
      <c r="Q108" s="46" t="str">
        <f>IF('① Timelog Input'!B108="","",'① Timelog Input'!L108)</f>
        <v>100%</v>
      </c>
      <c r="R108" s="46" t="str">
        <f>IF('① Timelog Input'!B108="","",IF(NOT(ISNUMBER(L108)),"No Data",IF(L108&gt;=Settings!B13,"HIGH",IF(L108&gt;=Settings!B14,"MEDIUM","LOW"))))</f>
        <v>MEDIUM</v>
      </c>
    </row>
    <row r="109" spans="1:18" ht="15" customHeight="1" x14ac:dyDescent="0.2">
      <c r="A109" s="46">
        <f>IF('① Timelog Input'!B109="","",ROW()-3)</f>
        <v>106</v>
      </c>
      <c r="B109" s="46" t="str">
        <f>IF('① Timelog Input'!B109="","",'① Timelog Input'!C109)</f>
        <v>CAS-RT_2414</v>
      </c>
      <c r="C109" s="46" t="str">
        <f>IF('① Timelog Input'!B109="","",'① Timelog Input'!B109)</f>
        <v>Navneet.S</v>
      </c>
      <c r="D109" s="46" t="str">
        <f>IF('① Timelog Input'!B109="","",'① Timelog Input'!F109)</f>
        <v>Remote</v>
      </c>
      <c r="E109" s="46" t="str">
        <f>IF('① Timelog Input'!B109="","",'① Timelog Input'!G109)</f>
        <v>Sr. Associate</v>
      </c>
      <c r="F109" s="46" t="str">
        <f>IF('① Timelog Input'!B109="","",'① Timelog Input'!H109)</f>
        <v>Accounting</v>
      </c>
      <c r="G109" s="46" t="str">
        <f>IF('① Timelog Input'!B109="","",'① Timelog Input'!E109)</f>
        <v>Jasleen.D</v>
      </c>
      <c r="H109" s="46" t="str">
        <f>IF('① Timelog Input'!B109="","",'① Timelog Input'!D109)</f>
        <v>Namya.S</v>
      </c>
      <c r="I109" s="46">
        <f>IF('① Timelog Input'!B109="","",IF(ISNUMBER('① Timelog Input'!I109),'① Timelog Input'!I109,0))</f>
        <v>165.06</v>
      </c>
      <c r="J109" s="46">
        <f>IF('① Timelog Input'!B109="","",IF(ISNUMBER('① Timelog Input'!J109),'① Timelog Input'!J109,0))</f>
        <v>165.06</v>
      </c>
      <c r="K109" s="46">
        <f>IF('① Timelog Input'!B109="","",Settings!B6)</f>
        <v>160</v>
      </c>
      <c r="L109" s="48">
        <f>IF(OR('① Timelog Input'!B109="",K109=0),"",J109/K109)</f>
        <v>1.031625</v>
      </c>
      <c r="M109" s="49">
        <f>IF('① Timelog Input'!B109="","",IFERROR(VLOOKUP(B109,'② Salary Input'!A:V,14,FALSE()),0))</f>
        <v>39125</v>
      </c>
      <c r="N109" s="49">
        <f>IF('① Timelog Input'!B109="","",IFERROR(VLOOKUP(B109,'② Salary Input'!A:V,10,FALSE()),0))</f>
        <v>38875</v>
      </c>
      <c r="O109" s="49">
        <f>IF('① Timelog Input'!B109="","",IF(AND(D109="Remote",N109&gt;0),N109,IF(K109=0,0,M109/K109)))</f>
        <v>38875</v>
      </c>
      <c r="P109" s="49">
        <f>IF(OR('① Timelog Input'!B109="",J109=0),"",M109/J109)</f>
        <v>237.0350175693687</v>
      </c>
      <c r="Q109" s="46" t="str">
        <f>IF('① Timelog Input'!B109="","",'① Timelog Input'!L109)</f>
        <v>100%</v>
      </c>
      <c r="R109" s="46" t="str">
        <f>IF('① Timelog Input'!B109="","",IF(NOT(ISNUMBER(L109)),"No Data",IF(L109&gt;=Settings!B13,"HIGH",IF(L109&gt;=Settings!B14,"MEDIUM","LOW"))))</f>
        <v>HIGH</v>
      </c>
    </row>
    <row r="110" spans="1:18" ht="15" customHeight="1" x14ac:dyDescent="0.2">
      <c r="A110" s="46">
        <f>IF('① Timelog Input'!B110="","",ROW()-3)</f>
        <v>107</v>
      </c>
      <c r="B110" s="46" t="str">
        <f>IF('① Timelog Input'!B110="","",'① Timelog Input'!C110)</f>
        <v>CAS-IH_1173</v>
      </c>
      <c r="C110" s="46" t="str">
        <f>IF('① Timelog Input'!B110="","",'① Timelog Input'!B110)</f>
        <v>Ishita.M</v>
      </c>
      <c r="D110" s="46" t="str">
        <f>IF('① Timelog Input'!B110="","",'① Timelog Input'!F110)</f>
        <v>Remote</v>
      </c>
      <c r="E110" s="46" t="str">
        <f>IF('① Timelog Input'!B110="","",'① Timelog Input'!G110)</f>
        <v>Sr. Associate</v>
      </c>
      <c r="F110" s="46" t="str">
        <f>IF('① Timelog Input'!B110="","",'① Timelog Input'!H110)</f>
        <v>Individual Tax</v>
      </c>
      <c r="G110" s="46" t="str">
        <f>IF('① Timelog Input'!B110="","",'① Timelog Input'!E110)</f>
        <v>Smriti Shah</v>
      </c>
      <c r="H110" s="46" t="str">
        <f>IF('① Timelog Input'!B110="","",'① Timelog Input'!D110)</f>
        <v>Smriti Shah</v>
      </c>
      <c r="I110" s="47">
        <f>IF('① Timelog Input'!B110="","",IF(ISNUMBER('① Timelog Input'!I110),'① Timelog Input'!I110,0))</f>
        <v>0</v>
      </c>
      <c r="J110" s="46">
        <f>IF('① Timelog Input'!B110="","",IF(ISNUMBER('① Timelog Input'!J110),'① Timelog Input'!J110,0))</f>
        <v>0</v>
      </c>
      <c r="K110" s="46">
        <f>IF('① Timelog Input'!B110="","",Settings!B6)</f>
        <v>160</v>
      </c>
      <c r="L110" s="48">
        <f>IF(OR('① Timelog Input'!B110="",K110=0),"",J110/K110)</f>
        <v>0</v>
      </c>
      <c r="M110" s="49">
        <f>IF('① Timelog Input'!B110="","",IFERROR(VLOOKUP(B110,'② Salary Input'!A:V,14,FALSE()),0))</f>
        <v>9678</v>
      </c>
      <c r="N110" s="49">
        <f>IF('① Timelog Input'!B110="","",IFERROR(VLOOKUP(B110,'② Salary Input'!A:V,10,FALSE()),0))</f>
        <v>0</v>
      </c>
      <c r="O110" s="49">
        <f>IF('① Timelog Input'!B110="","",IF(AND(D110="Remote",N110&gt;0),N110,IF(K110=0,0,M110/K110)))</f>
        <v>60.487499999999997</v>
      </c>
      <c r="P110" s="49" t="str">
        <f>IF(OR('① Timelog Input'!B110="",J110=0),"",M110/J110)</f>
        <v/>
      </c>
      <c r="Q110" s="46" t="str">
        <f>IF('① Timelog Input'!B110="","",'① Timelog Input'!L110)</f>
        <v>--</v>
      </c>
      <c r="R110" s="46" t="str">
        <f>IF('① Timelog Input'!B110="","",IF(NOT(ISNUMBER(L110)),"No Data",IF(L110&gt;=Settings!B13,"HIGH",IF(L110&gt;=Settings!B14,"MEDIUM","LOW"))))</f>
        <v>LOW</v>
      </c>
    </row>
    <row r="111" spans="1:18" ht="15" customHeight="1" x14ac:dyDescent="0.2">
      <c r="A111" s="46">
        <f>IF('① Timelog Input'!B111="","",ROW()-3)</f>
        <v>108</v>
      </c>
      <c r="B111" s="46" t="str">
        <f>IF('① Timelog Input'!B111="","",'① Timelog Input'!C111)</f>
        <v>CAS-IH_1174</v>
      </c>
      <c r="C111" s="46" t="str">
        <f>IF('① Timelog Input'!B111="","",'① Timelog Input'!B111)</f>
        <v>Arya.N</v>
      </c>
      <c r="D111" s="46" t="str">
        <f>IF('① Timelog Input'!B111="","",'① Timelog Input'!F111)</f>
        <v>Remote</v>
      </c>
      <c r="E111" s="46" t="str">
        <f>IF('① Timelog Input'!B111="","",'① Timelog Input'!G111)</f>
        <v>Sr. Associate</v>
      </c>
      <c r="F111" s="46" t="str">
        <f>IF('① Timelog Input'!B111="","",'① Timelog Input'!H111)</f>
        <v>Individual Tax</v>
      </c>
      <c r="G111" s="46" t="str">
        <f>IF('① Timelog Input'!B111="","",'① Timelog Input'!E111)</f>
        <v>Smriti Shah</v>
      </c>
      <c r="H111" s="46" t="str">
        <f>IF('① Timelog Input'!B111="","",'① Timelog Input'!D111)</f>
        <v>Smriti Shah</v>
      </c>
      <c r="I111" s="47">
        <f>IF('① Timelog Input'!B111="","",IF(ISNUMBER('① Timelog Input'!I111),'① Timelog Input'!I111,0))</f>
        <v>169.03</v>
      </c>
      <c r="J111" s="46">
        <f>IF('① Timelog Input'!B111="","",IF(ISNUMBER('① Timelog Input'!J111),'① Timelog Input'!J111,0))</f>
        <v>169.03</v>
      </c>
      <c r="K111" s="46">
        <f>IF('① Timelog Input'!B111="","",Settings!B6)</f>
        <v>160</v>
      </c>
      <c r="L111" s="48">
        <f>IF(OR('① Timelog Input'!B111="",K111=0),"",J111/K111)</f>
        <v>1.0564374999999999</v>
      </c>
      <c r="M111" s="49">
        <f>IF('① Timelog Input'!B111="","",IFERROR(VLOOKUP(B111,'② Salary Input'!A:V,14,FALSE()),0))</f>
        <v>17419</v>
      </c>
      <c r="N111" s="49">
        <f>IF('① Timelog Input'!B111="","",IFERROR(VLOOKUP(B111,'② Salary Input'!A:V,10,FALSE()),0))</f>
        <v>0</v>
      </c>
      <c r="O111" s="49">
        <f>IF('① Timelog Input'!B111="","",IF(AND(D111="Remote",N111&gt;0),N111,IF(K111=0,0,M111/K111)))</f>
        <v>108.86875000000001</v>
      </c>
      <c r="P111" s="49">
        <f>IF(OR('① Timelog Input'!B111="",J111=0),"",M111/J111)</f>
        <v>103.05271253623617</v>
      </c>
      <c r="Q111" s="46" t="str">
        <f>IF('① Timelog Input'!B111="","",'① Timelog Input'!L111)</f>
        <v>100%</v>
      </c>
      <c r="R111" s="46" t="str">
        <f>IF('① Timelog Input'!B111="","",IF(NOT(ISNUMBER(L111)),"No Data",IF(L111&gt;=Settings!B13,"HIGH",IF(L111&gt;=Settings!B14,"MEDIUM","LOW"))))</f>
        <v>HIGH</v>
      </c>
    </row>
    <row r="112" spans="1:18" ht="15" customHeight="1" x14ac:dyDescent="0.2">
      <c r="A112" s="46">
        <f>IF('① Timelog Input'!B112="","",ROW()-3)</f>
        <v>109</v>
      </c>
      <c r="B112" s="46" t="str">
        <f>IF('① Timelog Input'!B112="","",'① Timelog Input'!C112)</f>
        <v>CAS-IH_1176</v>
      </c>
      <c r="C112" s="46" t="str">
        <f>IF('① Timelog Input'!B112="","",'① Timelog Input'!B112)</f>
        <v>Gaorav.C</v>
      </c>
      <c r="D112" s="46" t="str">
        <f>IF('① Timelog Input'!B112="","",'① Timelog Input'!F112)</f>
        <v>Remote</v>
      </c>
      <c r="E112" s="46" t="str">
        <f>IF('① Timelog Input'!B112="","",'① Timelog Input'!G112)</f>
        <v>Sr. Associate</v>
      </c>
      <c r="F112" s="46" t="str">
        <f>IF('① Timelog Input'!B112="","",'① Timelog Input'!H112)</f>
        <v>Individual Tax</v>
      </c>
      <c r="G112" s="46" t="str">
        <f>IF('① Timelog Input'!B112="","",'① Timelog Input'!E112)</f>
        <v>Smriti Shah</v>
      </c>
      <c r="H112" s="46" t="str">
        <f>IF('① Timelog Input'!B112="","",'① Timelog Input'!D112)</f>
        <v>Smriti Shah</v>
      </c>
      <c r="I112" s="47">
        <f>IF('① Timelog Input'!B112="","",IF(ISNUMBER('① Timelog Input'!I112),'① Timelog Input'!I112,0))</f>
        <v>168.77</v>
      </c>
      <c r="J112" s="46">
        <f>IF('① Timelog Input'!B112="","",IF(ISNUMBER('① Timelog Input'!J112),'① Timelog Input'!J112,0))</f>
        <v>168.77</v>
      </c>
      <c r="K112" s="46">
        <f>IF('① Timelog Input'!B112="","",Settings!B6)</f>
        <v>160</v>
      </c>
      <c r="L112" s="48">
        <f>IF(OR('① Timelog Input'!B112="",K112=0),"",J112/K112)</f>
        <v>1.0548125000000002</v>
      </c>
      <c r="M112" s="49">
        <f>IF('① Timelog Input'!B112="","",IFERROR(VLOOKUP(B112,'② Salary Input'!A:V,14,FALSE()),0))</f>
        <v>17419</v>
      </c>
      <c r="N112" s="49">
        <f>IF('① Timelog Input'!B112="","",IFERROR(VLOOKUP(B112,'② Salary Input'!A:V,10,FALSE()),0))</f>
        <v>0</v>
      </c>
      <c r="O112" s="49">
        <f>IF('① Timelog Input'!B112="","",IF(AND(D112="Remote",N112&gt;0),N112,IF(K112=0,0,M112/K112)))</f>
        <v>108.86875000000001</v>
      </c>
      <c r="P112" s="49">
        <f>IF(OR('① Timelog Input'!B112="",J112=0),"",M112/J112)</f>
        <v>103.21147123303903</v>
      </c>
      <c r="Q112" s="46" t="str">
        <f>IF('① Timelog Input'!B112="","",'① Timelog Input'!L112)</f>
        <v>100%</v>
      </c>
      <c r="R112" s="46" t="str">
        <f>IF('① Timelog Input'!B112="","",IF(NOT(ISNUMBER(L112)),"No Data",IF(L112&gt;=Settings!B13,"HIGH",IF(L112&gt;=Settings!B14,"MEDIUM","LOW"))))</f>
        <v>HIGH</v>
      </c>
    </row>
    <row r="113" spans="1:18" ht="15" customHeight="1" x14ac:dyDescent="0.2">
      <c r="A113" s="46">
        <f>IF('① Timelog Input'!B113="","",ROW()-3)</f>
        <v>110</v>
      </c>
      <c r="B113" s="46" t="str">
        <f>IF('① Timelog Input'!B113="","",'① Timelog Input'!C113)</f>
        <v>CAS-RT_2415</v>
      </c>
      <c r="C113" s="46" t="str">
        <f>IF('① Timelog Input'!B113="","",'① Timelog Input'!B113)</f>
        <v>Isha.M</v>
      </c>
      <c r="D113" s="46" t="str">
        <f>IF('① Timelog Input'!B113="","",'① Timelog Input'!F113)</f>
        <v>Remote</v>
      </c>
      <c r="E113" s="46" t="str">
        <f>IF('① Timelog Input'!B113="","",'① Timelog Input'!G113)</f>
        <v>Sr. Associate</v>
      </c>
      <c r="F113" s="46" t="str">
        <f>IF('① Timelog Input'!B113="","",'① Timelog Input'!H113)</f>
        <v>Individual Tax</v>
      </c>
      <c r="G113" s="46" t="str">
        <f>IF('① Timelog Input'!B113="","",'① Timelog Input'!E113)</f>
        <v>Smriti Shah</v>
      </c>
      <c r="H113" s="46" t="str">
        <f>IF('① Timelog Input'!B113="","",'① Timelog Input'!D113)</f>
        <v>Smriti Shah</v>
      </c>
      <c r="I113" s="46">
        <f>IF('① Timelog Input'!B113="","",IF(ISNUMBER('① Timelog Input'!I113),'① Timelog Input'!I113,0))</f>
        <v>22.42</v>
      </c>
      <c r="J113" s="46">
        <f>IF('① Timelog Input'!B113="","",IF(ISNUMBER('① Timelog Input'!J113),'① Timelog Input'!J113,0))</f>
        <v>22.42</v>
      </c>
      <c r="K113" s="46">
        <f>IF('① Timelog Input'!B113="","",Settings!B6)</f>
        <v>160</v>
      </c>
      <c r="L113" s="48">
        <f>IF(OR('① Timelog Input'!B113="",K113=0),"",J113/K113)</f>
        <v>0.140125</v>
      </c>
      <c r="M113" s="49">
        <f>IF('① Timelog Input'!B113="","",IFERROR(VLOOKUP(B113,'② Salary Input'!A:V,14,FALSE()),0))</f>
        <v>0</v>
      </c>
      <c r="N113" s="49">
        <f>IF('① Timelog Input'!B113="","",IFERROR(VLOOKUP(B113,'② Salary Input'!A:V,10,FALSE()),0))</f>
        <v>0</v>
      </c>
      <c r="O113" s="49">
        <f>IF('① Timelog Input'!B113="","",IF(AND(D113="Remote",N113&gt;0),N113,IF(K113=0,0,M113/K113)))</f>
        <v>0</v>
      </c>
      <c r="P113" s="49">
        <f>IF(OR('① Timelog Input'!B113="",J113=0),"",M113/J113)</f>
        <v>0</v>
      </c>
      <c r="Q113" s="46" t="str">
        <f>IF('① Timelog Input'!B113="","",'① Timelog Input'!L113)</f>
        <v>100%</v>
      </c>
      <c r="R113" s="46" t="str">
        <f>IF('① Timelog Input'!B113="","",IF(NOT(ISNUMBER(L113)),"No Data",IF(L113&gt;=Settings!B13,"HIGH",IF(L113&gt;=Settings!B14,"MEDIUM","LOW"))))</f>
        <v>LOW</v>
      </c>
    </row>
    <row r="114" spans="1:18" ht="15" customHeight="1" x14ac:dyDescent="0.2">
      <c r="A114" s="46">
        <f>IF('① Timelog Input'!B114="","",ROW()-3)</f>
        <v>111</v>
      </c>
      <c r="B114" s="46" t="str">
        <f>IF('① Timelog Input'!B114="","",'① Timelog Input'!C114)</f>
        <v>CAS-RT_2417</v>
      </c>
      <c r="C114" s="46" t="str">
        <f>IF('① Timelog Input'!B114="","",'① Timelog Input'!B114)</f>
        <v>Aravind.J</v>
      </c>
      <c r="D114" s="46" t="str">
        <f>IF('① Timelog Input'!B114="","",'① Timelog Input'!F114)</f>
        <v>Remote</v>
      </c>
      <c r="E114" s="46" t="str">
        <f>IF('① Timelog Input'!B114="","",'① Timelog Input'!G114)</f>
        <v>Sr. Associate</v>
      </c>
      <c r="F114" s="46" t="str">
        <f>IF('① Timelog Input'!B114="","",'① Timelog Input'!H114)</f>
        <v>Individual Tax</v>
      </c>
      <c r="G114" s="46" t="str">
        <f>IF('① Timelog Input'!B114="","",'① Timelog Input'!E114)</f>
        <v>Smriti Shah</v>
      </c>
      <c r="H114" s="46" t="str">
        <f>IF('① Timelog Input'!B114="","",'① Timelog Input'!D114)</f>
        <v>Smriti Shah</v>
      </c>
      <c r="I114" s="46">
        <f>IF('① Timelog Input'!B114="","",IF(ISNUMBER('① Timelog Input'!I114),'① Timelog Input'!I114,0))</f>
        <v>0</v>
      </c>
      <c r="J114" s="46">
        <f>IF('① Timelog Input'!B114="","",IF(ISNUMBER('① Timelog Input'!J114),'① Timelog Input'!J114,0))</f>
        <v>0</v>
      </c>
      <c r="K114" s="46">
        <f>IF('① Timelog Input'!B114="","",Settings!B6)</f>
        <v>160</v>
      </c>
      <c r="L114" s="48">
        <f>IF(OR('① Timelog Input'!B114="",K114=0),"",J114/K114)</f>
        <v>0</v>
      </c>
      <c r="M114" s="49">
        <f>IF('① Timelog Input'!B114="","",IFERROR(VLOOKUP(B114,'② Salary Input'!A:V,14,FALSE()),0))</f>
        <v>0</v>
      </c>
      <c r="N114" s="49">
        <f>IF('① Timelog Input'!B114="","",IFERROR(VLOOKUP(B114,'② Salary Input'!A:V,10,FALSE()),0))</f>
        <v>0</v>
      </c>
      <c r="O114" s="49">
        <f>IF('① Timelog Input'!B114="","",IF(AND(D114="Remote",N114&gt;0),N114,IF(K114=0,0,M114/K114)))</f>
        <v>0</v>
      </c>
      <c r="P114" s="49" t="str">
        <f>IF(OR('① Timelog Input'!B114="",J114=0),"",M114/J114)</f>
        <v/>
      </c>
      <c r="Q114" s="46" t="str">
        <f>IF('① Timelog Input'!B114="","",'① Timelog Input'!L114)</f>
        <v>--</v>
      </c>
      <c r="R114" s="46" t="str">
        <f>IF('① Timelog Input'!B114="","",IF(NOT(ISNUMBER(L114)),"No Data",IF(L114&gt;=Settings!B13,"HIGH",IF(L114&gt;=Settings!B14,"MEDIUM","LOW"))))</f>
        <v>LOW</v>
      </c>
    </row>
    <row r="115" spans="1:18" ht="15" customHeight="1" x14ac:dyDescent="0.2">
      <c r="A115" s="46">
        <f>IF('① Timelog Input'!B115="","",ROW()-3)</f>
        <v>112</v>
      </c>
      <c r="B115" s="46" t="str">
        <f>IF('① Timelog Input'!B115="","",'① Timelog Input'!C115)</f>
        <v>CAS-RT_2418</v>
      </c>
      <c r="C115" s="46" t="str">
        <f>IF('① Timelog Input'!B115="","",'① Timelog Input'!B115)</f>
        <v>Archana.K</v>
      </c>
      <c r="D115" s="46" t="str">
        <f>IF('① Timelog Input'!B115="","",'① Timelog Input'!F115)</f>
        <v>Remote</v>
      </c>
      <c r="E115" s="46" t="str">
        <f>IF('① Timelog Input'!B115="","",'① Timelog Input'!G115)</f>
        <v>Sr. Associate</v>
      </c>
      <c r="F115" s="46" t="str">
        <f>IF('① Timelog Input'!B115="","",'① Timelog Input'!H115)</f>
        <v>Individual Tax</v>
      </c>
      <c r="G115" s="46" t="str">
        <f>IF('① Timelog Input'!B115="","",'① Timelog Input'!E115)</f>
        <v>Smriti Shah</v>
      </c>
      <c r="H115" s="46" t="str">
        <f>IF('① Timelog Input'!B115="","",'① Timelog Input'!D115)</f>
        <v>Smriti Shah</v>
      </c>
      <c r="I115" s="47">
        <f>IF('① Timelog Input'!B115="","",IF(ISNUMBER('① Timelog Input'!I115),'① Timelog Input'!I115,0))</f>
        <v>0</v>
      </c>
      <c r="J115" s="46">
        <f>IF('① Timelog Input'!B115="","",IF(ISNUMBER('① Timelog Input'!J115),'① Timelog Input'!J115,0))</f>
        <v>0</v>
      </c>
      <c r="K115" s="46">
        <f>IF('① Timelog Input'!B115="","",Settings!B6)</f>
        <v>160</v>
      </c>
      <c r="L115" s="48">
        <f>IF(OR('① Timelog Input'!B115="",K115=0),"",J115/K115)</f>
        <v>0</v>
      </c>
      <c r="M115" s="49">
        <f>IF('① Timelog Input'!B115="","",IFERROR(VLOOKUP(B115,'② Salary Input'!A:V,14,FALSE()),0))</f>
        <v>0</v>
      </c>
      <c r="N115" s="49">
        <f>IF('① Timelog Input'!B115="","",IFERROR(VLOOKUP(B115,'② Salary Input'!A:V,10,FALSE()),0))</f>
        <v>0</v>
      </c>
      <c r="O115" s="49">
        <f>IF('① Timelog Input'!B115="","",IF(AND(D115="Remote",N115&gt;0),N115,IF(K115=0,0,M115/K115)))</f>
        <v>0</v>
      </c>
      <c r="P115" s="49" t="str">
        <f>IF(OR('① Timelog Input'!B115="",J115=0),"",M115/J115)</f>
        <v/>
      </c>
      <c r="Q115" s="46" t="str">
        <f>IF('① Timelog Input'!B115="","",'① Timelog Input'!L115)</f>
        <v>--</v>
      </c>
      <c r="R115" s="46" t="str">
        <f>IF('① Timelog Input'!B115="","",IF(NOT(ISNUMBER(L115)),"No Data",IF(L115&gt;=Settings!B13,"HIGH",IF(L115&gt;=Settings!B14,"MEDIUM","LOW"))))</f>
        <v>LOW</v>
      </c>
    </row>
    <row r="116" spans="1:18" ht="15" customHeight="1" x14ac:dyDescent="0.2">
      <c r="A116" s="46">
        <f>IF('① Timelog Input'!B116="","",ROW()-3)</f>
        <v>113</v>
      </c>
      <c r="B116" s="46" t="str">
        <f>IF('① Timelog Input'!B116="","",'① Timelog Input'!C116)</f>
        <v>CAS-RT_2419</v>
      </c>
      <c r="C116" s="46" t="str">
        <f>IF('① Timelog Input'!B116="","",'① Timelog Input'!B116)</f>
        <v>Jinali.S</v>
      </c>
      <c r="D116" s="46" t="str">
        <f>IF('① Timelog Input'!B116="","",'① Timelog Input'!F116)</f>
        <v>Remote</v>
      </c>
      <c r="E116" s="46" t="str">
        <f>IF('① Timelog Input'!B116="","",'① Timelog Input'!G116)</f>
        <v>Sr. Associate</v>
      </c>
      <c r="F116" s="46" t="str">
        <f>IF('① Timelog Input'!B116="","",'① Timelog Input'!H116)</f>
        <v>Individual Tax</v>
      </c>
      <c r="G116" s="46" t="str">
        <f>IF('① Timelog Input'!B116="","",'① Timelog Input'!E116)</f>
        <v>Smriti Shah</v>
      </c>
      <c r="H116" s="46" t="str">
        <f>IF('① Timelog Input'!B116="","",'① Timelog Input'!D116)</f>
        <v>Smriti Shah</v>
      </c>
      <c r="I116" s="47">
        <f>IF('① Timelog Input'!B116="","",IF(ISNUMBER('① Timelog Input'!I116),'① Timelog Input'!I116,0))</f>
        <v>30.08</v>
      </c>
      <c r="J116" s="46">
        <f>IF('① Timelog Input'!B116="","",IF(ISNUMBER('① Timelog Input'!J116),'① Timelog Input'!J116,0))</f>
        <v>30.08</v>
      </c>
      <c r="K116" s="46">
        <f>IF('① Timelog Input'!B116="","",Settings!B6)</f>
        <v>160</v>
      </c>
      <c r="L116" s="48">
        <f>IF(OR('① Timelog Input'!B116="",K116=0),"",J116/K116)</f>
        <v>0.188</v>
      </c>
      <c r="M116" s="49">
        <f>IF('① Timelog Input'!B116="","",IFERROR(VLOOKUP(B116,'② Salary Input'!A:V,14,FALSE()),0))</f>
        <v>0</v>
      </c>
      <c r="N116" s="49">
        <f>IF('① Timelog Input'!B116="","",IFERROR(VLOOKUP(B116,'② Salary Input'!A:V,10,FALSE()),0))</f>
        <v>0</v>
      </c>
      <c r="O116" s="49">
        <f>IF('① Timelog Input'!B116="","",IF(AND(D116="Remote",N116&gt;0),N116,IF(K116=0,0,M116/K116)))</f>
        <v>0</v>
      </c>
      <c r="P116" s="49">
        <f>IF(OR('① Timelog Input'!B116="",J116=0),"",M116/J116)</f>
        <v>0</v>
      </c>
      <c r="Q116" s="46" t="str">
        <f>IF('① Timelog Input'!B116="","",'① Timelog Input'!L116)</f>
        <v>100%</v>
      </c>
      <c r="R116" s="46" t="str">
        <f>IF('① Timelog Input'!B116="","",IF(NOT(ISNUMBER(L116)),"No Data",IF(L116&gt;=Settings!B13,"HIGH",IF(L116&gt;=Settings!B14,"MEDIUM","LOW"))))</f>
        <v>LOW</v>
      </c>
    </row>
    <row r="117" spans="1:18" ht="15" customHeight="1" x14ac:dyDescent="0.2">
      <c r="A117" s="46">
        <f>IF('① Timelog Input'!B117="","",ROW()-3)</f>
        <v>114</v>
      </c>
      <c r="B117" s="46" t="str">
        <f>IF('① Timelog Input'!B117="","",'① Timelog Input'!C117)</f>
        <v>CAS-IH_1177</v>
      </c>
      <c r="C117" s="46" t="str">
        <f>IF('① Timelog Input'!B117="","",'① Timelog Input'!B117)</f>
        <v>Snehal</v>
      </c>
      <c r="D117" s="46" t="str">
        <f>IF('① Timelog Input'!B117="","",'① Timelog Input'!F117)</f>
        <v>In-house</v>
      </c>
      <c r="E117" s="46" t="str">
        <f>IF('① Timelog Input'!B117="","",'① Timelog Input'!G117)</f>
        <v>Team Lead</v>
      </c>
      <c r="F117" s="46" t="str">
        <f>IF('① Timelog Input'!B117="","",'① Timelog Input'!H117)</f>
        <v>FP&amp;A</v>
      </c>
      <c r="G117" s="46" t="str">
        <f>IF('① Timelog Input'!B117="","",'① Timelog Input'!E117)</f>
        <v>Tithi Gandhi</v>
      </c>
      <c r="H117" s="46" t="str">
        <f>IF('① Timelog Input'!B117="","",'① Timelog Input'!D117)</f>
        <v>Andrew Jindal</v>
      </c>
      <c r="I117" s="47">
        <f>IF('① Timelog Input'!B117="","",IF(ISNUMBER('① Timelog Input'!I117),'① Timelog Input'!I117,0))</f>
        <v>158.65</v>
      </c>
      <c r="J117" s="46">
        <f>IF('① Timelog Input'!B117="","",IF(ISNUMBER('① Timelog Input'!J117),'① Timelog Input'!J117,0))</f>
        <v>136.63</v>
      </c>
      <c r="K117" s="46">
        <f>IF('① Timelog Input'!B117="","",Settings!B6)</f>
        <v>160</v>
      </c>
      <c r="L117" s="48">
        <f>IF(OR('① Timelog Input'!B117="",K117=0),"",J117/K117)</f>
        <v>0.85393750000000002</v>
      </c>
      <c r="M117" s="49">
        <f>IF('① Timelog Input'!B117="","",IFERROR(VLOOKUP(B117,'② Salary Input'!A:V,14,FALSE()),0))</f>
        <v>54839</v>
      </c>
      <c r="N117" s="49">
        <f>IF('① Timelog Input'!B117="","",IFERROR(VLOOKUP(B117,'② Salary Input'!A:V,10,FALSE()),0))</f>
        <v>0</v>
      </c>
      <c r="O117" s="49">
        <f>IF('① Timelog Input'!B117="","",IF(AND(D117="Remote",N117&gt;0),N117,IF(K117=0,0,M117/K117)))</f>
        <v>342.74374999999998</v>
      </c>
      <c r="P117" s="49">
        <f>IF(OR('① Timelog Input'!B117="",J117=0),"",M117/J117)</f>
        <v>401.3686598843592</v>
      </c>
      <c r="Q117" s="46" t="str">
        <f>IF('① Timelog Input'!B117="","",'① Timelog Input'!L117)</f>
        <v>86.12%</v>
      </c>
      <c r="R117" s="46" t="str">
        <f>IF('① Timelog Input'!B117="","",IF(NOT(ISNUMBER(L117)),"No Data",IF(L117&gt;=Settings!B13,"HIGH",IF(L117&gt;=Settings!B14,"MEDIUM","LOW"))))</f>
        <v>HIGH</v>
      </c>
    </row>
    <row r="118" spans="1:18" ht="15" customHeight="1" x14ac:dyDescent="0.2">
      <c r="A118" s="46">
        <f>IF('① Timelog Input'!B118="","",ROW()-3)</f>
        <v>115</v>
      </c>
      <c r="B118" s="46" t="str">
        <f>IF('① Timelog Input'!B118="","",'① Timelog Input'!C118)</f>
        <v>CAS-IH_1178</v>
      </c>
      <c r="C118" s="46" t="str">
        <f>IF('① Timelog Input'!B118="","",'① Timelog Input'!B118)</f>
        <v>Sukhdeep.K</v>
      </c>
      <c r="D118" s="46" t="str">
        <f>IF('① Timelog Input'!B118="","",'① Timelog Input'!F118)</f>
        <v>In-house</v>
      </c>
      <c r="E118" s="46" t="str">
        <f>IF('① Timelog Input'!B118="","",'① Timelog Input'!G118)</f>
        <v>Asst. Team Lead</v>
      </c>
      <c r="F118" s="46" t="str">
        <f>IF('① Timelog Input'!B118="","",'① Timelog Input'!H118)</f>
        <v>Accounting</v>
      </c>
      <c r="G118" s="46" t="str">
        <f>IF('① Timelog Input'!B118="","",'① Timelog Input'!E118)</f>
        <v>Ayushi</v>
      </c>
      <c r="H118" s="46" t="str">
        <f>IF('① Timelog Input'!B118="","",'① Timelog Input'!D118)</f>
        <v>Sukhmeen.K</v>
      </c>
      <c r="I118" s="47">
        <f>IF('① Timelog Input'!B118="","",IF(ISNUMBER('① Timelog Input'!I118),'① Timelog Input'!I118,0))</f>
        <v>145.26</v>
      </c>
      <c r="J118" s="46">
        <f>IF('① Timelog Input'!B118="","",IF(ISNUMBER('① Timelog Input'!J118),'① Timelog Input'!J118,0))</f>
        <v>124.42</v>
      </c>
      <c r="K118" s="46">
        <f>IF('① Timelog Input'!B118="","",Settings!B6)</f>
        <v>160</v>
      </c>
      <c r="L118" s="48">
        <f>IF(OR('① Timelog Input'!B118="",K118=0),"",J118/K118)</f>
        <v>0.77762500000000001</v>
      </c>
      <c r="M118" s="49">
        <f>IF('① Timelog Input'!B118="","",IFERROR(VLOOKUP(B118,'② Salary Input'!A:V,14,FALSE()),0))</f>
        <v>30613</v>
      </c>
      <c r="N118" s="49">
        <f>IF('① Timelog Input'!B118="","",IFERROR(VLOOKUP(B118,'② Salary Input'!A:V,10,FALSE()),0))</f>
        <v>0</v>
      </c>
      <c r="O118" s="49">
        <f>IF('① Timelog Input'!B118="","",IF(AND(D118="Remote",N118&gt;0),N118,IF(K118=0,0,M118/K118)))</f>
        <v>191.33125000000001</v>
      </c>
      <c r="P118" s="49">
        <f>IF(OR('① Timelog Input'!B118="",J118=0),"",M118/J118)</f>
        <v>246.04565182446552</v>
      </c>
      <c r="Q118" s="46" t="str">
        <f>IF('① Timelog Input'!B118="","",'① Timelog Input'!L118)</f>
        <v>85.65%</v>
      </c>
      <c r="R118" s="46" t="str">
        <f>IF('① Timelog Input'!B118="","",IF(NOT(ISNUMBER(L118)),"No Data",IF(L118&gt;=Settings!B13,"HIGH",IF(L118&gt;=Settings!B14,"MEDIUM","LOW"))))</f>
        <v>MEDIUM</v>
      </c>
    </row>
    <row r="119" spans="1:18" ht="15" customHeight="1" x14ac:dyDescent="0.2">
      <c r="A119" s="46">
        <f>IF('① Timelog Input'!B119="","",ROW()-3)</f>
        <v>116</v>
      </c>
      <c r="B119" s="46" t="str">
        <f>IF('① Timelog Input'!B119="","",'① Timelog Input'!C119)</f>
        <v>CAS-RT_2420</v>
      </c>
      <c r="C119" s="46" t="str">
        <f>IF('① Timelog Input'!B119="","",'① Timelog Input'!B119)</f>
        <v>Anjali.J</v>
      </c>
      <c r="D119" s="46" t="str">
        <f>IF('① Timelog Input'!B119="","",'① Timelog Input'!F119)</f>
        <v>Remote</v>
      </c>
      <c r="E119" s="46" t="str">
        <f>IF('① Timelog Input'!B119="","",'① Timelog Input'!G119)</f>
        <v>Asst. Team Lead</v>
      </c>
      <c r="F119" s="46" t="str">
        <f>IF('① Timelog Input'!B119="","",'① Timelog Input'!H119)</f>
        <v>Accounting</v>
      </c>
      <c r="G119" s="46" t="str">
        <f>IF('① Timelog Input'!B119="","",'① Timelog Input'!E119)</f>
        <v>Jasleen.D</v>
      </c>
      <c r="H119" s="46" t="str">
        <f>IF('① Timelog Input'!B119="","",'① Timelog Input'!D119)</f>
        <v>Ankit Gupta</v>
      </c>
      <c r="I119" s="47">
        <f>IF('① Timelog Input'!B119="","",IF(ISNUMBER('① Timelog Input'!I119),'① Timelog Input'!I119,0))</f>
        <v>96.99</v>
      </c>
      <c r="J119" s="46">
        <f>IF('① Timelog Input'!B119="","",IF(ISNUMBER('① Timelog Input'!J119),'① Timelog Input'!J119,0))</f>
        <v>96.99</v>
      </c>
      <c r="K119" s="46">
        <f>IF('① Timelog Input'!B119="","",Settings!B6)</f>
        <v>160</v>
      </c>
      <c r="L119" s="48">
        <f>IF(OR('① Timelog Input'!B119="",K119=0),"",J119/K119)</f>
        <v>0.60618749999999999</v>
      </c>
      <c r="M119" s="49">
        <f>IF('① Timelog Input'!B119="","",IFERROR(VLOOKUP(B119,'② Salary Input'!A:V,14,FALSE()),0))</f>
        <v>18800</v>
      </c>
      <c r="N119" s="49">
        <f>IF('① Timelog Input'!B119="","",IFERROR(VLOOKUP(B119,'② Salary Input'!A:V,10,FALSE()),0))</f>
        <v>18400</v>
      </c>
      <c r="O119" s="49">
        <f>IF('① Timelog Input'!B119="","",IF(AND(D119="Remote",N119&gt;0),N119,IF(K119=0,0,M119/K119)))</f>
        <v>18400</v>
      </c>
      <c r="P119" s="49">
        <f>IF(OR('① Timelog Input'!B119="",J119=0),"",M119/J119)</f>
        <v>193.83441591916693</v>
      </c>
      <c r="Q119" s="46" t="str">
        <f>IF('① Timelog Input'!B119="","",'① Timelog Input'!L119)</f>
        <v>100%</v>
      </c>
      <c r="R119" s="46" t="str">
        <f>IF('① Timelog Input'!B119="","",IF(NOT(ISNUMBER(L119)),"No Data",IF(L119&gt;=Settings!B13,"HIGH",IF(L119&gt;=Settings!B14,"MEDIUM","LOW"))))</f>
        <v>LOW</v>
      </c>
    </row>
    <row r="120" spans="1:18" ht="15" customHeight="1" x14ac:dyDescent="0.2">
      <c r="A120" s="46">
        <f>IF('① Timelog Input'!B120="","",ROW()-3)</f>
        <v>117</v>
      </c>
      <c r="B120" s="46" t="str">
        <f>IF('① Timelog Input'!B120="","",'① Timelog Input'!C120)</f>
        <v>CAS-RT_2421</v>
      </c>
      <c r="C120" s="46" t="str">
        <f>IF('① Timelog Input'!B120="","",'① Timelog Input'!B120)</f>
        <v>Pallavi.A</v>
      </c>
      <c r="D120" s="46" t="str">
        <f>IF('① Timelog Input'!B120="","",'① Timelog Input'!F120)</f>
        <v>Remote</v>
      </c>
      <c r="E120" s="46" t="str">
        <f>IF('① Timelog Input'!B120="","",'① Timelog Input'!G120)</f>
        <v>Sr. Associate</v>
      </c>
      <c r="F120" s="46" t="str">
        <f>IF('① Timelog Input'!B120="","",'① Timelog Input'!H120)</f>
        <v>Accounting</v>
      </c>
      <c r="G120" s="46" t="str">
        <f>IF('① Timelog Input'!B120="","",'① Timelog Input'!E120)</f>
        <v>Jasleen.D</v>
      </c>
      <c r="H120" s="46" t="str">
        <f>IF('① Timelog Input'!B120="","",'① Timelog Input'!D120)</f>
        <v>Anshul Ohri</v>
      </c>
      <c r="I120" s="47">
        <f>IF('① Timelog Input'!B120="","",IF(ISNUMBER('① Timelog Input'!I120),'① Timelog Input'!I120,0))</f>
        <v>140.43</v>
      </c>
      <c r="J120" s="46">
        <f>IF('① Timelog Input'!B120="","",IF(ISNUMBER('① Timelog Input'!J120),'① Timelog Input'!J120,0))</f>
        <v>140.43</v>
      </c>
      <c r="K120" s="46">
        <f>IF('① Timelog Input'!B120="","",Settings!B6)</f>
        <v>160</v>
      </c>
      <c r="L120" s="48">
        <f>IF(OR('① Timelog Input'!B120="",K120=0),"",J120/K120)</f>
        <v>0.87768750000000006</v>
      </c>
      <c r="M120" s="49">
        <f>IF('① Timelog Input'!B120="","",IFERROR(VLOOKUP(B120,'② Salary Input'!A:V,14,FALSE()),0))</f>
        <v>0</v>
      </c>
      <c r="N120" s="49">
        <f>IF('① Timelog Input'!B120="","",IFERROR(VLOOKUP(B120,'② Salary Input'!A:V,10,FALSE()),0))</f>
        <v>0</v>
      </c>
      <c r="O120" s="49">
        <f>IF('① Timelog Input'!B120="","",IF(AND(D120="Remote",N120&gt;0),N120,IF(K120=0,0,M120/K120)))</f>
        <v>0</v>
      </c>
      <c r="P120" s="49">
        <f>IF(OR('① Timelog Input'!B120="",J120=0),"",M120/J120)</f>
        <v>0</v>
      </c>
      <c r="Q120" s="46" t="str">
        <f>IF('① Timelog Input'!B120="","",'① Timelog Input'!L120)</f>
        <v>100%</v>
      </c>
      <c r="R120" s="46" t="str">
        <f>IF('① Timelog Input'!B120="","",IF(NOT(ISNUMBER(L120)),"No Data",IF(L120&gt;=Settings!B13,"HIGH",IF(L120&gt;=Settings!B14,"MEDIUM","LOW"))))</f>
        <v>HIGH</v>
      </c>
    </row>
    <row r="121" spans="1:18" ht="15" customHeight="1" x14ac:dyDescent="0.2">
      <c r="A121" s="46">
        <f>IF('① Timelog Input'!B121="","",ROW()-3)</f>
        <v>118</v>
      </c>
      <c r="B121" s="46" t="str">
        <f>IF('① Timelog Input'!B121="","",'① Timelog Input'!C121)</f>
        <v>CAS-RT_2422</v>
      </c>
      <c r="C121" s="46" t="str">
        <f>IF('① Timelog Input'!B121="","",'① Timelog Input'!B121)</f>
        <v>Twinkle.C</v>
      </c>
      <c r="D121" s="46" t="str">
        <f>IF('① Timelog Input'!B121="","",'① Timelog Input'!F121)</f>
        <v>Remote</v>
      </c>
      <c r="E121" s="46" t="str">
        <f>IF('① Timelog Input'!B121="","",'① Timelog Input'!G121)</f>
        <v>Sr. Associate</v>
      </c>
      <c r="F121" s="46" t="str">
        <f>IF('① Timelog Input'!B121="","",'① Timelog Input'!H121)</f>
        <v>Business Tax</v>
      </c>
      <c r="G121" s="46" t="str">
        <f>IF('① Timelog Input'!B121="","",'① Timelog Input'!E121)</f>
        <v>Jyoti</v>
      </c>
      <c r="H121" s="46" t="str">
        <f>IF('① Timelog Input'!B121="","",'① Timelog Input'!D121)</f>
        <v>Jyoti</v>
      </c>
      <c r="I121" s="47">
        <f>IF('① Timelog Input'!B121="","",IF(ISNUMBER('① Timelog Input'!I121),'① Timelog Input'!I121,0))</f>
        <v>83.9</v>
      </c>
      <c r="J121" s="46">
        <f>IF('① Timelog Input'!B121="","",IF(ISNUMBER('① Timelog Input'!J121),'① Timelog Input'!J121,0))</f>
        <v>83.9</v>
      </c>
      <c r="K121" s="46">
        <f>IF('① Timelog Input'!B121="","",Settings!B6)</f>
        <v>160</v>
      </c>
      <c r="L121" s="48">
        <f>IF(OR('① Timelog Input'!B121="",K121=0),"",J121/K121)</f>
        <v>0.52437500000000004</v>
      </c>
      <c r="M121" s="49">
        <f>IF('① Timelog Input'!B121="","",IFERROR(VLOOKUP(B121,'② Salary Input'!A:V,14,FALSE()),0))</f>
        <v>5792</v>
      </c>
      <c r="N121" s="49">
        <f>IF('① Timelog Input'!B121="","",IFERROR(VLOOKUP(B121,'② Salary Input'!A:V,10,FALSE()),0))</f>
        <v>5542</v>
      </c>
      <c r="O121" s="49">
        <f>IF('① Timelog Input'!B121="","",IF(AND(D121="Remote",N121&gt;0),N121,IF(K121=0,0,M121/K121)))</f>
        <v>5542</v>
      </c>
      <c r="P121" s="49">
        <f>IF(OR('① Timelog Input'!B121="",J121=0),"",M121/J121)</f>
        <v>69.034564958283667</v>
      </c>
      <c r="Q121" s="46" t="str">
        <f>IF('① Timelog Input'!B121="","",'① Timelog Input'!L121)</f>
        <v>100%</v>
      </c>
      <c r="R121" s="46" t="str">
        <f>IF('① Timelog Input'!B121="","",IF(NOT(ISNUMBER(L121)),"No Data",IF(L121&gt;=Settings!B13,"HIGH",IF(L121&gt;=Settings!B14,"MEDIUM","LOW"))))</f>
        <v>LOW</v>
      </c>
    </row>
    <row r="122" spans="1:18" ht="15" customHeight="1" x14ac:dyDescent="0.2">
      <c r="A122" s="46">
        <f>IF('① Timelog Input'!B122="","",ROW()-3)</f>
        <v>119</v>
      </c>
      <c r="B122" s="46" t="str">
        <f>IF('① Timelog Input'!B122="","",'① Timelog Input'!C122)</f>
        <v>CAS-RT_2423</v>
      </c>
      <c r="C122" s="46" t="str">
        <f>IF('① Timelog Input'!B122="","",'① Timelog Input'!B122)</f>
        <v>Prabhleen.K</v>
      </c>
      <c r="D122" s="46" t="str">
        <f>IF('① Timelog Input'!B122="","",'① Timelog Input'!F122)</f>
        <v>Remote</v>
      </c>
      <c r="E122" s="46" t="str">
        <f>IF('① Timelog Input'!B122="","",'① Timelog Input'!G122)</f>
        <v>Sr. Associate</v>
      </c>
      <c r="F122" s="46" t="str">
        <f>IF('① Timelog Input'!B122="","",'① Timelog Input'!H122)</f>
        <v>Accounting</v>
      </c>
      <c r="G122" s="46" t="str">
        <f>IF('① Timelog Input'!B122="","",'① Timelog Input'!E122)</f>
        <v>Nikita Shah</v>
      </c>
      <c r="H122" s="46" t="str">
        <f>IF('① Timelog Input'!B122="","",'① Timelog Input'!D122)</f>
        <v>Shefali</v>
      </c>
      <c r="I122" s="46">
        <f>IF('① Timelog Input'!B122="","",IF(ISNUMBER('① Timelog Input'!I122),'① Timelog Input'!I122,0))</f>
        <v>119.49</v>
      </c>
      <c r="J122" s="46">
        <f>IF('① Timelog Input'!B122="","",IF(ISNUMBER('① Timelog Input'!J122),'① Timelog Input'!J122,0))</f>
        <v>119.49</v>
      </c>
      <c r="K122" s="46">
        <f>IF('① Timelog Input'!B122="","",Settings!B6)</f>
        <v>160</v>
      </c>
      <c r="L122" s="48">
        <f>IF(OR('① Timelog Input'!B122="",K122=0),"",J122/K122)</f>
        <v>0.74681249999999999</v>
      </c>
      <c r="M122" s="49">
        <f>IF('① Timelog Input'!B122="","",IFERROR(VLOOKUP(B122,'② Salary Input'!A:V,14,FALSE()),0))</f>
        <v>7500</v>
      </c>
      <c r="N122" s="49">
        <f>IF('① Timelog Input'!B122="","",IFERROR(VLOOKUP(B122,'② Salary Input'!A:V,10,FALSE()),0))</f>
        <v>7250</v>
      </c>
      <c r="O122" s="49">
        <f>IF('① Timelog Input'!B122="","",IF(AND(D122="Remote",N122&gt;0),N122,IF(K122=0,0,M122/K122)))</f>
        <v>7250</v>
      </c>
      <c r="P122" s="49">
        <f>IF(OR('① Timelog Input'!B122="",J122=0),"",M122/J122)</f>
        <v>62.766758724579468</v>
      </c>
      <c r="Q122" s="46" t="str">
        <f>IF('① Timelog Input'!B122="","",'① Timelog Input'!L122)</f>
        <v>100%</v>
      </c>
      <c r="R122" s="46" t="str">
        <f>IF('① Timelog Input'!B122="","",IF(NOT(ISNUMBER(L122)),"No Data",IF(L122&gt;=Settings!B13,"HIGH",IF(L122&gt;=Settings!B14,"MEDIUM","LOW"))))</f>
        <v>MEDIUM</v>
      </c>
    </row>
    <row r="123" spans="1:18" ht="15" customHeight="1" x14ac:dyDescent="0.2">
      <c r="A123" s="46">
        <f>IF('① Timelog Input'!B123="","",ROW()-3)</f>
        <v>120</v>
      </c>
      <c r="B123" s="46" t="str">
        <f>IF('① Timelog Input'!B123="","",'① Timelog Input'!C123)</f>
        <v>CAS-RT_2425</v>
      </c>
      <c r="C123" s="46" t="str">
        <f>IF('① Timelog Input'!B123="","",'① Timelog Input'!B123)</f>
        <v>Bhupendra.S</v>
      </c>
      <c r="D123" s="46" t="str">
        <f>IF('① Timelog Input'!B123="","",'① Timelog Input'!F123)</f>
        <v>Remote</v>
      </c>
      <c r="E123" s="46" t="str">
        <f>IF('① Timelog Input'!B123="","",'① Timelog Input'!G123)</f>
        <v>Sr. Associate</v>
      </c>
      <c r="F123" s="46" t="str">
        <f>IF('① Timelog Input'!B123="","",'① Timelog Input'!H123)</f>
        <v>Accounting</v>
      </c>
      <c r="G123" s="46" t="str">
        <f>IF('① Timelog Input'!B123="","",'① Timelog Input'!E123)</f>
        <v>Suhani</v>
      </c>
      <c r="H123" s="46" t="str">
        <f>IF('① Timelog Input'!B123="","",'① Timelog Input'!D123)</f>
        <v>Suhani</v>
      </c>
      <c r="I123" s="47">
        <f>IF('① Timelog Input'!B123="","",IF(ISNUMBER('① Timelog Input'!I123),'① Timelog Input'!I123,0))</f>
        <v>0</v>
      </c>
      <c r="J123" s="46">
        <f>IF('① Timelog Input'!B123="","",IF(ISNUMBER('① Timelog Input'!J123),'① Timelog Input'!J123,0))</f>
        <v>0</v>
      </c>
      <c r="K123" s="46">
        <f>IF('① Timelog Input'!B123="","",Settings!B6)</f>
        <v>160</v>
      </c>
      <c r="L123" s="48">
        <f>IF(OR('① Timelog Input'!B123="",K123=0),"",J123/K123)</f>
        <v>0</v>
      </c>
      <c r="M123" s="49">
        <f>IF('① Timelog Input'!B123="","",IFERROR(VLOOKUP(B123,'② Salary Input'!A:V,14,FALSE()),0))</f>
        <v>0</v>
      </c>
      <c r="N123" s="49">
        <f>IF('① Timelog Input'!B123="","",IFERROR(VLOOKUP(B123,'② Salary Input'!A:V,10,FALSE()),0))</f>
        <v>0</v>
      </c>
      <c r="O123" s="49">
        <f>IF('① Timelog Input'!B123="","",IF(AND(D123="Remote",N123&gt;0),N123,IF(K123=0,0,M123/K123)))</f>
        <v>0</v>
      </c>
      <c r="P123" s="49" t="str">
        <f>IF(OR('① Timelog Input'!B123="",J123=0),"",M123/J123)</f>
        <v/>
      </c>
      <c r="Q123" s="46" t="str">
        <f>IF('① Timelog Input'!B123="","",'① Timelog Input'!L123)</f>
        <v>--</v>
      </c>
      <c r="R123" s="46" t="str">
        <f>IF('① Timelog Input'!B123="","",IF(NOT(ISNUMBER(L123)),"No Data",IF(L123&gt;=Settings!B13,"HIGH",IF(L123&gt;=Settings!B14,"MEDIUM","LOW"))))</f>
        <v>LOW</v>
      </c>
    </row>
    <row r="124" spans="1:18" ht="15" customHeight="1" x14ac:dyDescent="0.2">
      <c r="A124" s="46">
        <f>IF('① Timelog Input'!B124="","",ROW()-3)</f>
        <v>121</v>
      </c>
      <c r="B124" s="46" t="str">
        <f>IF('① Timelog Input'!B124="","",'① Timelog Input'!C124)</f>
        <v>CAS-RT_2426</v>
      </c>
      <c r="C124" s="46" t="str">
        <f>IF('① Timelog Input'!B124="","",'① Timelog Input'!B124)</f>
        <v>Priya.S</v>
      </c>
      <c r="D124" s="46" t="str">
        <f>IF('① Timelog Input'!B124="","",'① Timelog Input'!F124)</f>
        <v>Remote</v>
      </c>
      <c r="E124" s="46" t="str">
        <f>IF('① Timelog Input'!B124="","",'① Timelog Input'!G124)</f>
        <v>Asst. Team Lead</v>
      </c>
      <c r="F124" s="46" t="str">
        <f>IF('① Timelog Input'!B124="","",'① Timelog Input'!H124)</f>
        <v>Accounting</v>
      </c>
      <c r="G124" s="46" t="str">
        <f>IF('① Timelog Input'!B124="","",'① Timelog Input'!E124)</f>
        <v>Jyoti</v>
      </c>
      <c r="H124" s="46" t="str">
        <f>IF('① Timelog Input'!B124="","",'① Timelog Input'!D124)</f>
        <v>Jyoti</v>
      </c>
      <c r="I124" s="47">
        <f>IF('① Timelog Input'!B124="","",IF(ISNUMBER('① Timelog Input'!I124),'① Timelog Input'!I124,0))</f>
        <v>82</v>
      </c>
      <c r="J124" s="46">
        <f>IF('① Timelog Input'!B124="","",IF(ISNUMBER('① Timelog Input'!J124),'① Timelog Input'!J124,0))</f>
        <v>82</v>
      </c>
      <c r="K124" s="46">
        <f>IF('① Timelog Input'!B124="","",Settings!B6)</f>
        <v>160</v>
      </c>
      <c r="L124" s="48">
        <f>IF(OR('① Timelog Input'!B124="",K124=0),"",J124/K124)</f>
        <v>0.51249999999999996</v>
      </c>
      <c r="M124" s="49">
        <f>IF('① Timelog Input'!B124="","",IFERROR(VLOOKUP(B124,'② Salary Input'!A:V,14,FALSE()),0))</f>
        <v>4500</v>
      </c>
      <c r="N124" s="49">
        <f>IF('① Timelog Input'!B124="","",IFERROR(VLOOKUP(B124,'② Salary Input'!A:V,10,FALSE()),0))</f>
        <v>4250</v>
      </c>
      <c r="O124" s="49">
        <f>IF('① Timelog Input'!B124="","",IF(AND(D124="Remote",N124&gt;0),N124,IF(K124=0,0,M124/K124)))</f>
        <v>4250</v>
      </c>
      <c r="P124" s="49">
        <f>IF(OR('① Timelog Input'!B124="",J124=0),"",M124/J124)</f>
        <v>54.878048780487802</v>
      </c>
      <c r="Q124" s="46" t="str">
        <f>IF('① Timelog Input'!B124="","",'① Timelog Input'!L124)</f>
        <v>100%</v>
      </c>
      <c r="R124" s="46" t="str">
        <f>IF('① Timelog Input'!B124="","",IF(NOT(ISNUMBER(L124)),"No Data",IF(L124&gt;=Settings!B13,"HIGH",IF(L124&gt;=Settings!B14,"MEDIUM","LOW"))))</f>
        <v>LOW</v>
      </c>
    </row>
    <row r="125" spans="1:18" ht="15" customHeight="1" x14ac:dyDescent="0.2">
      <c r="A125" s="46">
        <f>IF('① Timelog Input'!B125="","",ROW()-3)</f>
        <v>122</v>
      </c>
      <c r="B125" s="46" t="str">
        <f>IF('① Timelog Input'!B125="","",'① Timelog Input'!C125)</f>
        <v>CAS-IH_1179</v>
      </c>
      <c r="C125" s="46" t="str">
        <f>IF('① Timelog Input'!B125="","",'① Timelog Input'!B125)</f>
        <v>Kanika.G</v>
      </c>
      <c r="D125" s="46" t="str">
        <f>IF('① Timelog Input'!B125="","",'① Timelog Input'!F125)</f>
        <v>Remote</v>
      </c>
      <c r="E125" s="46" t="str">
        <f>IF('① Timelog Input'!B125="","",'① Timelog Input'!G125)</f>
        <v>Sr. Associate</v>
      </c>
      <c r="F125" s="46" t="str">
        <f>IF('① Timelog Input'!B125="","",'① Timelog Input'!H125)</f>
        <v>Accounting</v>
      </c>
      <c r="G125" s="46" t="str">
        <f>IF('① Timelog Input'!B125="","",'① Timelog Input'!E125)</f>
        <v>Jasleen.D</v>
      </c>
      <c r="H125" s="46" t="str">
        <f>IF('① Timelog Input'!B125="","",'① Timelog Input'!D125)</f>
        <v>Jasleen.D</v>
      </c>
      <c r="I125" s="47">
        <f>IF('① Timelog Input'!B125="","",IF(ISNUMBER('① Timelog Input'!I125),'① Timelog Input'!I125,0))</f>
        <v>113.26</v>
      </c>
      <c r="J125" s="46">
        <f>IF('① Timelog Input'!B125="","",IF(ISNUMBER('① Timelog Input'!J125),'① Timelog Input'!J125,0))</f>
        <v>113.26</v>
      </c>
      <c r="K125" s="46">
        <f>IF('① Timelog Input'!B125="","",Settings!B6)</f>
        <v>160</v>
      </c>
      <c r="L125" s="48">
        <f>IF(OR('① Timelog Input'!B125="",K125=0),"",J125/K125)</f>
        <v>0.70787500000000003</v>
      </c>
      <c r="M125" s="49">
        <f>IF('① Timelog Input'!B125="","",IFERROR(VLOOKUP(B125,'② Salary Input'!A:V,14,FALSE()),0))</f>
        <v>4354</v>
      </c>
      <c r="N125" s="49">
        <f>IF('① Timelog Input'!B125="","",IFERROR(VLOOKUP(B125,'② Salary Input'!A:V,10,FALSE()),0))</f>
        <v>0</v>
      </c>
      <c r="O125" s="49">
        <f>IF('① Timelog Input'!B125="","",IF(AND(D125="Remote",N125&gt;0),N125,IF(K125=0,0,M125/K125)))</f>
        <v>27.212499999999999</v>
      </c>
      <c r="P125" s="49">
        <f>IF(OR('① Timelog Input'!B125="",J125=0),"",M125/J125)</f>
        <v>38.442521631644006</v>
      </c>
      <c r="Q125" s="46" t="str">
        <f>IF('① Timelog Input'!B125="","",'① Timelog Input'!L125)</f>
        <v>100%</v>
      </c>
      <c r="R125" s="46" t="str">
        <f>IF('① Timelog Input'!B125="","",IF(NOT(ISNUMBER(L125)),"No Data",IF(L125&gt;=Settings!B13,"HIGH",IF(L125&gt;=Settings!B14,"MEDIUM","LOW"))))</f>
        <v>MEDIUM</v>
      </c>
    </row>
    <row r="126" spans="1:18" ht="15" customHeight="1" x14ac:dyDescent="0.2">
      <c r="A126" s="46">
        <f>IF('① Timelog Input'!B126="","",ROW()-3)</f>
        <v>123</v>
      </c>
      <c r="B126" s="46" t="str">
        <f>IF('① Timelog Input'!B126="","",'① Timelog Input'!C126)</f>
        <v>CAS-RT_2427</v>
      </c>
      <c r="C126" s="46" t="str">
        <f>IF('① Timelog Input'!B126="","",'① Timelog Input'!B126)</f>
        <v>Hema.S</v>
      </c>
      <c r="D126" s="46" t="str">
        <f>IF('① Timelog Input'!B126="","",'① Timelog Input'!F126)</f>
        <v>Remote</v>
      </c>
      <c r="E126" s="46" t="str">
        <f>IF('① Timelog Input'!B126="","",'① Timelog Input'!G126)</f>
        <v>Sr. Associate</v>
      </c>
      <c r="F126" s="46" t="str">
        <f>IF('① Timelog Input'!B126="","",'① Timelog Input'!H126)</f>
        <v>Accounting</v>
      </c>
      <c r="G126" s="46" t="str">
        <f>IF('① Timelog Input'!B126="","",'① Timelog Input'!E126)</f>
        <v>Ayushi</v>
      </c>
      <c r="H126" s="46" t="str">
        <f>IF('① Timelog Input'!B126="","",'① Timelog Input'!D126)</f>
        <v>Sukhmeen.K</v>
      </c>
      <c r="I126" s="47">
        <f>IF('① Timelog Input'!B126="","",IF(ISNUMBER('① Timelog Input'!I126),'① Timelog Input'!I126,0))</f>
        <v>85.09</v>
      </c>
      <c r="J126" s="46">
        <f>IF('① Timelog Input'!B126="","",IF(ISNUMBER('① Timelog Input'!J126),'① Timelog Input'!J126,0))</f>
        <v>81.59</v>
      </c>
      <c r="K126" s="46">
        <f>IF('① Timelog Input'!B126="","",Settings!B6)</f>
        <v>160</v>
      </c>
      <c r="L126" s="48">
        <f>IF(OR('① Timelog Input'!B126="",K126=0),"",J126/K126)</f>
        <v>0.50993750000000004</v>
      </c>
      <c r="M126" s="49">
        <f>IF('① Timelog Input'!B126="","",IFERROR(VLOOKUP(B126,'② Salary Input'!A:V,14,FALSE()),0))</f>
        <v>0</v>
      </c>
      <c r="N126" s="49">
        <f>IF('① Timelog Input'!B126="","",IFERROR(VLOOKUP(B126,'② Salary Input'!A:V,10,FALSE()),0))</f>
        <v>0</v>
      </c>
      <c r="O126" s="49">
        <f>IF('① Timelog Input'!B126="","",IF(AND(D126="Remote",N126&gt;0),N126,IF(K126=0,0,M126/K126)))</f>
        <v>0</v>
      </c>
      <c r="P126" s="49">
        <f>IF(OR('① Timelog Input'!B126="",J126=0),"",M126/J126)</f>
        <v>0</v>
      </c>
      <c r="Q126" s="46" t="str">
        <f>IF('① Timelog Input'!B126="","",'① Timelog Input'!L126)</f>
        <v>95.89%</v>
      </c>
      <c r="R126" s="46" t="str">
        <f>IF('① Timelog Input'!B126="","",IF(NOT(ISNUMBER(L126)),"No Data",IF(L126&gt;=Settings!B13,"HIGH",IF(L126&gt;=Settings!B14,"MEDIUM","LOW"))))</f>
        <v>LOW</v>
      </c>
    </row>
    <row r="127" spans="1:18" ht="15" customHeight="1" x14ac:dyDescent="0.2">
      <c r="A127" s="46">
        <f>IF('① Timelog Input'!B127="","",ROW()-3)</f>
        <v>124</v>
      </c>
      <c r="B127" s="46" t="str">
        <f>IF('① Timelog Input'!B127="","",'① Timelog Input'!C127)</f>
        <v>CAS-IH_1181</v>
      </c>
      <c r="C127" s="46" t="str">
        <f>IF('① Timelog Input'!B127="","",'① Timelog Input'!B127)</f>
        <v>Binny.S</v>
      </c>
      <c r="D127" s="46" t="str">
        <f>IF('① Timelog Input'!B127="","",'① Timelog Input'!F127)</f>
        <v>In-house</v>
      </c>
      <c r="E127" s="46" t="str">
        <f>IF('① Timelog Input'!B127="","",'① Timelog Input'!G127)</f>
        <v>Asst. Team Lead</v>
      </c>
      <c r="F127" s="46" t="str">
        <f>IF('① Timelog Input'!B127="","",'① Timelog Input'!H127)</f>
        <v>Accounting</v>
      </c>
      <c r="G127" s="46" t="str">
        <f>IF('① Timelog Input'!B127="","",'① Timelog Input'!E127)</f>
        <v>Nikita Shah</v>
      </c>
      <c r="H127" s="46" t="str">
        <f>IF('① Timelog Input'!B127="","",'① Timelog Input'!D127)</f>
        <v>Nikita Shah</v>
      </c>
      <c r="I127" s="47">
        <f>IF('① Timelog Input'!B127="","",IF(ISNUMBER('① Timelog Input'!I127),'① Timelog Input'!I127,0))</f>
        <v>40.92</v>
      </c>
      <c r="J127" s="46">
        <f>IF('① Timelog Input'!B127="","",IF(ISNUMBER('① Timelog Input'!J127),'① Timelog Input'!J127,0))</f>
        <v>40.92</v>
      </c>
      <c r="K127" s="46">
        <f>IF('① Timelog Input'!B127="","",Settings!B6)</f>
        <v>160</v>
      </c>
      <c r="L127" s="48">
        <f>IF(OR('① Timelog Input'!B127="",K127=0),"",J127/K127)</f>
        <v>0.25575000000000003</v>
      </c>
      <c r="M127" s="49">
        <f>IF('① Timelog Input'!B127="","",IFERROR(VLOOKUP(B127,'② Salary Input'!A:V,14,FALSE()),0))</f>
        <v>0</v>
      </c>
      <c r="N127" s="49">
        <f>IF('① Timelog Input'!B127="","",IFERROR(VLOOKUP(B127,'② Salary Input'!A:V,10,FALSE()),0))</f>
        <v>0</v>
      </c>
      <c r="O127" s="49">
        <f>IF('① Timelog Input'!B127="","",IF(AND(D127="Remote",N127&gt;0),N127,IF(K127=0,0,M127/K127)))</f>
        <v>0</v>
      </c>
      <c r="P127" s="49">
        <f>IF(OR('① Timelog Input'!B127="",J127=0),"",M127/J127)</f>
        <v>0</v>
      </c>
      <c r="Q127" s="46" t="str">
        <f>IF('① Timelog Input'!B127="","",'① Timelog Input'!L127)</f>
        <v>100%</v>
      </c>
      <c r="R127" s="46" t="str">
        <f>IF('① Timelog Input'!B127="","",IF(NOT(ISNUMBER(L127)),"No Data",IF(L127&gt;=Settings!B13,"HIGH",IF(L127&gt;=Settings!B14,"MEDIUM","LOW"))))</f>
        <v>LOW</v>
      </c>
    </row>
    <row r="128" spans="1:18" ht="15" customHeight="1" x14ac:dyDescent="0.2">
      <c r="A128" s="46">
        <f>IF('① Timelog Input'!B128="","",ROW()-3)</f>
        <v>125</v>
      </c>
      <c r="B128" s="46" t="str">
        <f>IF('① Timelog Input'!B128="","",'① Timelog Input'!C128)</f>
        <v>CAS-IH_1180</v>
      </c>
      <c r="C128" s="46" t="str">
        <f>IF('① Timelog Input'!B128="","",'① Timelog Input'!B128)</f>
        <v>Shivani.S</v>
      </c>
      <c r="D128" s="46" t="str">
        <f>IF('① Timelog Input'!B128="","",'① Timelog Input'!F128)</f>
        <v>In-house</v>
      </c>
      <c r="E128" s="46" t="str">
        <f>IF('① Timelog Input'!B128="","",'① Timelog Input'!G128)</f>
        <v>Asst. Team Lead</v>
      </c>
      <c r="F128" s="46" t="str">
        <f>IF('① Timelog Input'!B128="","",'① Timelog Input'!H128)</f>
        <v>Accounting</v>
      </c>
      <c r="G128" s="46" t="str">
        <f>IF('① Timelog Input'!B128="","",'① Timelog Input'!E128)</f>
        <v>Ayushi</v>
      </c>
      <c r="H128" s="46" t="str">
        <f>IF('① Timelog Input'!B128="","",'① Timelog Input'!D128)</f>
        <v>Suhani</v>
      </c>
      <c r="I128" s="47">
        <f>IF('① Timelog Input'!B128="","",IF(ISNUMBER('① Timelog Input'!I128),'① Timelog Input'!I128,0))</f>
        <v>161.58000000000001</v>
      </c>
      <c r="J128" s="46">
        <f>IF('① Timelog Input'!B128="","",IF(ISNUMBER('① Timelog Input'!J128),'① Timelog Input'!J128,0))</f>
        <v>145</v>
      </c>
      <c r="K128" s="46">
        <f>IF('① Timelog Input'!B128="","",Settings!B6)</f>
        <v>160</v>
      </c>
      <c r="L128" s="48">
        <f>IF(OR('① Timelog Input'!B128="",K128=0),"",J128/K128)</f>
        <v>0.90625</v>
      </c>
      <c r="M128" s="49">
        <f>IF('① Timelog Input'!B128="","",IFERROR(VLOOKUP(B128,'② Salary Input'!A:V,14,FALSE()),0))</f>
        <v>0</v>
      </c>
      <c r="N128" s="49">
        <f>IF('① Timelog Input'!B128="","",IFERROR(VLOOKUP(B128,'② Salary Input'!A:V,10,FALSE()),0))</f>
        <v>0</v>
      </c>
      <c r="O128" s="49">
        <f>IF('① Timelog Input'!B128="","",IF(AND(D128="Remote",N128&gt;0),N128,IF(K128=0,0,M128/K128)))</f>
        <v>0</v>
      </c>
      <c r="P128" s="49">
        <f>IF(OR('① Timelog Input'!B128="",J128=0),"",M128/J128)</f>
        <v>0</v>
      </c>
      <c r="Q128" s="46" t="str">
        <f>IF('① Timelog Input'!B128="","",'① Timelog Input'!L128)</f>
        <v>89.74%</v>
      </c>
      <c r="R128" s="46" t="str">
        <f>IF('① Timelog Input'!B128="","",IF(NOT(ISNUMBER(L128)),"No Data",IF(L128&gt;=Settings!B13,"HIGH",IF(L128&gt;=Settings!B14,"MEDIUM","LOW"))))</f>
        <v>HIGH</v>
      </c>
    </row>
    <row r="129" spans="1:18" ht="15" customHeight="1" x14ac:dyDescent="0.2">
      <c r="A129" s="46">
        <f>IF('① Timelog Input'!B129="","",ROW()-3)</f>
        <v>126</v>
      </c>
      <c r="B129" s="46" t="str">
        <f>IF('① Timelog Input'!B129="","",'① Timelog Input'!C129)</f>
        <v>CAS-IH_1182</v>
      </c>
      <c r="C129" s="46" t="str">
        <f>IF('① Timelog Input'!B129="","",'① Timelog Input'!B129)</f>
        <v>Nikunj.K</v>
      </c>
      <c r="D129" s="46" t="str">
        <f>IF('① Timelog Input'!B129="","",'① Timelog Input'!F129)</f>
        <v>Remote</v>
      </c>
      <c r="E129" s="46" t="str">
        <f>IF('① Timelog Input'!B129="","",'① Timelog Input'!G129)</f>
        <v>Full Stack Developer</v>
      </c>
      <c r="F129" s="46" t="str">
        <f>IF('① Timelog Input'!B129="","",'① Timelog Input'!H129)</f>
        <v>IT</v>
      </c>
      <c r="G129" s="46" t="str">
        <f>IF('① Timelog Input'!B129="","",'① Timelog Input'!E129)</f>
        <v>Akhilesh Sirvi</v>
      </c>
      <c r="H129" s="46" t="str">
        <f>IF('① Timelog Input'!B129="","",'① Timelog Input'!D129)</f>
        <v>Akhilesh Sirvi</v>
      </c>
      <c r="I129" s="47">
        <f>IF('① Timelog Input'!B129="","",IF(ISNUMBER('① Timelog Input'!I129),'① Timelog Input'!I129,0))</f>
        <v>163.86</v>
      </c>
      <c r="J129" s="46">
        <f>IF('① Timelog Input'!B129="","",IF(ISNUMBER('① Timelog Input'!J129),'① Timelog Input'!J129,0))</f>
        <v>148.86000000000001</v>
      </c>
      <c r="K129" s="46">
        <f>IF('① Timelog Input'!B129="","",Settings!B6)</f>
        <v>160</v>
      </c>
      <c r="L129" s="48">
        <f>IF(OR('① Timelog Input'!B129="",K129=0),"",J129/K129)</f>
        <v>0.93037500000000006</v>
      </c>
      <c r="M129" s="49">
        <f>IF('① Timelog Input'!B129="","",IFERROR(VLOOKUP(B129,'② Salary Input'!A:V,14,FALSE()),0))</f>
        <v>0</v>
      </c>
      <c r="N129" s="49">
        <f>IF('① Timelog Input'!B129="","",IFERROR(VLOOKUP(B129,'② Salary Input'!A:V,10,FALSE()),0))</f>
        <v>0</v>
      </c>
      <c r="O129" s="49">
        <f>IF('① Timelog Input'!B129="","",IF(AND(D129="Remote",N129&gt;0),N129,IF(K129=0,0,M129/K129)))</f>
        <v>0</v>
      </c>
      <c r="P129" s="49">
        <f>IF(OR('① Timelog Input'!B129="",J129=0),"",M129/J129)</f>
        <v>0</v>
      </c>
      <c r="Q129" s="46" t="str">
        <f>IF('① Timelog Input'!B129="","",'① Timelog Input'!L129)</f>
        <v>90.85%</v>
      </c>
      <c r="R129" s="46" t="str">
        <f>IF('① Timelog Input'!B129="","",IF(NOT(ISNUMBER(L129)),"No Data",IF(L129&gt;=Settings!B13,"HIGH",IF(L129&gt;=Settings!B14,"MEDIUM","LOW"))))</f>
        <v>HIGH</v>
      </c>
    </row>
    <row r="130" spans="1:18" ht="15" customHeight="1" x14ac:dyDescent="0.2">
      <c r="A130" s="46">
        <f>IF('① Timelog Input'!B130="","",ROW()-3)</f>
        <v>127</v>
      </c>
      <c r="B130" s="46" t="str">
        <f>IF('① Timelog Input'!B130="","",'① Timelog Input'!C130)</f>
        <v>CAS-RT_2428</v>
      </c>
      <c r="C130" s="46" t="str">
        <f>IF('① Timelog Input'!B130="","",'① Timelog Input'!B130)</f>
        <v>Alisha.A</v>
      </c>
      <c r="D130" s="46" t="str">
        <f>IF('① Timelog Input'!B130="","",'① Timelog Input'!F130)</f>
        <v>Remote</v>
      </c>
      <c r="E130" s="46" t="str">
        <f>IF('① Timelog Input'!B130="","",'① Timelog Input'!G130)</f>
        <v>Asst. Team Lead</v>
      </c>
      <c r="F130" s="46" t="str">
        <f>IF('① Timelog Input'!B130="","",'① Timelog Input'!H130)</f>
        <v>Accounting</v>
      </c>
      <c r="G130" s="46" t="str">
        <f>IF('① Timelog Input'!B130="","",'① Timelog Input'!E130)</f>
        <v>Jasleen.D</v>
      </c>
      <c r="H130" s="46" t="str">
        <f>IF('① Timelog Input'!B130="","",'① Timelog Input'!D130)</f>
        <v>Anshul Ohri</v>
      </c>
      <c r="I130" s="47">
        <f>IF('① Timelog Input'!B130="","",IF(ISNUMBER('① Timelog Input'!I130),'① Timelog Input'!I130,0))</f>
        <v>164.32</v>
      </c>
      <c r="J130" s="46">
        <f>IF('① Timelog Input'!B130="","",IF(ISNUMBER('① Timelog Input'!J130),'① Timelog Input'!J130,0))</f>
        <v>164.32</v>
      </c>
      <c r="K130" s="46">
        <f>IF('① Timelog Input'!B130="","",Settings!B6)</f>
        <v>160</v>
      </c>
      <c r="L130" s="48">
        <f>IF(OR('① Timelog Input'!B130="",K130=0),"",J130/K130)</f>
        <v>1.0269999999999999</v>
      </c>
      <c r="M130" s="49">
        <f>IF('① Timelog Input'!B130="","",IFERROR(VLOOKUP(B130,'② Salary Input'!A:V,14,FALSE()),0))</f>
        <v>0</v>
      </c>
      <c r="N130" s="49">
        <f>IF('① Timelog Input'!B130="","",IFERROR(VLOOKUP(B130,'② Salary Input'!A:V,10,FALSE()),0))</f>
        <v>0</v>
      </c>
      <c r="O130" s="49">
        <f>IF('① Timelog Input'!B130="","",IF(AND(D130="Remote",N130&gt;0),N130,IF(K130=0,0,M130/K130)))</f>
        <v>0</v>
      </c>
      <c r="P130" s="49">
        <f>IF(OR('① Timelog Input'!B130="",J130=0),"",M130/J130)</f>
        <v>0</v>
      </c>
      <c r="Q130" s="46" t="str">
        <f>IF('① Timelog Input'!B130="","",'① Timelog Input'!L130)</f>
        <v>100%</v>
      </c>
      <c r="R130" s="46" t="str">
        <f>IF('① Timelog Input'!B130="","",IF(NOT(ISNUMBER(L130)),"No Data",IF(L130&gt;=Settings!B13,"HIGH",IF(L130&gt;=Settings!B14,"MEDIUM","LOW"))))</f>
        <v>HIGH</v>
      </c>
    </row>
    <row r="131" spans="1:18" ht="15" customHeight="1" x14ac:dyDescent="0.2">
      <c r="A131" s="46">
        <f>IF('① Timelog Input'!B131="","",ROW()-3)</f>
        <v>128</v>
      </c>
      <c r="B131" s="46" t="str">
        <f>IF('① Timelog Input'!B131="","",'① Timelog Input'!C131)</f>
        <v>CAS-RT_2429</v>
      </c>
      <c r="C131" s="46" t="str">
        <f>IF('① Timelog Input'!B131="","",'① Timelog Input'!B131)</f>
        <v>Tavishi.S</v>
      </c>
      <c r="D131" s="46" t="str">
        <f>IF('① Timelog Input'!B131="","",'① Timelog Input'!F131)</f>
        <v>Remote</v>
      </c>
      <c r="E131" s="46" t="str">
        <f>IF('① Timelog Input'!B131="","",'① Timelog Input'!G131)</f>
        <v>Sr. Associate</v>
      </c>
      <c r="F131" s="46" t="str">
        <f>IF('① Timelog Input'!B131="","",'① Timelog Input'!H131)</f>
        <v>Accounting</v>
      </c>
      <c r="G131" s="46" t="str">
        <f>IF('① Timelog Input'!B131="","",'① Timelog Input'!E131)</f>
        <v>Nikita Shah</v>
      </c>
      <c r="H131" s="46" t="str">
        <f>IF('① Timelog Input'!B131="","",'① Timelog Input'!D131)</f>
        <v>Shefali</v>
      </c>
      <c r="I131" s="47">
        <f>IF('① Timelog Input'!B131="","",IF(ISNUMBER('① Timelog Input'!I131),'① Timelog Input'!I131,0))</f>
        <v>141</v>
      </c>
      <c r="J131" s="46">
        <f>IF('① Timelog Input'!B131="","",IF(ISNUMBER('① Timelog Input'!J131),'① Timelog Input'!J131,0))</f>
        <v>141</v>
      </c>
      <c r="K131" s="46">
        <f>IF('① Timelog Input'!B131="","",Settings!B6)</f>
        <v>160</v>
      </c>
      <c r="L131" s="48">
        <f>IF(OR('① Timelog Input'!B131="",K131=0),"",J131/K131)</f>
        <v>0.88124999999999998</v>
      </c>
      <c r="M131" s="49">
        <f>IF('① Timelog Input'!B131="","",IFERROR(VLOOKUP(B131,'② Salary Input'!A:V,14,FALSE()),0))</f>
        <v>0</v>
      </c>
      <c r="N131" s="49">
        <f>IF('① Timelog Input'!B131="","",IFERROR(VLOOKUP(B131,'② Salary Input'!A:V,10,FALSE()),0))</f>
        <v>0</v>
      </c>
      <c r="O131" s="49">
        <f>IF('① Timelog Input'!B131="","",IF(AND(D131="Remote",N131&gt;0),N131,IF(K131=0,0,M131/K131)))</f>
        <v>0</v>
      </c>
      <c r="P131" s="49">
        <f>IF(OR('① Timelog Input'!B131="",J131=0),"",M131/J131)</f>
        <v>0</v>
      </c>
      <c r="Q131" s="46" t="str">
        <f>IF('① Timelog Input'!B131="","",'① Timelog Input'!L131)</f>
        <v>100%</v>
      </c>
      <c r="R131" s="46" t="str">
        <f>IF('① Timelog Input'!B131="","",IF(NOT(ISNUMBER(L131)),"No Data",IF(L131&gt;=Settings!B13,"HIGH",IF(L131&gt;=Settings!B14,"MEDIUM","LOW"))))</f>
        <v>HIGH</v>
      </c>
    </row>
    <row r="132" spans="1:18" ht="15" customHeight="1" x14ac:dyDescent="0.2">
      <c r="A132" s="46">
        <f>IF('① Timelog Input'!B132="","",ROW()-3)</f>
        <v>129</v>
      </c>
      <c r="B132" s="46" t="str">
        <f>IF('① Timelog Input'!B132="","",'① Timelog Input'!C132)</f>
        <v>CAS-RT_2430</v>
      </c>
      <c r="C132" s="46" t="str">
        <f>IF('① Timelog Input'!B132="","",'① Timelog Input'!B132)</f>
        <v>Lithika.B</v>
      </c>
      <c r="D132" s="46" t="str">
        <f>IF('① Timelog Input'!B132="","",'① Timelog Input'!F132)</f>
        <v>Remote</v>
      </c>
      <c r="E132" s="46" t="str">
        <f>IF('① Timelog Input'!B132="","",'① Timelog Input'!G132)</f>
        <v>Sr. Associate</v>
      </c>
      <c r="F132" s="46" t="str">
        <f>IF('① Timelog Input'!B132="","",'① Timelog Input'!H132)</f>
        <v>Accounting</v>
      </c>
      <c r="G132" s="46" t="str">
        <f>IF('① Timelog Input'!B132="","",'① Timelog Input'!E132)</f>
        <v>Ayushi</v>
      </c>
      <c r="H132" s="46" t="str">
        <f>IF('① Timelog Input'!B132="","",'① Timelog Input'!D132)</f>
        <v>Suhani</v>
      </c>
      <c r="I132" s="46">
        <f>IF('① Timelog Input'!B132="","",IF(ISNUMBER('① Timelog Input'!I132),'① Timelog Input'!I132,0))</f>
        <v>113.88</v>
      </c>
      <c r="J132" s="46">
        <f>IF('① Timelog Input'!B132="","",IF(ISNUMBER('① Timelog Input'!J132),'① Timelog Input'!J132,0))</f>
        <v>98.47</v>
      </c>
      <c r="K132" s="46">
        <f>IF('① Timelog Input'!B132="","",Settings!B6)</f>
        <v>160</v>
      </c>
      <c r="L132" s="48">
        <f>IF(OR('① Timelog Input'!B132="",K132=0),"",J132/K132)</f>
        <v>0.61543749999999997</v>
      </c>
      <c r="M132" s="49">
        <f>IF('① Timelog Input'!B132="","",IFERROR(VLOOKUP(B132,'② Salary Input'!A:V,14,FALSE()),0))</f>
        <v>0</v>
      </c>
      <c r="N132" s="49">
        <f>IF('① Timelog Input'!B132="","",IFERROR(VLOOKUP(B132,'② Salary Input'!A:V,10,FALSE()),0))</f>
        <v>0</v>
      </c>
      <c r="O132" s="49">
        <f>IF('① Timelog Input'!B132="","",IF(AND(D132="Remote",N132&gt;0),N132,IF(K132=0,0,M132/K132)))</f>
        <v>0</v>
      </c>
      <c r="P132" s="49">
        <f>IF(OR('① Timelog Input'!B132="",J132=0),"",M132/J132)</f>
        <v>0</v>
      </c>
      <c r="Q132" s="46" t="str">
        <f>IF('① Timelog Input'!B132="","",'① Timelog Input'!L132)</f>
        <v>86.47%</v>
      </c>
      <c r="R132" s="46" t="str">
        <f>IF('① Timelog Input'!B132="","",IF(NOT(ISNUMBER(L132)),"No Data",IF(L132&gt;=Settings!B13,"HIGH",IF(L132&gt;=Settings!B14,"MEDIUM","LOW"))))</f>
        <v>LOW</v>
      </c>
    </row>
    <row r="133" spans="1:18" ht="15" customHeight="1" x14ac:dyDescent="0.2">
      <c r="A133" s="46">
        <f>IF('① Timelog Input'!B133="","",ROW()-3)</f>
        <v>130</v>
      </c>
      <c r="B133" s="46" t="str">
        <f>IF('① Timelog Input'!B133="","",'① Timelog Input'!C133)</f>
        <v>CAS-IH_1183</v>
      </c>
      <c r="C133" s="46" t="str">
        <f>IF('① Timelog Input'!B133="","",'① Timelog Input'!B133)</f>
        <v>Tithi.G</v>
      </c>
      <c r="D133" s="46" t="str">
        <f>IF('① Timelog Input'!B133="","",'① Timelog Input'!F133)</f>
        <v>In-house</v>
      </c>
      <c r="E133" s="46" t="str">
        <f>IF('① Timelog Input'!B133="","",'① Timelog Input'!G133)</f>
        <v>Sr. Controller</v>
      </c>
      <c r="F133" s="46" t="str">
        <f>IF('① Timelog Input'!B133="","",'① Timelog Input'!H133)</f>
        <v>FP&amp;A</v>
      </c>
      <c r="G133" s="46" t="str">
        <f>IF('① Timelog Input'!B133="","",'① Timelog Input'!E133)</f>
        <v>--</v>
      </c>
      <c r="H133" s="46" t="str">
        <f>IF('① Timelog Input'!B133="","",'① Timelog Input'!D133)</f>
        <v>Andrew Jindal</v>
      </c>
      <c r="I133" s="47">
        <f>IF('① Timelog Input'!B133="","",IF(ISNUMBER('① Timelog Input'!I133),'① Timelog Input'!I133,0))</f>
        <v>0</v>
      </c>
      <c r="J133" s="46">
        <f>IF('① Timelog Input'!B133="","",IF(ISNUMBER('① Timelog Input'!J133),'① Timelog Input'!J133,0))</f>
        <v>0</v>
      </c>
      <c r="K133" s="46">
        <f>IF('① Timelog Input'!B133="","",Settings!B6)</f>
        <v>160</v>
      </c>
      <c r="L133" s="48">
        <f>IF(OR('① Timelog Input'!B133="",K133=0),"",J133/K133)</f>
        <v>0</v>
      </c>
      <c r="M133" s="49">
        <f>IF('① Timelog Input'!B133="","",IFERROR(VLOOKUP(B133,'② Salary Input'!A:V,14,FALSE()),0))</f>
        <v>73924</v>
      </c>
      <c r="N133" s="49">
        <f>IF('① Timelog Input'!B133="","",IFERROR(VLOOKUP(B133,'② Salary Input'!A:V,10,FALSE()),0))</f>
        <v>0</v>
      </c>
      <c r="O133" s="49">
        <f>IF('① Timelog Input'!B133="","",IF(AND(D133="Remote",N133&gt;0),N133,IF(K133=0,0,M133/K133)))</f>
        <v>462.02499999999998</v>
      </c>
      <c r="P133" s="49" t="str">
        <f>IF(OR('① Timelog Input'!B133="",J133=0),"",M133/J133)</f>
        <v/>
      </c>
      <c r="Q133" s="46" t="str">
        <f>IF('① Timelog Input'!B133="","",'① Timelog Input'!L133)</f>
        <v>--</v>
      </c>
      <c r="R133" s="46" t="str">
        <f>IF('① Timelog Input'!B133="","",IF(NOT(ISNUMBER(L133)),"No Data",IF(L133&gt;=Settings!B13,"HIGH",IF(L133&gt;=Settings!B14,"MEDIUM","LOW"))))</f>
        <v>LOW</v>
      </c>
    </row>
    <row r="134" spans="1:18" ht="15" customHeight="1" x14ac:dyDescent="0.2">
      <c r="A134" s="46">
        <f>IF('① Timelog Input'!B134="","",ROW()-3)</f>
        <v>131</v>
      </c>
      <c r="B134" s="46" t="str">
        <f>IF('① Timelog Input'!B134="","",'① Timelog Input'!C134)</f>
        <v>CAS-RR_2431</v>
      </c>
      <c r="C134" s="46" t="str">
        <f>IF('① Timelog Input'!B134="","",'① Timelog Input'!B134)</f>
        <v>Isha.G</v>
      </c>
      <c r="D134" s="46" t="str">
        <f>IF('① Timelog Input'!B134="","",'① Timelog Input'!F134)</f>
        <v>Remote</v>
      </c>
      <c r="E134" s="46" t="str">
        <f>IF('① Timelog Input'!B134="","",'① Timelog Input'!G134)</f>
        <v>Project Manager (S/W)</v>
      </c>
      <c r="F134" s="46" t="str">
        <f>IF('① Timelog Input'!B134="","",'① Timelog Input'!H134)</f>
        <v>Accounting</v>
      </c>
      <c r="G134" s="46" t="str">
        <f>IF('① Timelog Input'!B134="","",'① Timelog Input'!E134)</f>
        <v>--</v>
      </c>
      <c r="H134" s="46" t="str">
        <f>IF('① Timelog Input'!B134="","",'① Timelog Input'!D134)</f>
        <v>Andrew Jindal</v>
      </c>
      <c r="I134" s="47">
        <f>IF('① Timelog Input'!B134="","",IF(ISNUMBER('① Timelog Input'!I134),'① Timelog Input'!I134,0))</f>
        <v>88</v>
      </c>
      <c r="J134" s="46">
        <f>IF('① Timelog Input'!B134="","",IF(ISNUMBER('① Timelog Input'!J134),'① Timelog Input'!J134,0))</f>
        <v>88</v>
      </c>
      <c r="K134" s="46">
        <f>IF('① Timelog Input'!B134="","",Settings!B6)</f>
        <v>160</v>
      </c>
      <c r="L134" s="48">
        <f>IF(OR('① Timelog Input'!B134="",K134=0),"",J134/K134)</f>
        <v>0.55000000000000004</v>
      </c>
      <c r="M134" s="49">
        <f>IF('① Timelog Input'!B134="","",IFERROR(VLOOKUP(B134,'② Salary Input'!A:V,14,FALSE()),0))</f>
        <v>0</v>
      </c>
      <c r="N134" s="49">
        <f>IF('① Timelog Input'!B134="","",IFERROR(VLOOKUP(B134,'② Salary Input'!A:V,10,FALSE()),0))</f>
        <v>0</v>
      </c>
      <c r="O134" s="49">
        <f>IF('① Timelog Input'!B134="","",IF(AND(D134="Remote",N134&gt;0),N134,IF(K134=0,0,M134/K134)))</f>
        <v>0</v>
      </c>
      <c r="P134" s="49">
        <f>IF(OR('① Timelog Input'!B134="",J134=0),"",M134/J134)</f>
        <v>0</v>
      </c>
      <c r="Q134" s="46" t="str">
        <f>IF('① Timelog Input'!B134="","",'① Timelog Input'!L134)</f>
        <v>100%</v>
      </c>
      <c r="R134" s="46" t="str">
        <f>IF('① Timelog Input'!B134="","",IF(NOT(ISNUMBER(L134)),"No Data",IF(L134&gt;=Settings!B13,"HIGH",IF(L134&gt;=Settings!B14,"MEDIUM","LOW"))))</f>
        <v>LOW</v>
      </c>
    </row>
    <row r="135" spans="1:18" ht="15" customHeight="1" x14ac:dyDescent="0.2">
      <c r="A135" s="46">
        <f>IF('① Timelog Input'!B135="","",ROW()-3)</f>
        <v>132</v>
      </c>
      <c r="B135" s="46" t="str">
        <f>IF('① Timelog Input'!B135="","",'① Timelog Input'!C135)</f>
        <v>CAS-RT_2432</v>
      </c>
      <c r="C135" s="46" t="str">
        <f>IF('① Timelog Input'!B135="","",'① Timelog Input'!B135)</f>
        <v>Shubham.S</v>
      </c>
      <c r="D135" s="46" t="str">
        <f>IF('① Timelog Input'!B135="","",'① Timelog Input'!F135)</f>
        <v>Remote</v>
      </c>
      <c r="E135" s="46" t="str">
        <f>IF('① Timelog Input'!B135="","",'① Timelog Input'!G135)</f>
        <v>Sr. Associate</v>
      </c>
      <c r="F135" s="46" t="str">
        <f>IF('① Timelog Input'!B135="","",'① Timelog Input'!H135)</f>
        <v>Individual Tax</v>
      </c>
      <c r="G135" s="46" t="str">
        <f>IF('① Timelog Input'!B135="","",'① Timelog Input'!E135)</f>
        <v>Ammie</v>
      </c>
      <c r="H135" s="46" t="str">
        <f>IF('① Timelog Input'!B135="","",'① Timelog Input'!D135)</f>
        <v>Smriti Shah</v>
      </c>
      <c r="I135" s="46">
        <f>IF('① Timelog Input'!B135="","",IF(ISNUMBER('① Timelog Input'!I135),'① Timelog Input'!I135,0))</f>
        <v>7.25</v>
      </c>
      <c r="J135" s="46">
        <f>IF('① Timelog Input'!B135="","",IF(ISNUMBER('① Timelog Input'!J135),'① Timelog Input'!J135,0))</f>
        <v>7.25</v>
      </c>
      <c r="K135" s="46">
        <f>IF('① Timelog Input'!B135="","",Settings!B6)</f>
        <v>160</v>
      </c>
      <c r="L135" s="48">
        <f>IF(OR('① Timelog Input'!B135="",K135=0),"",J135/K135)</f>
        <v>4.5312499999999999E-2</v>
      </c>
      <c r="M135" s="49">
        <f>IF('① Timelog Input'!B135="","",IFERROR(VLOOKUP(B135,'② Salary Input'!A:V,14,FALSE()),0))</f>
        <v>0</v>
      </c>
      <c r="N135" s="49">
        <f>IF('① Timelog Input'!B135="","",IFERROR(VLOOKUP(B135,'② Salary Input'!A:V,10,FALSE()),0))</f>
        <v>0</v>
      </c>
      <c r="O135" s="49">
        <f>IF('① Timelog Input'!B135="","",IF(AND(D135="Remote",N135&gt;0),N135,IF(K135=0,0,M135/K135)))</f>
        <v>0</v>
      </c>
      <c r="P135" s="49">
        <f>IF(OR('① Timelog Input'!B135="",J135=0),"",M135/J135)</f>
        <v>0</v>
      </c>
      <c r="Q135" s="46" t="str">
        <f>IF('① Timelog Input'!B135="","",'① Timelog Input'!L135)</f>
        <v>100%</v>
      </c>
      <c r="R135" s="46" t="str">
        <f>IF('① Timelog Input'!B135="","",IF(NOT(ISNUMBER(L135)),"No Data",IF(L135&gt;=Settings!B13,"HIGH",IF(L135&gt;=Settings!B14,"MEDIUM","LOW"))))</f>
        <v>LOW</v>
      </c>
    </row>
    <row r="136" spans="1:18" ht="15" customHeight="1" x14ac:dyDescent="0.2">
      <c r="A136" s="46">
        <f>IF('① Timelog Input'!B136="","",ROW()-3)</f>
        <v>133</v>
      </c>
      <c r="B136" s="46" t="str">
        <f>IF('① Timelog Input'!B136="","",'① Timelog Input'!C136)</f>
        <v>CAS-RT_2433</v>
      </c>
      <c r="C136" s="46" t="str">
        <f>IF('① Timelog Input'!B136="","",'① Timelog Input'!B136)</f>
        <v>Tanushree.G</v>
      </c>
      <c r="D136" s="46" t="str">
        <f>IF('① Timelog Input'!B136="","",'① Timelog Input'!F136)</f>
        <v>Remote</v>
      </c>
      <c r="E136" s="46" t="str">
        <f>IF('① Timelog Input'!B136="","",'① Timelog Input'!G136)</f>
        <v>Sr. Associate</v>
      </c>
      <c r="F136" s="46" t="str">
        <f>IF('① Timelog Input'!B136="","",'① Timelog Input'!H136)</f>
        <v>Individual Tax</v>
      </c>
      <c r="G136" s="46" t="str">
        <f>IF('① Timelog Input'!B136="","",'① Timelog Input'!E136)</f>
        <v>Ammie</v>
      </c>
      <c r="H136" s="46" t="str">
        <f>IF('① Timelog Input'!B136="","",'① Timelog Input'!D136)</f>
        <v>Smriti Shah</v>
      </c>
      <c r="I136" s="46">
        <f>IF('① Timelog Input'!B136="","",IF(ISNUMBER('① Timelog Input'!I136),'① Timelog Input'!I136,0))</f>
        <v>0</v>
      </c>
      <c r="J136" s="46">
        <f>IF('① Timelog Input'!B136="","",IF(ISNUMBER('① Timelog Input'!J136),'① Timelog Input'!J136,0))</f>
        <v>0</v>
      </c>
      <c r="K136" s="46">
        <f>IF('① Timelog Input'!B136="","",Settings!B6)</f>
        <v>160</v>
      </c>
      <c r="L136" s="48">
        <f>IF(OR('① Timelog Input'!B136="",K136=0),"",J136/K136)</f>
        <v>0</v>
      </c>
      <c r="M136" s="49">
        <f>IF('① Timelog Input'!B136="","",IFERROR(VLOOKUP(B136,'② Salary Input'!A:V,14,FALSE()),0))</f>
        <v>0</v>
      </c>
      <c r="N136" s="49">
        <f>IF('① Timelog Input'!B136="","",IFERROR(VLOOKUP(B136,'② Salary Input'!A:V,10,FALSE()),0))</f>
        <v>0</v>
      </c>
      <c r="O136" s="49">
        <f>IF('① Timelog Input'!B136="","",IF(AND(D136="Remote",N136&gt;0),N136,IF(K136=0,0,M136/K136)))</f>
        <v>0</v>
      </c>
      <c r="P136" s="49" t="str">
        <f>IF(OR('① Timelog Input'!B136="",J136=0),"",M136/J136)</f>
        <v/>
      </c>
      <c r="Q136" s="46" t="str">
        <f>IF('① Timelog Input'!B136="","",'① Timelog Input'!L136)</f>
        <v>--</v>
      </c>
      <c r="R136" s="46" t="str">
        <f>IF('① Timelog Input'!B136="","",IF(NOT(ISNUMBER(L136)),"No Data",IF(L136&gt;=Settings!B13,"HIGH",IF(L136&gt;=Settings!B14,"MEDIUM","LOW"))))</f>
        <v>LOW</v>
      </c>
    </row>
    <row r="137" spans="1:18" ht="15" customHeight="1" x14ac:dyDescent="0.2">
      <c r="A137" s="46">
        <f>IF('① Timelog Input'!B137="","",ROW()-3)</f>
        <v>134</v>
      </c>
      <c r="B137" s="46" t="str">
        <f>IF('① Timelog Input'!B137="","",'① Timelog Input'!C137)</f>
        <v>CAS-RT_2434</v>
      </c>
      <c r="C137" s="46" t="str">
        <f>IF('① Timelog Input'!B137="","",'① Timelog Input'!B137)</f>
        <v>Syed.M</v>
      </c>
      <c r="D137" s="46" t="str">
        <f>IF('① Timelog Input'!B137="","",'① Timelog Input'!F137)</f>
        <v>Remote</v>
      </c>
      <c r="E137" s="46" t="str">
        <f>IF('① Timelog Input'!B137="","",'① Timelog Input'!G137)</f>
        <v>Sr. Associate</v>
      </c>
      <c r="F137" s="46" t="str">
        <f>IF('① Timelog Input'!B137="","",'① Timelog Input'!H137)</f>
        <v>Individual Tax</v>
      </c>
      <c r="G137" s="46" t="str">
        <f>IF('① Timelog Input'!B137="","",'① Timelog Input'!E137)</f>
        <v>Ammie</v>
      </c>
      <c r="H137" s="46" t="str">
        <f>IF('① Timelog Input'!B137="","",'① Timelog Input'!D137)</f>
        <v>Smriti Shah</v>
      </c>
      <c r="I137" s="46">
        <f>IF('① Timelog Input'!B137="","",IF(ISNUMBER('① Timelog Input'!I137),'① Timelog Input'!I137,0))</f>
        <v>0</v>
      </c>
      <c r="J137" s="46">
        <f>IF('① Timelog Input'!B137="","",IF(ISNUMBER('① Timelog Input'!J137),'① Timelog Input'!J137,0))</f>
        <v>0</v>
      </c>
      <c r="K137" s="46">
        <f>IF('① Timelog Input'!B137="","",Settings!B6)</f>
        <v>160</v>
      </c>
      <c r="L137" s="48">
        <f>IF(OR('① Timelog Input'!B137="",K137=0),"",J137/K137)</f>
        <v>0</v>
      </c>
      <c r="M137" s="49">
        <f>IF('① Timelog Input'!B137="","",IFERROR(VLOOKUP(B137,'② Salary Input'!A:V,14,FALSE()),0))</f>
        <v>0</v>
      </c>
      <c r="N137" s="49">
        <f>IF('① Timelog Input'!B137="","",IFERROR(VLOOKUP(B137,'② Salary Input'!A:V,10,FALSE()),0))</f>
        <v>0</v>
      </c>
      <c r="O137" s="49">
        <f>IF('① Timelog Input'!B137="","",IF(AND(D137="Remote",N137&gt;0),N137,IF(K137=0,0,M137/K137)))</f>
        <v>0</v>
      </c>
      <c r="P137" s="49" t="str">
        <f>IF(OR('① Timelog Input'!B137="",J137=0),"",M137/J137)</f>
        <v/>
      </c>
      <c r="Q137" s="46" t="str">
        <f>IF('① Timelog Input'!B137="","",'① Timelog Input'!L137)</f>
        <v>--</v>
      </c>
      <c r="R137" s="46" t="str">
        <f>IF('① Timelog Input'!B137="","",IF(NOT(ISNUMBER(L137)),"No Data",IF(L137&gt;=Settings!B13,"HIGH",IF(L137&gt;=Settings!B14,"MEDIUM","LOW"))))</f>
        <v>LOW</v>
      </c>
    </row>
    <row r="138" spans="1:18" ht="15" customHeight="1" x14ac:dyDescent="0.2">
      <c r="A138" s="46">
        <f>IF('① Timelog Input'!B138="","",ROW()-3)</f>
        <v>135</v>
      </c>
      <c r="B138" s="46" t="str">
        <f>IF('① Timelog Input'!B138="","",'① Timelog Input'!C138)</f>
        <v>CAS-RT_2435</v>
      </c>
      <c r="C138" s="46" t="str">
        <f>IF('① Timelog Input'!B138="","",'① Timelog Input'!B138)</f>
        <v>Biswajit.D</v>
      </c>
      <c r="D138" s="46" t="str">
        <f>IF('① Timelog Input'!B138="","",'① Timelog Input'!F138)</f>
        <v>Remote</v>
      </c>
      <c r="E138" s="46" t="str">
        <f>IF('① Timelog Input'!B138="","",'① Timelog Input'!G138)</f>
        <v>Sr. Associate</v>
      </c>
      <c r="F138" s="46" t="str">
        <f>IF('① Timelog Input'!B138="","",'① Timelog Input'!H138)</f>
        <v>Individual Tax</v>
      </c>
      <c r="G138" s="46" t="str">
        <f>IF('① Timelog Input'!B138="","",'① Timelog Input'!E138)</f>
        <v>Ammie</v>
      </c>
      <c r="H138" s="46" t="str">
        <f>IF('① Timelog Input'!B138="","",'① Timelog Input'!D138)</f>
        <v>Smriti Shah</v>
      </c>
      <c r="I138" s="47">
        <f>IF('① Timelog Input'!B138="","",IF(ISNUMBER('① Timelog Input'!I138),'① Timelog Input'!I138,0))</f>
        <v>0</v>
      </c>
      <c r="J138" s="46">
        <f>IF('① Timelog Input'!B138="","",IF(ISNUMBER('① Timelog Input'!J138),'① Timelog Input'!J138,0))</f>
        <v>0</v>
      </c>
      <c r="K138" s="46">
        <f>IF('① Timelog Input'!B138="","",Settings!B6)</f>
        <v>160</v>
      </c>
      <c r="L138" s="48">
        <f>IF(OR('① Timelog Input'!B138="",K138=0),"",J138/K138)</f>
        <v>0</v>
      </c>
      <c r="M138" s="49">
        <f>IF('① Timelog Input'!B138="","",IFERROR(VLOOKUP(B138,'② Salary Input'!A:V,14,FALSE()),0))</f>
        <v>0</v>
      </c>
      <c r="N138" s="49">
        <f>IF('① Timelog Input'!B138="","",IFERROR(VLOOKUP(B138,'② Salary Input'!A:V,10,FALSE()),0))</f>
        <v>0</v>
      </c>
      <c r="O138" s="49">
        <f>IF('① Timelog Input'!B138="","",IF(AND(D138="Remote",N138&gt;0),N138,IF(K138=0,0,M138/K138)))</f>
        <v>0</v>
      </c>
      <c r="P138" s="49" t="str">
        <f>IF(OR('① Timelog Input'!B138="",J138=0),"",M138/J138)</f>
        <v/>
      </c>
      <c r="Q138" s="46" t="str">
        <f>IF('① Timelog Input'!B138="","",'① Timelog Input'!L138)</f>
        <v>--</v>
      </c>
      <c r="R138" s="46" t="str">
        <f>IF('① Timelog Input'!B138="","",IF(NOT(ISNUMBER(L138)),"No Data",IF(L138&gt;=Settings!B13,"HIGH",IF(L138&gt;=Settings!B14,"MEDIUM","LOW"))))</f>
        <v>LOW</v>
      </c>
    </row>
    <row r="139" spans="1:18" ht="15" customHeight="1" x14ac:dyDescent="0.2">
      <c r="A139" s="46">
        <f>IF('① Timelog Input'!B139="","",ROW()-3)</f>
        <v>136</v>
      </c>
      <c r="B139" s="46" t="str">
        <f>IF('① Timelog Input'!B139="","",'① Timelog Input'!C139)</f>
        <v>CAS-IH_1186</v>
      </c>
      <c r="C139" s="46" t="str">
        <f>IF('① Timelog Input'!B139="","",'① Timelog Input'!B139)</f>
        <v>Ayush.G</v>
      </c>
      <c r="D139" s="46" t="str">
        <f>IF('① Timelog Input'!B139="","",'① Timelog Input'!F139)</f>
        <v>In-house</v>
      </c>
      <c r="E139" s="46" t="str">
        <f>IF('① Timelog Input'!B139="","",'① Timelog Input'!G139)</f>
        <v>Full Stack Developer</v>
      </c>
      <c r="F139" s="46" t="str">
        <f>IF('① Timelog Input'!B139="","",'① Timelog Input'!H139)</f>
        <v>IT</v>
      </c>
      <c r="G139" s="46" t="str">
        <f>IF('① Timelog Input'!B139="","",'① Timelog Input'!E139)</f>
        <v>Akhilesh Sirvi</v>
      </c>
      <c r="H139" s="46" t="str">
        <f>IF('① Timelog Input'!B139="","",'① Timelog Input'!D139)</f>
        <v>Akhilesh Sirvi</v>
      </c>
      <c r="I139" s="47">
        <f>IF('① Timelog Input'!B139="","",IF(ISNUMBER('① Timelog Input'!I139),'① Timelog Input'!I139,0))</f>
        <v>40</v>
      </c>
      <c r="J139" s="46">
        <f>IF('① Timelog Input'!B139="","",IF(ISNUMBER('① Timelog Input'!J139),'① Timelog Input'!J139,0))</f>
        <v>40</v>
      </c>
      <c r="K139" s="46">
        <f>IF('① Timelog Input'!B139="","",Settings!B6)</f>
        <v>160</v>
      </c>
      <c r="L139" s="48">
        <f>IF(OR('① Timelog Input'!B139="",K139=0),"",J139/K139)</f>
        <v>0.25</v>
      </c>
      <c r="M139" s="49">
        <f>IF('① Timelog Input'!B139="","",IFERROR(VLOOKUP(B139,'② Salary Input'!A:V,14,FALSE()),0))</f>
        <v>0</v>
      </c>
      <c r="N139" s="49">
        <f>IF('① Timelog Input'!B139="","",IFERROR(VLOOKUP(B139,'② Salary Input'!A:V,10,FALSE()),0))</f>
        <v>0</v>
      </c>
      <c r="O139" s="49">
        <f>IF('① Timelog Input'!B139="","",IF(AND(D139="Remote",N139&gt;0),N139,IF(K139=0,0,M139/K139)))</f>
        <v>0</v>
      </c>
      <c r="P139" s="49">
        <f>IF(OR('① Timelog Input'!B139="",J139=0),"",M139/J139)</f>
        <v>0</v>
      </c>
      <c r="Q139" s="46" t="str">
        <f>IF('① Timelog Input'!B139="","",'① Timelog Input'!L139)</f>
        <v>100%</v>
      </c>
      <c r="R139" s="46" t="str">
        <f>IF('① Timelog Input'!B139="","",IF(NOT(ISNUMBER(L139)),"No Data",IF(L139&gt;=Settings!B13,"HIGH",IF(L139&gt;=Settings!B14,"MEDIUM","LOW"))))</f>
        <v>LOW</v>
      </c>
    </row>
    <row r="140" spans="1:18" ht="15" customHeight="1" x14ac:dyDescent="0.2">
      <c r="A140" s="46">
        <f>IF('① Timelog Input'!B140="","",ROW()-3)</f>
        <v>137</v>
      </c>
      <c r="B140" s="46" t="str">
        <f>IF('① Timelog Input'!B140="","",'① Timelog Input'!C140)</f>
        <v>CAS-RT_2436</v>
      </c>
      <c r="C140" s="46" t="str">
        <f>IF('① Timelog Input'!B140="","",'① Timelog Input'!B140)</f>
        <v>Aman.J</v>
      </c>
      <c r="D140" s="46" t="str">
        <f>IF('① Timelog Input'!B140="","",'① Timelog Input'!F140)</f>
        <v>Remote</v>
      </c>
      <c r="E140" s="46" t="str">
        <f>IF('① Timelog Input'!B140="","",'① Timelog Input'!G140)</f>
        <v>Sr. Associate</v>
      </c>
      <c r="F140" s="46" t="str">
        <f>IF('① Timelog Input'!B140="","",'① Timelog Input'!H140)</f>
        <v>Accounting</v>
      </c>
      <c r="G140" s="46" t="str">
        <f>IF('① Timelog Input'!B140="","",'① Timelog Input'!E140)</f>
        <v>Nikita Shah</v>
      </c>
      <c r="H140" s="46" t="str">
        <f>IF('① Timelog Input'!B140="","",'① Timelog Input'!D140)</f>
        <v>Preety</v>
      </c>
      <c r="I140" s="47">
        <f>IF('① Timelog Input'!B140="","",IF(ISNUMBER('① Timelog Input'!I140),'① Timelog Input'!I140,0))</f>
        <v>60</v>
      </c>
      <c r="J140" s="46">
        <f>IF('① Timelog Input'!B140="","",IF(ISNUMBER('① Timelog Input'!J140),'① Timelog Input'!J140,0))</f>
        <v>60</v>
      </c>
      <c r="K140" s="46">
        <f>IF('① Timelog Input'!B140="","",Settings!B6)</f>
        <v>160</v>
      </c>
      <c r="L140" s="48">
        <f>IF(OR('① Timelog Input'!B140="",K140=0),"",J140/K140)</f>
        <v>0.375</v>
      </c>
      <c r="M140" s="49">
        <f>IF('① Timelog Input'!B140="","",IFERROR(VLOOKUP(B140,'② Salary Input'!A:V,14,FALSE()),0))</f>
        <v>0</v>
      </c>
      <c r="N140" s="49">
        <f>IF('① Timelog Input'!B140="","",IFERROR(VLOOKUP(B140,'② Salary Input'!A:V,10,FALSE()),0))</f>
        <v>0</v>
      </c>
      <c r="O140" s="49">
        <f>IF('① Timelog Input'!B140="","",IF(AND(D140="Remote",N140&gt;0),N140,IF(K140=0,0,M140/K140)))</f>
        <v>0</v>
      </c>
      <c r="P140" s="49">
        <f>IF(OR('① Timelog Input'!B140="",J140=0),"",M140/J140)</f>
        <v>0</v>
      </c>
      <c r="Q140" s="46" t="str">
        <f>IF('① Timelog Input'!B140="","",'① Timelog Input'!L140)</f>
        <v>100%</v>
      </c>
      <c r="R140" s="46" t="str">
        <f>IF('① Timelog Input'!B140="","",IF(NOT(ISNUMBER(L140)),"No Data",IF(L140&gt;=Settings!B13,"HIGH",IF(L140&gt;=Settings!B14,"MEDIUM","LOW"))))</f>
        <v>LOW</v>
      </c>
    </row>
    <row r="141" spans="1:18" ht="15" customHeight="1" x14ac:dyDescent="0.2">
      <c r="A141" s="46">
        <f>IF('① Timelog Input'!B141="","",ROW()-3)</f>
        <v>138</v>
      </c>
      <c r="B141" s="46" t="str">
        <f>IF('① Timelog Input'!B141="","",'① Timelog Input'!C141)</f>
        <v>CASUS-IH_005</v>
      </c>
      <c r="C141" s="46" t="str">
        <f>IF('① Timelog Input'!B141="","",'① Timelog Input'!B141)</f>
        <v>Matt.H</v>
      </c>
      <c r="D141" s="46" t="str">
        <f>IF('① Timelog Input'!B141="","",'① Timelog Input'!F141)</f>
        <v>Remote</v>
      </c>
      <c r="E141" s="46" t="str">
        <f>IF('① Timelog Input'!B141="","",'① Timelog Input'!G141)</f>
        <v>Associate</v>
      </c>
      <c r="F141" s="46" t="str">
        <f>IF('① Timelog Input'!B141="","",'① Timelog Input'!H141)</f>
        <v>Marketing</v>
      </c>
      <c r="G141" s="46" t="str">
        <f>IF('① Timelog Input'!B141="","",'① Timelog Input'!E141)</f>
        <v>Angela</v>
      </c>
      <c r="H141" s="46" t="str">
        <f>IF('① Timelog Input'!B141="","",'① Timelog Input'!D141)</f>
        <v>Angela</v>
      </c>
      <c r="I141" s="46">
        <f>IF('① Timelog Input'!B141="","",IF(ISNUMBER('① Timelog Input'!I141),'① Timelog Input'!I141,0))</f>
        <v>40</v>
      </c>
      <c r="J141" s="46">
        <f>IF('① Timelog Input'!B141="","",IF(ISNUMBER('① Timelog Input'!J141),'① Timelog Input'!J141,0))</f>
        <v>24</v>
      </c>
      <c r="K141" s="46">
        <f>IF('① Timelog Input'!B141="","",Settings!B6)</f>
        <v>160</v>
      </c>
      <c r="L141" s="48">
        <f>IF(OR('① Timelog Input'!B141="",K141=0),"",J141/K141)</f>
        <v>0.15</v>
      </c>
      <c r="M141" s="49">
        <f>IF('① Timelog Input'!B141="","",IFERROR(VLOOKUP(B141,'② Salary Input'!A:V,14,FALSE()),0))</f>
        <v>0</v>
      </c>
      <c r="N141" s="49">
        <f>IF('① Timelog Input'!B141="","",IFERROR(VLOOKUP(B141,'② Salary Input'!A:V,10,FALSE()),0))</f>
        <v>0</v>
      </c>
      <c r="O141" s="49">
        <f>IF('① Timelog Input'!B141="","",IF(AND(D141="Remote",N141&gt;0),N141,IF(K141=0,0,M141/K141)))</f>
        <v>0</v>
      </c>
      <c r="P141" s="49">
        <f>IF(OR('① Timelog Input'!B141="",J141=0),"",M141/J141)</f>
        <v>0</v>
      </c>
      <c r="Q141" s="46" t="str">
        <f>IF('① Timelog Input'!B141="","",'① Timelog Input'!L141)</f>
        <v>60%</v>
      </c>
      <c r="R141" s="46" t="str">
        <f>IF('① Timelog Input'!B141="","",IF(NOT(ISNUMBER(L141)),"No Data",IF(L141&gt;=Settings!B13,"HIGH",IF(L141&gt;=Settings!B14,"MEDIUM","LOW"))))</f>
        <v>LOW</v>
      </c>
    </row>
    <row r="142" spans="1:18" ht="15" customHeight="1" x14ac:dyDescent="0.2">
      <c r="A142" s="46">
        <f>IF('① Timelog Input'!B142="","",ROW()-3)</f>
        <v>139</v>
      </c>
      <c r="B142" s="46" t="str">
        <f>IF('① Timelog Input'!B142="","",'① Timelog Input'!C142)</f>
        <v>CAS-IH_1187</v>
      </c>
      <c r="C142" s="46" t="str">
        <f>IF('① Timelog Input'!B142="","",'① Timelog Input'!B142)</f>
        <v>Puja.G</v>
      </c>
      <c r="D142" s="46" t="str">
        <f>IF('① Timelog Input'!B142="","",'① Timelog Input'!F142)</f>
        <v>Remote</v>
      </c>
      <c r="E142" s="46" t="str">
        <f>IF('① Timelog Input'!B142="","",'① Timelog Input'!G142)</f>
        <v>Sr. Associate</v>
      </c>
      <c r="F142" s="46" t="str">
        <f>IF('① Timelog Input'!B142="","",'① Timelog Input'!H142)</f>
        <v>Individual Tax</v>
      </c>
      <c r="G142" s="46" t="str">
        <f>IF('① Timelog Input'!B142="","",'① Timelog Input'!E142)</f>
        <v>Ammie</v>
      </c>
      <c r="H142" s="46" t="str">
        <f>IF('① Timelog Input'!B142="","",'① Timelog Input'!D142)</f>
        <v>Ammie</v>
      </c>
      <c r="I142" s="47">
        <f>IF('① Timelog Input'!B142="","",IF(ISNUMBER('① Timelog Input'!I142),'① Timelog Input'!I142,0))</f>
        <v>0</v>
      </c>
      <c r="J142" s="46">
        <f>IF('① Timelog Input'!B142="","",IF(ISNUMBER('① Timelog Input'!J142),'① Timelog Input'!J142,0))</f>
        <v>0</v>
      </c>
      <c r="K142" s="46">
        <f>IF('① Timelog Input'!B142="","",Settings!B6)</f>
        <v>160</v>
      </c>
      <c r="L142" s="48">
        <f>IF(OR('① Timelog Input'!B142="",K142=0),"",J142/K142)</f>
        <v>0</v>
      </c>
      <c r="M142" s="49">
        <f>IF('① Timelog Input'!B142="","",IFERROR(VLOOKUP(B142,'② Salary Input'!A:V,14,FALSE()),0))</f>
        <v>0</v>
      </c>
      <c r="N142" s="49">
        <f>IF('① Timelog Input'!B142="","",IFERROR(VLOOKUP(B142,'② Salary Input'!A:V,10,FALSE()),0))</f>
        <v>0</v>
      </c>
      <c r="O142" s="49">
        <f>IF('① Timelog Input'!B142="","",IF(AND(D142="Remote",N142&gt;0),N142,IF(K142=0,0,M142/K142)))</f>
        <v>0</v>
      </c>
      <c r="P142" s="49" t="str">
        <f>IF(OR('① Timelog Input'!B142="",J142=0),"",M142/J142)</f>
        <v/>
      </c>
      <c r="Q142" s="46" t="str">
        <f>IF('① Timelog Input'!B142="","",'① Timelog Input'!L142)</f>
        <v>--</v>
      </c>
      <c r="R142" s="46" t="str">
        <f>IF('① Timelog Input'!B142="","",IF(NOT(ISNUMBER(L142)),"No Data",IF(L142&gt;=Settings!B13,"HIGH",IF(L142&gt;=Settings!B14,"MEDIUM","LOW"))))</f>
        <v>LOW</v>
      </c>
    </row>
    <row r="143" spans="1:18" ht="15" customHeight="1" x14ac:dyDescent="0.2">
      <c r="A143" s="46">
        <f>IF('① Timelog Input'!B143="","",ROW()-3)</f>
        <v>140</v>
      </c>
      <c r="B143" s="46" t="str">
        <f>IF('① Timelog Input'!B143="","",'① Timelog Input'!C143)</f>
        <v>CASUS-IH_006</v>
      </c>
      <c r="C143" s="46" t="str">
        <f>IF('① Timelog Input'!B143="","",'① Timelog Input'!B143)</f>
        <v>Keily.S</v>
      </c>
      <c r="D143" s="46" t="str">
        <f>IF('① Timelog Input'!B143="","",'① Timelog Input'!F143)</f>
        <v>Remote</v>
      </c>
      <c r="E143" s="46" t="str">
        <f>IF('① Timelog Input'!B143="","",'① Timelog Input'!G143)</f>
        <v>Associate</v>
      </c>
      <c r="F143" s="46" t="str">
        <f>IF('① Timelog Input'!B143="","",'① Timelog Input'!H143)</f>
        <v>Marketing</v>
      </c>
      <c r="G143" s="46" t="str">
        <f>IF('① Timelog Input'!B143="","",'① Timelog Input'!E143)</f>
        <v>Angela</v>
      </c>
      <c r="H143" s="46" t="str">
        <f>IF('① Timelog Input'!B143="","",'① Timelog Input'!D143)</f>
        <v>--</v>
      </c>
      <c r="I143" s="46">
        <f>IF('① Timelog Input'!B143="","",IF(ISNUMBER('① Timelog Input'!I143),'① Timelog Input'!I143,0))</f>
        <v>32</v>
      </c>
      <c r="J143" s="46">
        <f>IF('① Timelog Input'!B143="","",IF(ISNUMBER('① Timelog Input'!J143),'① Timelog Input'!J143,0))</f>
        <v>24</v>
      </c>
      <c r="K143" s="46">
        <f>IF('① Timelog Input'!B143="","",Settings!B6)</f>
        <v>160</v>
      </c>
      <c r="L143" s="48">
        <f>IF(OR('① Timelog Input'!B143="",K143=0),"",J143/K143)</f>
        <v>0.15</v>
      </c>
      <c r="M143" s="49">
        <f>IF('① Timelog Input'!B143="","",IFERROR(VLOOKUP(B143,'② Salary Input'!A:V,14,FALSE()),0))</f>
        <v>0</v>
      </c>
      <c r="N143" s="49">
        <f>IF('① Timelog Input'!B143="","",IFERROR(VLOOKUP(B143,'② Salary Input'!A:V,10,FALSE()),0))</f>
        <v>0</v>
      </c>
      <c r="O143" s="49">
        <f>IF('① Timelog Input'!B143="","",IF(AND(D143="Remote",N143&gt;0),N143,IF(K143=0,0,M143/K143)))</f>
        <v>0</v>
      </c>
      <c r="P143" s="49">
        <f>IF(OR('① Timelog Input'!B143="",J143=0),"",M143/J143)</f>
        <v>0</v>
      </c>
      <c r="Q143" s="46" t="str">
        <f>IF('① Timelog Input'!B143="","",'① Timelog Input'!L143)</f>
        <v>75%</v>
      </c>
      <c r="R143" s="46" t="str">
        <f>IF('① Timelog Input'!B143="","",IF(NOT(ISNUMBER(L143)),"No Data",IF(L143&gt;=Settings!B13,"HIGH",IF(L143&gt;=Settings!B14,"MEDIUM","LOW"))))</f>
        <v>LOW</v>
      </c>
    </row>
    <row r="144" spans="1:18" ht="15" customHeight="1" x14ac:dyDescent="0.2">
      <c r="A144" s="46">
        <f>IF('① Timelog Input'!B144="","",ROW()-3)</f>
        <v>141</v>
      </c>
      <c r="B144" s="46" t="str">
        <f>IF('① Timelog Input'!B144="","",'① Timelog Input'!C144)</f>
        <v>CAS-IH_1188</v>
      </c>
      <c r="C144" s="46" t="str">
        <f>IF('① Timelog Input'!B144="","",'① Timelog Input'!B144)</f>
        <v>Bhavana.T</v>
      </c>
      <c r="D144" s="46" t="str">
        <f>IF('① Timelog Input'!B144="","",'① Timelog Input'!F144)</f>
        <v>In-house</v>
      </c>
      <c r="E144" s="46" t="str">
        <f>IF('① Timelog Input'!B144="","",'① Timelog Input'!G144)</f>
        <v>Asst. Team Lead</v>
      </c>
      <c r="F144" s="46" t="str">
        <f>IF('① Timelog Input'!B144="","",'① Timelog Input'!H144)</f>
        <v>Accounting</v>
      </c>
      <c r="G144" s="46" t="str">
        <f>IF('① Timelog Input'!B144="","",'① Timelog Input'!E144)</f>
        <v>Sukhmeen.K</v>
      </c>
      <c r="H144" s="46" t="str">
        <f>IF('① Timelog Input'!B144="","",'① Timelog Input'!D144)</f>
        <v>Sukhmeen.K</v>
      </c>
      <c r="I144" s="46">
        <f>IF('① Timelog Input'!B144="","",IF(ISNUMBER('① Timelog Input'!I144),'① Timelog Input'!I144,0))</f>
        <v>0</v>
      </c>
      <c r="J144" s="46">
        <f>IF('① Timelog Input'!B144="","",IF(ISNUMBER('① Timelog Input'!J144),'① Timelog Input'!J144,0))</f>
        <v>0</v>
      </c>
      <c r="K144" s="46">
        <f>IF('① Timelog Input'!B144="","",Settings!B6)</f>
        <v>160</v>
      </c>
      <c r="L144" s="48">
        <f>IF(OR('① Timelog Input'!B144="",K144=0),"",J144/K144)</f>
        <v>0</v>
      </c>
      <c r="M144" s="49">
        <f>IF('① Timelog Input'!B144="","",IFERROR(VLOOKUP(B144,'② Salary Input'!A:V,14,FALSE()),0))</f>
        <v>0</v>
      </c>
      <c r="N144" s="49">
        <f>IF('① Timelog Input'!B144="","",IFERROR(VLOOKUP(B144,'② Salary Input'!A:V,10,FALSE()),0))</f>
        <v>0</v>
      </c>
      <c r="O144" s="49">
        <f>IF('① Timelog Input'!B144="","",IF(AND(D144="Remote",N144&gt;0),N144,IF(K144=0,0,M144/K144)))</f>
        <v>0</v>
      </c>
      <c r="P144" s="49" t="str">
        <f>IF(OR('① Timelog Input'!B144="",J144=0),"",M144/J144)</f>
        <v/>
      </c>
      <c r="Q144" s="46" t="str">
        <f>IF('① Timelog Input'!B144="","",'① Timelog Input'!L144)</f>
        <v>--</v>
      </c>
      <c r="R144" s="46" t="str">
        <f>IF('① Timelog Input'!B144="","",IF(NOT(ISNUMBER(L144)),"No Data",IF(L144&gt;=Settings!B13,"HIGH",IF(L144&gt;=Settings!B14,"MEDIUM","LOW"))))</f>
        <v>LOW</v>
      </c>
    </row>
    <row r="145" spans="1:18" ht="15" customHeight="1" x14ac:dyDescent="0.2">
      <c r="A145" s="46">
        <f>IF('① Timelog Input'!B145="","",ROW()-3)</f>
        <v>142</v>
      </c>
      <c r="B145" s="46" t="str">
        <f>IF('① Timelog Input'!B145="","",'① Timelog Input'!C145)</f>
        <v>CAS-IH_1190</v>
      </c>
      <c r="C145" s="46" t="str">
        <f>IF('① Timelog Input'!B145="","",'① Timelog Input'!B145)</f>
        <v>Shubhanshi.A</v>
      </c>
      <c r="D145" s="46" t="str">
        <f>IF('① Timelog Input'!B145="","",'① Timelog Input'!F145)</f>
        <v>In-house</v>
      </c>
      <c r="E145" s="46" t="str">
        <f>IF('① Timelog Input'!B145="","",'① Timelog Input'!G145)</f>
        <v>Sr. Associate</v>
      </c>
      <c r="F145" s="46" t="str">
        <f>IF('① Timelog Input'!B145="","",'① Timelog Input'!H145)</f>
        <v>Individual Tax</v>
      </c>
      <c r="G145" s="46" t="str">
        <f>IF('① Timelog Input'!B145="","",'① Timelog Input'!E145)</f>
        <v>Ammie</v>
      </c>
      <c r="H145" s="46" t="str">
        <f>IF('① Timelog Input'!B145="","",'① Timelog Input'!D145)</f>
        <v>Smriti Shah</v>
      </c>
      <c r="I145" s="46">
        <f>IF('① Timelog Input'!B145="","",IF(ISNUMBER('① Timelog Input'!I145),'① Timelog Input'!I145,0))</f>
        <v>0</v>
      </c>
      <c r="J145" s="46">
        <f>IF('① Timelog Input'!B145="","",IF(ISNUMBER('① Timelog Input'!J145),'① Timelog Input'!J145,0))</f>
        <v>0</v>
      </c>
      <c r="K145" s="46">
        <f>IF('① Timelog Input'!B145="","",Settings!B6)</f>
        <v>160</v>
      </c>
      <c r="L145" s="48">
        <f>IF(OR('① Timelog Input'!B145="",K145=0),"",J145/K145)</f>
        <v>0</v>
      </c>
      <c r="M145" s="49">
        <f>IF('① Timelog Input'!B145="","",IFERROR(VLOOKUP(B145,'② Salary Input'!A:V,14,FALSE()),0))</f>
        <v>0</v>
      </c>
      <c r="N145" s="49">
        <f>IF('① Timelog Input'!B145="","",IFERROR(VLOOKUP(B145,'② Salary Input'!A:V,10,FALSE()),0))</f>
        <v>0</v>
      </c>
      <c r="O145" s="49">
        <f>IF('① Timelog Input'!B145="","",IF(AND(D145="Remote",N145&gt;0),N145,IF(K145=0,0,M145/K145)))</f>
        <v>0</v>
      </c>
      <c r="P145" s="49" t="str">
        <f>IF(OR('① Timelog Input'!B145="",J145=0),"",M145/J145)</f>
        <v/>
      </c>
      <c r="Q145" s="46" t="str">
        <f>IF('① Timelog Input'!B145="","",'① Timelog Input'!L145)</f>
        <v>--</v>
      </c>
      <c r="R145" s="46" t="str">
        <f>IF('① Timelog Input'!B145="","",IF(NOT(ISNUMBER(L145)),"No Data",IF(L145&gt;=Settings!B13,"HIGH",IF(L145&gt;=Settings!B14,"MEDIUM","LOW"))))</f>
        <v>LOW</v>
      </c>
    </row>
    <row r="146" spans="1:18" ht="15" customHeight="1" x14ac:dyDescent="0.2">
      <c r="A146" s="46" t="str">
        <f>IF('① Timelog Input'!B146="","",ROW()-3)</f>
        <v/>
      </c>
      <c r="B146" s="46" t="str">
        <f>IF('① Timelog Input'!B146="","",'① Timelog Input'!C146)</f>
        <v/>
      </c>
      <c r="C146" s="46" t="str">
        <f>IF('① Timelog Input'!B146="","",'① Timelog Input'!B146)</f>
        <v/>
      </c>
      <c r="D146" s="46" t="str">
        <f>IF('① Timelog Input'!B146="","",'① Timelog Input'!F146)</f>
        <v/>
      </c>
      <c r="E146" s="46" t="str">
        <f>IF('① Timelog Input'!B146="","",'① Timelog Input'!G146)</f>
        <v/>
      </c>
      <c r="F146" s="46" t="str">
        <f>IF('① Timelog Input'!B146="","",'① Timelog Input'!H146)</f>
        <v/>
      </c>
      <c r="G146" s="46" t="str">
        <f>IF('① Timelog Input'!B146="","",'① Timelog Input'!E146)</f>
        <v/>
      </c>
      <c r="H146" s="46" t="str">
        <f>IF('① Timelog Input'!B146="","",'① Timelog Input'!D146)</f>
        <v/>
      </c>
      <c r="I146" s="46" t="str">
        <f>IF('① Timelog Input'!B146="","",IF(ISNUMBER('① Timelog Input'!I146),'① Timelog Input'!I146,0))</f>
        <v/>
      </c>
      <c r="J146" s="46" t="str">
        <f>IF('① Timelog Input'!B146="","",IF(ISNUMBER('① Timelog Input'!J146),'① Timelog Input'!J146,0))</f>
        <v/>
      </c>
      <c r="K146" s="46" t="str">
        <f>IF('① Timelog Input'!B146="","",Settings!B6)</f>
        <v/>
      </c>
      <c r="L146" s="48" t="str">
        <f>IF(OR('① Timelog Input'!B146="",K146=0),"",J146/K146)</f>
        <v/>
      </c>
      <c r="M146" s="49" t="str">
        <f>IF('① Timelog Input'!B146="","",IFERROR(VLOOKUP(B146,'② Salary Input'!A:V,14,FALSE()),0))</f>
        <v/>
      </c>
      <c r="N146" s="49" t="str">
        <f>IF('① Timelog Input'!B146="","",IFERROR(VLOOKUP(B146,'② Salary Input'!A:V,10,FALSE()),0))</f>
        <v/>
      </c>
      <c r="O146" s="49" t="str">
        <f>IF('① Timelog Input'!B146="","",IF(AND(D146="Remote",N146&gt;0),N146,IF(K146=0,0,M146/K146)))</f>
        <v/>
      </c>
      <c r="P146" s="49" t="str">
        <f>IF(OR('① Timelog Input'!B146="",J146=0),"",M146/J146)</f>
        <v/>
      </c>
      <c r="Q146" s="46" t="str">
        <f>IF('① Timelog Input'!B146="","",'① Timelog Input'!L146)</f>
        <v/>
      </c>
      <c r="R146" s="46" t="str">
        <f>IF('① Timelog Input'!B146="","",IF(NOT(ISNUMBER(L146)),"No Data",IF(L146&gt;=Settings!B13,"HIGH",IF(L146&gt;=Settings!B14,"MEDIUM","LOW"))))</f>
        <v/>
      </c>
    </row>
    <row r="147" spans="1:18" ht="15" customHeight="1" x14ac:dyDescent="0.2">
      <c r="A147" s="46" t="str">
        <f>IF('① Timelog Input'!B147="","",ROW()-3)</f>
        <v/>
      </c>
      <c r="B147" s="46" t="str">
        <f>IF('① Timelog Input'!B147="","",'① Timelog Input'!C147)</f>
        <v/>
      </c>
      <c r="C147" s="46" t="str">
        <f>IF('① Timelog Input'!B147="","",'① Timelog Input'!B147)</f>
        <v/>
      </c>
      <c r="D147" s="46" t="str">
        <f>IF('① Timelog Input'!B147="","",'① Timelog Input'!F147)</f>
        <v/>
      </c>
      <c r="E147" s="46" t="str">
        <f>IF('① Timelog Input'!B147="","",'① Timelog Input'!G147)</f>
        <v/>
      </c>
      <c r="F147" s="46" t="str">
        <f>IF('① Timelog Input'!B147="","",'① Timelog Input'!H147)</f>
        <v/>
      </c>
      <c r="G147" s="46" t="str">
        <f>IF('① Timelog Input'!B147="","",'① Timelog Input'!E147)</f>
        <v/>
      </c>
      <c r="H147" s="46" t="str">
        <f>IF('① Timelog Input'!B147="","",'① Timelog Input'!D147)</f>
        <v/>
      </c>
      <c r="I147" s="46" t="str">
        <f>IF('① Timelog Input'!B147="","",IF(ISNUMBER('① Timelog Input'!I147),'① Timelog Input'!I147,0))</f>
        <v/>
      </c>
      <c r="J147" s="46" t="str">
        <f>IF('① Timelog Input'!B147="","",IF(ISNUMBER('① Timelog Input'!J147),'① Timelog Input'!J147,0))</f>
        <v/>
      </c>
      <c r="K147" s="46" t="str">
        <f>IF('① Timelog Input'!B147="","",Settings!B6)</f>
        <v/>
      </c>
      <c r="L147" s="48" t="str">
        <f>IF(OR('① Timelog Input'!B147="",K147=0),"",J147/K147)</f>
        <v/>
      </c>
      <c r="M147" s="49" t="str">
        <f>IF('① Timelog Input'!B147="","",IFERROR(VLOOKUP(B147,'② Salary Input'!A:V,14,FALSE()),0))</f>
        <v/>
      </c>
      <c r="N147" s="49" t="str">
        <f>IF('① Timelog Input'!B147="","",IFERROR(VLOOKUP(B147,'② Salary Input'!A:V,10,FALSE()),0))</f>
        <v/>
      </c>
      <c r="O147" s="49" t="str">
        <f>IF('① Timelog Input'!B147="","",IF(AND(D147="Remote",N147&gt;0),N147,IF(K147=0,0,M147/K147)))</f>
        <v/>
      </c>
      <c r="P147" s="49" t="str">
        <f>IF(OR('① Timelog Input'!B147="",J147=0),"",M147/J147)</f>
        <v/>
      </c>
      <c r="Q147" s="46" t="str">
        <f>IF('① Timelog Input'!B147="","",'① Timelog Input'!L147)</f>
        <v/>
      </c>
      <c r="R147" s="46" t="str">
        <f>IF('① Timelog Input'!B147="","",IF(NOT(ISNUMBER(L147)),"No Data",IF(L147&gt;=Settings!B13,"HIGH",IF(L147&gt;=Settings!B14,"MEDIUM","LOW"))))</f>
        <v/>
      </c>
    </row>
    <row r="148" spans="1:18" ht="15" customHeight="1" x14ac:dyDescent="0.2">
      <c r="A148" s="46" t="str">
        <f>IF('① Timelog Input'!B148="","",ROW()-3)</f>
        <v/>
      </c>
      <c r="B148" s="46" t="str">
        <f>IF('① Timelog Input'!B148="","",'① Timelog Input'!C148)</f>
        <v/>
      </c>
      <c r="C148" s="46" t="str">
        <f>IF('① Timelog Input'!B148="","",'① Timelog Input'!B148)</f>
        <v/>
      </c>
      <c r="D148" s="46" t="str">
        <f>IF('① Timelog Input'!B148="","",'① Timelog Input'!F148)</f>
        <v/>
      </c>
      <c r="E148" s="46" t="str">
        <f>IF('① Timelog Input'!B148="","",'① Timelog Input'!G148)</f>
        <v/>
      </c>
      <c r="F148" s="46" t="str">
        <f>IF('① Timelog Input'!B148="","",'① Timelog Input'!H148)</f>
        <v/>
      </c>
      <c r="G148" s="46" t="str">
        <f>IF('① Timelog Input'!B148="","",'① Timelog Input'!E148)</f>
        <v/>
      </c>
      <c r="H148" s="46" t="str">
        <f>IF('① Timelog Input'!B148="","",'① Timelog Input'!D148)</f>
        <v/>
      </c>
      <c r="I148" s="46" t="str">
        <f>IF('① Timelog Input'!B148="","",IF(ISNUMBER('① Timelog Input'!I148),'① Timelog Input'!I148,0))</f>
        <v/>
      </c>
      <c r="J148" s="46" t="str">
        <f>IF('① Timelog Input'!B148="","",IF(ISNUMBER('① Timelog Input'!J148),'① Timelog Input'!J148,0))</f>
        <v/>
      </c>
      <c r="K148" s="46" t="str">
        <f>IF('① Timelog Input'!B148="","",Settings!B6)</f>
        <v/>
      </c>
      <c r="L148" s="48" t="str">
        <f>IF(OR('① Timelog Input'!B148="",K148=0),"",J148/K148)</f>
        <v/>
      </c>
      <c r="M148" s="49" t="str">
        <f>IF('① Timelog Input'!B148="","",IFERROR(VLOOKUP(B148,'② Salary Input'!A:V,14,FALSE()),0))</f>
        <v/>
      </c>
      <c r="N148" s="49" t="str">
        <f>IF('① Timelog Input'!B148="","",IFERROR(VLOOKUP(B148,'② Salary Input'!A:V,10,FALSE()),0))</f>
        <v/>
      </c>
      <c r="O148" s="49" t="str">
        <f>IF('① Timelog Input'!B148="","",IF(AND(D148="Remote",N148&gt;0),N148,IF(K148=0,0,M148/K148)))</f>
        <v/>
      </c>
      <c r="P148" s="49" t="str">
        <f>IF(OR('① Timelog Input'!B148="",J148=0),"",M148/J148)</f>
        <v/>
      </c>
      <c r="Q148" s="46" t="str">
        <f>IF('① Timelog Input'!B148="","",'① Timelog Input'!L148)</f>
        <v/>
      </c>
      <c r="R148" s="46" t="str">
        <f>IF('① Timelog Input'!B148="","",IF(NOT(ISNUMBER(L148)),"No Data",IF(L148&gt;=Settings!B13,"HIGH",IF(L148&gt;=Settings!B14,"MEDIUM","LOW"))))</f>
        <v/>
      </c>
    </row>
    <row r="149" spans="1:18" ht="15" customHeight="1" x14ac:dyDescent="0.2">
      <c r="A149" s="46" t="str">
        <f>IF('① Timelog Input'!B149="","",ROW()-3)</f>
        <v/>
      </c>
      <c r="B149" s="46" t="str">
        <f>IF('① Timelog Input'!B149="","",'① Timelog Input'!C149)</f>
        <v/>
      </c>
      <c r="C149" s="46" t="str">
        <f>IF('① Timelog Input'!B149="","",'① Timelog Input'!B149)</f>
        <v/>
      </c>
      <c r="D149" s="46" t="str">
        <f>IF('① Timelog Input'!B149="","",'① Timelog Input'!F149)</f>
        <v/>
      </c>
      <c r="E149" s="46" t="str">
        <f>IF('① Timelog Input'!B149="","",'① Timelog Input'!G149)</f>
        <v/>
      </c>
      <c r="F149" s="46" t="str">
        <f>IF('① Timelog Input'!B149="","",'① Timelog Input'!H149)</f>
        <v/>
      </c>
      <c r="G149" s="46" t="str">
        <f>IF('① Timelog Input'!B149="","",'① Timelog Input'!E149)</f>
        <v/>
      </c>
      <c r="H149" s="46" t="str">
        <f>IF('① Timelog Input'!B149="","",'① Timelog Input'!D149)</f>
        <v/>
      </c>
      <c r="I149" s="46" t="str">
        <f>IF('① Timelog Input'!B149="","",IF(ISNUMBER('① Timelog Input'!I149),'① Timelog Input'!I149,0))</f>
        <v/>
      </c>
      <c r="J149" s="46" t="str">
        <f>IF('① Timelog Input'!B149="","",IF(ISNUMBER('① Timelog Input'!J149),'① Timelog Input'!J149,0))</f>
        <v/>
      </c>
      <c r="K149" s="46" t="str">
        <f>IF('① Timelog Input'!B149="","",Settings!B6)</f>
        <v/>
      </c>
      <c r="L149" s="48" t="str">
        <f>IF(OR('① Timelog Input'!B149="",K149=0),"",J149/K149)</f>
        <v/>
      </c>
      <c r="M149" s="49" t="str">
        <f>IF('① Timelog Input'!B149="","",IFERROR(VLOOKUP(B149,'② Salary Input'!A:V,14,FALSE()),0))</f>
        <v/>
      </c>
      <c r="N149" s="49" t="str">
        <f>IF('① Timelog Input'!B149="","",IFERROR(VLOOKUP(B149,'② Salary Input'!A:V,10,FALSE()),0))</f>
        <v/>
      </c>
      <c r="O149" s="49" t="str">
        <f>IF('① Timelog Input'!B149="","",IF(AND(D149="Remote",N149&gt;0),N149,IF(K149=0,0,M149/K149)))</f>
        <v/>
      </c>
      <c r="P149" s="49" t="str">
        <f>IF(OR('① Timelog Input'!B149="",J149=0),"",M149/J149)</f>
        <v/>
      </c>
      <c r="Q149" s="46" t="str">
        <f>IF('① Timelog Input'!B149="","",'① Timelog Input'!L149)</f>
        <v/>
      </c>
      <c r="R149" s="46" t="str">
        <f>IF('① Timelog Input'!B149="","",IF(NOT(ISNUMBER(L149)),"No Data",IF(L149&gt;=Settings!B13,"HIGH",IF(L149&gt;=Settings!B14,"MEDIUM","LOW"))))</f>
        <v/>
      </c>
    </row>
    <row r="150" spans="1:18" ht="15" customHeight="1" x14ac:dyDescent="0.2">
      <c r="A150" s="46" t="str">
        <f>IF('① Timelog Input'!B150="","",ROW()-3)</f>
        <v/>
      </c>
      <c r="B150" s="46" t="str">
        <f>IF('① Timelog Input'!B150="","",'① Timelog Input'!C150)</f>
        <v/>
      </c>
      <c r="C150" s="46" t="str">
        <f>IF('① Timelog Input'!B150="","",'① Timelog Input'!B150)</f>
        <v/>
      </c>
      <c r="D150" s="46" t="str">
        <f>IF('① Timelog Input'!B150="","",'① Timelog Input'!F150)</f>
        <v/>
      </c>
      <c r="E150" s="46" t="str">
        <f>IF('① Timelog Input'!B150="","",'① Timelog Input'!G150)</f>
        <v/>
      </c>
      <c r="F150" s="46" t="str">
        <f>IF('① Timelog Input'!B150="","",'① Timelog Input'!H150)</f>
        <v/>
      </c>
      <c r="G150" s="46" t="str">
        <f>IF('① Timelog Input'!B150="","",'① Timelog Input'!E150)</f>
        <v/>
      </c>
      <c r="H150" s="46" t="str">
        <f>IF('① Timelog Input'!B150="","",'① Timelog Input'!D150)</f>
        <v/>
      </c>
      <c r="I150" s="46" t="str">
        <f>IF('① Timelog Input'!B150="","",IF(ISNUMBER('① Timelog Input'!I150),'① Timelog Input'!I150,0))</f>
        <v/>
      </c>
      <c r="J150" s="46" t="str">
        <f>IF('① Timelog Input'!B150="","",IF(ISNUMBER('① Timelog Input'!J150),'① Timelog Input'!J150,0))</f>
        <v/>
      </c>
      <c r="K150" s="46" t="str">
        <f>IF('① Timelog Input'!B150="","",Settings!B6)</f>
        <v/>
      </c>
      <c r="L150" s="48" t="str">
        <f>IF(OR('① Timelog Input'!B150="",K150=0),"",J150/K150)</f>
        <v/>
      </c>
      <c r="M150" s="49" t="str">
        <f>IF('① Timelog Input'!B150="","",IFERROR(VLOOKUP(B150,'② Salary Input'!A:V,14,FALSE()),0))</f>
        <v/>
      </c>
      <c r="N150" s="49" t="str">
        <f>IF('① Timelog Input'!B150="","",IFERROR(VLOOKUP(B150,'② Salary Input'!A:V,10,FALSE()),0))</f>
        <v/>
      </c>
      <c r="O150" s="49" t="str">
        <f>IF('① Timelog Input'!B150="","",IF(AND(D150="Remote",N150&gt;0),N150,IF(K150=0,0,M150/K150)))</f>
        <v/>
      </c>
      <c r="P150" s="49" t="str">
        <f>IF(OR('① Timelog Input'!B150="",J150=0),"",M150/J150)</f>
        <v/>
      </c>
      <c r="Q150" s="46" t="str">
        <f>IF('① Timelog Input'!B150="","",'① Timelog Input'!L150)</f>
        <v/>
      </c>
      <c r="R150" s="46" t="str">
        <f>IF('① Timelog Input'!B150="","",IF(NOT(ISNUMBER(L150)),"No Data",IF(L150&gt;=Settings!B13,"HIGH",IF(L150&gt;=Settings!B14,"MEDIUM","LOW"))))</f>
        <v/>
      </c>
    </row>
    <row r="151" spans="1:18" ht="15" customHeight="1" x14ac:dyDescent="0.2">
      <c r="A151" s="46" t="str">
        <f>IF('① Timelog Input'!B151="","",ROW()-3)</f>
        <v/>
      </c>
      <c r="B151" s="46" t="str">
        <f>IF('① Timelog Input'!B151="","",'① Timelog Input'!C151)</f>
        <v/>
      </c>
      <c r="C151" s="46" t="str">
        <f>IF('① Timelog Input'!B151="","",'① Timelog Input'!B151)</f>
        <v/>
      </c>
      <c r="D151" s="46" t="str">
        <f>IF('① Timelog Input'!B151="","",'① Timelog Input'!F151)</f>
        <v/>
      </c>
      <c r="E151" s="46" t="str">
        <f>IF('① Timelog Input'!B151="","",'① Timelog Input'!G151)</f>
        <v/>
      </c>
      <c r="F151" s="46" t="str">
        <f>IF('① Timelog Input'!B151="","",'① Timelog Input'!H151)</f>
        <v/>
      </c>
      <c r="G151" s="46" t="str">
        <f>IF('① Timelog Input'!B151="","",'① Timelog Input'!E151)</f>
        <v/>
      </c>
      <c r="H151" s="46" t="str">
        <f>IF('① Timelog Input'!B151="","",'① Timelog Input'!D151)</f>
        <v/>
      </c>
      <c r="I151" s="46" t="str">
        <f>IF('① Timelog Input'!B151="","",IF(ISNUMBER('① Timelog Input'!I151),'① Timelog Input'!I151,0))</f>
        <v/>
      </c>
      <c r="J151" s="46" t="str">
        <f>IF('① Timelog Input'!B151="","",IF(ISNUMBER('① Timelog Input'!J151),'① Timelog Input'!J151,0))</f>
        <v/>
      </c>
      <c r="K151" s="46" t="str">
        <f>IF('① Timelog Input'!B151="","",Settings!B6)</f>
        <v/>
      </c>
      <c r="L151" s="48" t="str">
        <f>IF(OR('① Timelog Input'!B151="",K151=0),"",J151/K151)</f>
        <v/>
      </c>
      <c r="M151" s="49" t="str">
        <f>IF('① Timelog Input'!B151="","",IFERROR(VLOOKUP(B151,'② Salary Input'!A:V,14,FALSE()),0))</f>
        <v/>
      </c>
      <c r="N151" s="49" t="str">
        <f>IF('① Timelog Input'!B151="","",IFERROR(VLOOKUP(B151,'② Salary Input'!A:V,10,FALSE()),0))</f>
        <v/>
      </c>
      <c r="O151" s="49" t="str">
        <f>IF('① Timelog Input'!B151="","",IF(AND(D151="Remote",N151&gt;0),N151,IF(K151=0,0,M151/K151)))</f>
        <v/>
      </c>
      <c r="P151" s="49" t="str">
        <f>IF(OR('① Timelog Input'!B151="",J151=0),"",M151/J151)</f>
        <v/>
      </c>
      <c r="Q151" s="46" t="str">
        <f>IF('① Timelog Input'!B151="","",'① Timelog Input'!L151)</f>
        <v/>
      </c>
      <c r="R151" s="46" t="str">
        <f>IF('① Timelog Input'!B151="","",IF(NOT(ISNUMBER(L151)),"No Data",IF(L151&gt;=Settings!B13,"HIGH",IF(L151&gt;=Settings!B14,"MEDIUM","LOW"))))</f>
        <v/>
      </c>
    </row>
    <row r="152" spans="1:18" ht="15" customHeight="1" x14ac:dyDescent="0.2">
      <c r="A152" s="46" t="str">
        <f>IF('① Timelog Input'!B152="","",ROW()-3)</f>
        <v/>
      </c>
      <c r="B152" s="46" t="str">
        <f>IF('① Timelog Input'!B152="","",'① Timelog Input'!C152)</f>
        <v/>
      </c>
      <c r="C152" s="46" t="str">
        <f>IF('① Timelog Input'!B152="","",'① Timelog Input'!B152)</f>
        <v/>
      </c>
      <c r="D152" s="46" t="str">
        <f>IF('① Timelog Input'!B152="","",'① Timelog Input'!F152)</f>
        <v/>
      </c>
      <c r="E152" s="46" t="str">
        <f>IF('① Timelog Input'!B152="","",'① Timelog Input'!G152)</f>
        <v/>
      </c>
      <c r="F152" s="46" t="str">
        <f>IF('① Timelog Input'!B152="","",'① Timelog Input'!H152)</f>
        <v/>
      </c>
      <c r="G152" s="46" t="str">
        <f>IF('① Timelog Input'!B152="","",'① Timelog Input'!E152)</f>
        <v/>
      </c>
      <c r="H152" s="46" t="str">
        <f>IF('① Timelog Input'!B152="","",'① Timelog Input'!D152)</f>
        <v/>
      </c>
      <c r="I152" s="46" t="str">
        <f>IF('① Timelog Input'!B152="","",IF(ISNUMBER('① Timelog Input'!I152),'① Timelog Input'!I152,0))</f>
        <v/>
      </c>
      <c r="J152" s="46" t="str">
        <f>IF('① Timelog Input'!B152="","",IF(ISNUMBER('① Timelog Input'!J152),'① Timelog Input'!J152,0))</f>
        <v/>
      </c>
      <c r="K152" s="46" t="str">
        <f>IF('① Timelog Input'!B152="","",Settings!B6)</f>
        <v/>
      </c>
      <c r="L152" s="48" t="str">
        <f>IF(OR('① Timelog Input'!B152="",K152=0),"",J152/K152)</f>
        <v/>
      </c>
      <c r="M152" s="49" t="str">
        <f>IF('① Timelog Input'!B152="","",IFERROR(VLOOKUP(B152,'② Salary Input'!A:V,14,FALSE()),0))</f>
        <v/>
      </c>
      <c r="N152" s="49" t="str">
        <f>IF('① Timelog Input'!B152="","",IFERROR(VLOOKUP(B152,'② Salary Input'!A:V,10,FALSE()),0))</f>
        <v/>
      </c>
      <c r="O152" s="49" t="str">
        <f>IF('① Timelog Input'!B152="","",IF(AND(D152="Remote",N152&gt;0),N152,IF(K152=0,0,M152/K152)))</f>
        <v/>
      </c>
      <c r="P152" s="49" t="str">
        <f>IF(OR('① Timelog Input'!B152="",J152=0),"",M152/J152)</f>
        <v/>
      </c>
      <c r="Q152" s="46" t="str">
        <f>IF('① Timelog Input'!B152="","",'① Timelog Input'!L152)</f>
        <v/>
      </c>
      <c r="R152" s="46" t="str">
        <f>IF('① Timelog Input'!B152="","",IF(NOT(ISNUMBER(L152)),"No Data",IF(L152&gt;=Settings!B13,"HIGH",IF(L152&gt;=Settings!B14,"MEDIUM","LOW"))))</f>
        <v/>
      </c>
    </row>
    <row r="153" spans="1:18" ht="15" customHeight="1" x14ac:dyDescent="0.2">
      <c r="A153" s="46" t="str">
        <f>IF('① Timelog Input'!B153="","",ROW()-3)</f>
        <v/>
      </c>
      <c r="B153" s="46" t="str">
        <f>IF('① Timelog Input'!B153="","",'① Timelog Input'!C153)</f>
        <v/>
      </c>
      <c r="C153" s="46" t="str">
        <f>IF('① Timelog Input'!B153="","",'① Timelog Input'!B153)</f>
        <v/>
      </c>
      <c r="D153" s="46" t="str">
        <f>IF('① Timelog Input'!B153="","",'① Timelog Input'!F153)</f>
        <v/>
      </c>
      <c r="E153" s="46" t="str">
        <f>IF('① Timelog Input'!B153="","",'① Timelog Input'!G153)</f>
        <v/>
      </c>
      <c r="F153" s="46" t="str">
        <f>IF('① Timelog Input'!B153="","",'① Timelog Input'!H153)</f>
        <v/>
      </c>
      <c r="G153" s="46" t="str">
        <f>IF('① Timelog Input'!B153="","",'① Timelog Input'!E153)</f>
        <v/>
      </c>
      <c r="H153" s="46" t="str">
        <f>IF('① Timelog Input'!B153="","",'① Timelog Input'!D153)</f>
        <v/>
      </c>
      <c r="I153" s="46" t="str">
        <f>IF('① Timelog Input'!B153="","",IF(ISNUMBER('① Timelog Input'!I153),'① Timelog Input'!I153,0))</f>
        <v/>
      </c>
      <c r="J153" s="46" t="str">
        <f>IF('① Timelog Input'!B153="","",IF(ISNUMBER('① Timelog Input'!J153),'① Timelog Input'!J153,0))</f>
        <v/>
      </c>
      <c r="K153" s="46" t="str">
        <f>IF('① Timelog Input'!B153="","",Settings!B6)</f>
        <v/>
      </c>
      <c r="L153" s="48" t="str">
        <f>IF(OR('① Timelog Input'!B153="",K153=0),"",J153/K153)</f>
        <v/>
      </c>
      <c r="M153" s="49" t="str">
        <f>IF('① Timelog Input'!B153="","",IFERROR(VLOOKUP(B153,'② Salary Input'!A:V,14,FALSE()),0))</f>
        <v/>
      </c>
      <c r="N153" s="49" t="str">
        <f>IF('① Timelog Input'!B153="","",IFERROR(VLOOKUP(B153,'② Salary Input'!A:V,10,FALSE()),0))</f>
        <v/>
      </c>
      <c r="O153" s="49" t="str">
        <f>IF('① Timelog Input'!B153="","",IF(AND(D153="Remote",N153&gt;0),N153,IF(K153=0,0,M153/K153)))</f>
        <v/>
      </c>
      <c r="P153" s="49" t="str">
        <f>IF(OR('① Timelog Input'!B153="",J153=0),"",M153/J153)</f>
        <v/>
      </c>
      <c r="Q153" s="46" t="str">
        <f>IF('① Timelog Input'!B153="","",'① Timelog Input'!L153)</f>
        <v/>
      </c>
      <c r="R153" s="46" t="str">
        <f>IF('① Timelog Input'!B153="","",IF(NOT(ISNUMBER(L153)),"No Data",IF(L153&gt;=Settings!B13,"HIGH",IF(L153&gt;=Settings!B14,"MEDIUM","LOW"))))</f>
        <v/>
      </c>
    </row>
    <row r="154" spans="1:18" ht="15" customHeight="1" x14ac:dyDescent="0.2">
      <c r="A154" s="46" t="str">
        <f>IF('① Timelog Input'!B154="","",ROW()-3)</f>
        <v/>
      </c>
      <c r="B154" s="46" t="str">
        <f>IF('① Timelog Input'!B154="","",'① Timelog Input'!C154)</f>
        <v/>
      </c>
      <c r="C154" s="46" t="str">
        <f>IF('① Timelog Input'!B154="","",'① Timelog Input'!B154)</f>
        <v/>
      </c>
      <c r="D154" s="46" t="str">
        <f>IF('① Timelog Input'!B154="","",'① Timelog Input'!F154)</f>
        <v/>
      </c>
      <c r="E154" s="46" t="str">
        <f>IF('① Timelog Input'!B154="","",'① Timelog Input'!G154)</f>
        <v/>
      </c>
      <c r="F154" s="46" t="str">
        <f>IF('① Timelog Input'!B154="","",'① Timelog Input'!H154)</f>
        <v/>
      </c>
      <c r="G154" s="46" t="str">
        <f>IF('① Timelog Input'!B154="","",'① Timelog Input'!E154)</f>
        <v/>
      </c>
      <c r="H154" s="46" t="str">
        <f>IF('① Timelog Input'!B154="","",'① Timelog Input'!D154)</f>
        <v/>
      </c>
      <c r="I154" s="46" t="str">
        <f>IF('① Timelog Input'!B154="","",IF(ISNUMBER('① Timelog Input'!I154),'① Timelog Input'!I154,0))</f>
        <v/>
      </c>
      <c r="J154" s="46" t="str">
        <f>IF('① Timelog Input'!B154="","",IF(ISNUMBER('① Timelog Input'!J154),'① Timelog Input'!J154,0))</f>
        <v/>
      </c>
      <c r="K154" s="46" t="str">
        <f>IF('① Timelog Input'!B154="","",Settings!B6)</f>
        <v/>
      </c>
      <c r="L154" s="48" t="str">
        <f>IF(OR('① Timelog Input'!B154="",K154=0),"",J154/K154)</f>
        <v/>
      </c>
      <c r="M154" s="49" t="str">
        <f>IF('① Timelog Input'!B154="","",IFERROR(VLOOKUP(B154,'② Salary Input'!A:V,14,FALSE()),0))</f>
        <v/>
      </c>
      <c r="N154" s="49" t="str">
        <f>IF('① Timelog Input'!B154="","",IFERROR(VLOOKUP(B154,'② Salary Input'!A:V,10,FALSE()),0))</f>
        <v/>
      </c>
      <c r="O154" s="49" t="str">
        <f>IF('① Timelog Input'!B154="","",IF(AND(D154="Remote",N154&gt;0),N154,IF(K154=0,0,M154/K154)))</f>
        <v/>
      </c>
      <c r="P154" s="49" t="str">
        <f>IF(OR('① Timelog Input'!B154="",J154=0),"",M154/J154)</f>
        <v/>
      </c>
      <c r="Q154" s="46" t="str">
        <f>IF('① Timelog Input'!B154="","",'① Timelog Input'!L154)</f>
        <v/>
      </c>
      <c r="R154" s="46" t="str">
        <f>IF('① Timelog Input'!B154="","",IF(NOT(ISNUMBER(L154)),"No Data",IF(L154&gt;=Settings!B13,"HIGH",IF(L154&gt;=Settings!B14,"MEDIUM","LOW"))))</f>
        <v/>
      </c>
    </row>
    <row r="155" spans="1:18" ht="15" customHeight="1" x14ac:dyDescent="0.2">
      <c r="A155" s="46" t="str">
        <f>IF('① Timelog Input'!B155="","",ROW()-3)</f>
        <v/>
      </c>
      <c r="B155" s="46" t="str">
        <f>IF('① Timelog Input'!B155="","",'① Timelog Input'!C155)</f>
        <v/>
      </c>
      <c r="C155" s="46" t="str">
        <f>IF('① Timelog Input'!B155="","",'① Timelog Input'!B155)</f>
        <v/>
      </c>
      <c r="D155" s="46" t="str">
        <f>IF('① Timelog Input'!B155="","",'① Timelog Input'!F155)</f>
        <v/>
      </c>
      <c r="E155" s="46" t="str">
        <f>IF('① Timelog Input'!B155="","",'① Timelog Input'!G155)</f>
        <v/>
      </c>
      <c r="F155" s="46" t="str">
        <f>IF('① Timelog Input'!B155="","",'① Timelog Input'!H155)</f>
        <v/>
      </c>
      <c r="G155" s="46" t="str">
        <f>IF('① Timelog Input'!B155="","",'① Timelog Input'!E155)</f>
        <v/>
      </c>
      <c r="H155" s="46" t="str">
        <f>IF('① Timelog Input'!B155="","",'① Timelog Input'!D155)</f>
        <v/>
      </c>
      <c r="I155" s="46" t="str">
        <f>IF('① Timelog Input'!B155="","",IF(ISNUMBER('① Timelog Input'!I155),'① Timelog Input'!I155,0))</f>
        <v/>
      </c>
      <c r="J155" s="46" t="str">
        <f>IF('① Timelog Input'!B155="","",IF(ISNUMBER('① Timelog Input'!J155),'① Timelog Input'!J155,0))</f>
        <v/>
      </c>
      <c r="K155" s="46" t="str">
        <f>IF('① Timelog Input'!B155="","",Settings!B6)</f>
        <v/>
      </c>
      <c r="L155" s="48" t="str">
        <f>IF(OR('① Timelog Input'!B155="",K155=0),"",J155/K155)</f>
        <v/>
      </c>
      <c r="M155" s="49" t="str">
        <f>IF('① Timelog Input'!B155="","",IFERROR(VLOOKUP(B155,'② Salary Input'!A:V,14,FALSE()),0))</f>
        <v/>
      </c>
      <c r="N155" s="49" t="str">
        <f>IF('① Timelog Input'!B155="","",IFERROR(VLOOKUP(B155,'② Salary Input'!A:V,10,FALSE()),0))</f>
        <v/>
      </c>
      <c r="O155" s="49" t="str">
        <f>IF('① Timelog Input'!B155="","",IF(AND(D155="Remote",N155&gt;0),N155,IF(K155=0,0,M155/K155)))</f>
        <v/>
      </c>
      <c r="P155" s="49" t="str">
        <f>IF(OR('① Timelog Input'!B155="",J155=0),"",M155/J155)</f>
        <v/>
      </c>
      <c r="Q155" s="46" t="str">
        <f>IF('① Timelog Input'!B155="","",'① Timelog Input'!L155)</f>
        <v/>
      </c>
      <c r="R155" s="46" t="str">
        <f>IF('① Timelog Input'!B155="","",IF(NOT(ISNUMBER(L155)),"No Data",IF(L155&gt;=Settings!B13,"HIGH",IF(L155&gt;=Settings!B14,"MEDIUM","LOW"))))</f>
        <v/>
      </c>
    </row>
    <row r="156" spans="1:18" ht="15" customHeight="1" x14ac:dyDescent="0.2">
      <c r="A156" s="46" t="str">
        <f>IF('① Timelog Input'!B156="","",ROW()-3)</f>
        <v/>
      </c>
      <c r="B156" s="46" t="str">
        <f>IF('① Timelog Input'!B156="","",'① Timelog Input'!C156)</f>
        <v/>
      </c>
      <c r="C156" s="46" t="str">
        <f>IF('① Timelog Input'!B156="","",'① Timelog Input'!B156)</f>
        <v/>
      </c>
      <c r="D156" s="46" t="str">
        <f>IF('① Timelog Input'!B156="","",'① Timelog Input'!F156)</f>
        <v/>
      </c>
      <c r="E156" s="46" t="str">
        <f>IF('① Timelog Input'!B156="","",'① Timelog Input'!G156)</f>
        <v/>
      </c>
      <c r="F156" s="46" t="str">
        <f>IF('① Timelog Input'!B156="","",'① Timelog Input'!H156)</f>
        <v/>
      </c>
      <c r="G156" s="46" t="str">
        <f>IF('① Timelog Input'!B156="","",'① Timelog Input'!E156)</f>
        <v/>
      </c>
      <c r="H156" s="46" t="str">
        <f>IF('① Timelog Input'!B156="","",'① Timelog Input'!D156)</f>
        <v/>
      </c>
      <c r="I156" s="46" t="str">
        <f>IF('① Timelog Input'!B156="","",IF(ISNUMBER('① Timelog Input'!I156),'① Timelog Input'!I156,0))</f>
        <v/>
      </c>
      <c r="J156" s="46" t="str">
        <f>IF('① Timelog Input'!B156="","",IF(ISNUMBER('① Timelog Input'!J156),'① Timelog Input'!J156,0))</f>
        <v/>
      </c>
      <c r="K156" s="46" t="str">
        <f>IF('① Timelog Input'!B156="","",Settings!B6)</f>
        <v/>
      </c>
      <c r="L156" s="48" t="str">
        <f>IF(OR('① Timelog Input'!B156="",K156=0),"",J156/K156)</f>
        <v/>
      </c>
      <c r="M156" s="49" t="str">
        <f>IF('① Timelog Input'!B156="","",IFERROR(VLOOKUP(B156,'② Salary Input'!A:V,14,FALSE()),0))</f>
        <v/>
      </c>
      <c r="N156" s="49" t="str">
        <f>IF('① Timelog Input'!B156="","",IFERROR(VLOOKUP(B156,'② Salary Input'!A:V,10,FALSE()),0))</f>
        <v/>
      </c>
      <c r="O156" s="49" t="str">
        <f>IF('① Timelog Input'!B156="","",IF(AND(D156="Remote",N156&gt;0),N156,IF(K156=0,0,M156/K156)))</f>
        <v/>
      </c>
      <c r="P156" s="49" t="str">
        <f>IF(OR('① Timelog Input'!B156="",J156=0),"",M156/J156)</f>
        <v/>
      </c>
      <c r="Q156" s="46" t="str">
        <f>IF('① Timelog Input'!B156="","",'① Timelog Input'!L156)</f>
        <v/>
      </c>
      <c r="R156" s="46" t="str">
        <f>IF('① Timelog Input'!B156="","",IF(NOT(ISNUMBER(L156)),"No Data",IF(L156&gt;=Settings!B13,"HIGH",IF(L156&gt;=Settings!B14,"MEDIUM","LOW"))))</f>
        <v/>
      </c>
    </row>
    <row r="157" spans="1:18" ht="15" customHeight="1" x14ac:dyDescent="0.2">
      <c r="A157" s="46" t="str">
        <f>IF('① Timelog Input'!B157="","",ROW()-3)</f>
        <v/>
      </c>
      <c r="B157" s="46" t="str">
        <f>IF('① Timelog Input'!B157="","",'① Timelog Input'!C157)</f>
        <v/>
      </c>
      <c r="C157" s="46" t="str">
        <f>IF('① Timelog Input'!B157="","",'① Timelog Input'!B157)</f>
        <v/>
      </c>
      <c r="D157" s="46" t="str">
        <f>IF('① Timelog Input'!B157="","",'① Timelog Input'!F157)</f>
        <v/>
      </c>
      <c r="E157" s="46" t="str">
        <f>IF('① Timelog Input'!B157="","",'① Timelog Input'!G157)</f>
        <v/>
      </c>
      <c r="F157" s="46" t="str">
        <f>IF('① Timelog Input'!B157="","",'① Timelog Input'!H157)</f>
        <v/>
      </c>
      <c r="G157" s="46" t="str">
        <f>IF('① Timelog Input'!B157="","",'① Timelog Input'!E157)</f>
        <v/>
      </c>
      <c r="H157" s="46" t="str">
        <f>IF('① Timelog Input'!B157="","",'① Timelog Input'!D157)</f>
        <v/>
      </c>
      <c r="I157" s="46" t="str">
        <f>IF('① Timelog Input'!B157="","",IF(ISNUMBER('① Timelog Input'!I157),'① Timelog Input'!I157,0))</f>
        <v/>
      </c>
      <c r="J157" s="46" t="str">
        <f>IF('① Timelog Input'!B157="","",IF(ISNUMBER('① Timelog Input'!J157),'① Timelog Input'!J157,0))</f>
        <v/>
      </c>
      <c r="K157" s="46" t="str">
        <f>IF('① Timelog Input'!B157="","",Settings!B6)</f>
        <v/>
      </c>
      <c r="L157" s="48" t="str">
        <f>IF(OR('① Timelog Input'!B157="",K157=0),"",J157/K157)</f>
        <v/>
      </c>
      <c r="M157" s="49" t="str">
        <f>IF('① Timelog Input'!B157="","",IFERROR(VLOOKUP(B157,'② Salary Input'!A:V,14,FALSE()),0))</f>
        <v/>
      </c>
      <c r="N157" s="49" t="str">
        <f>IF('① Timelog Input'!B157="","",IFERROR(VLOOKUP(B157,'② Salary Input'!A:V,10,FALSE()),0))</f>
        <v/>
      </c>
      <c r="O157" s="49" t="str">
        <f>IF('① Timelog Input'!B157="","",IF(AND(D157="Remote",N157&gt;0),N157,IF(K157=0,0,M157/K157)))</f>
        <v/>
      </c>
      <c r="P157" s="49" t="str">
        <f>IF(OR('① Timelog Input'!B157="",J157=0),"",M157/J157)</f>
        <v/>
      </c>
      <c r="Q157" s="46" t="str">
        <f>IF('① Timelog Input'!B157="","",'① Timelog Input'!L157)</f>
        <v/>
      </c>
      <c r="R157" s="46" t="str">
        <f>IF('① Timelog Input'!B157="","",IF(NOT(ISNUMBER(L157)),"No Data",IF(L157&gt;=Settings!B13,"HIGH",IF(L157&gt;=Settings!B14,"MEDIUM","LOW"))))</f>
        <v/>
      </c>
    </row>
    <row r="158" spans="1:18" ht="15" customHeight="1" x14ac:dyDescent="0.2">
      <c r="A158" s="46" t="str">
        <f>IF('① Timelog Input'!B158="","",ROW()-3)</f>
        <v/>
      </c>
      <c r="B158" s="46" t="str">
        <f>IF('① Timelog Input'!B158="","",'① Timelog Input'!C158)</f>
        <v/>
      </c>
      <c r="C158" s="46" t="str">
        <f>IF('① Timelog Input'!B158="","",'① Timelog Input'!B158)</f>
        <v/>
      </c>
      <c r="D158" s="46" t="str">
        <f>IF('① Timelog Input'!B158="","",'① Timelog Input'!F158)</f>
        <v/>
      </c>
      <c r="E158" s="46" t="str">
        <f>IF('① Timelog Input'!B158="","",'① Timelog Input'!G158)</f>
        <v/>
      </c>
      <c r="F158" s="46" t="str">
        <f>IF('① Timelog Input'!B158="","",'① Timelog Input'!H158)</f>
        <v/>
      </c>
      <c r="G158" s="46" t="str">
        <f>IF('① Timelog Input'!B158="","",'① Timelog Input'!E158)</f>
        <v/>
      </c>
      <c r="H158" s="46" t="str">
        <f>IF('① Timelog Input'!B158="","",'① Timelog Input'!D158)</f>
        <v/>
      </c>
      <c r="I158" s="46" t="str">
        <f>IF('① Timelog Input'!B158="","",IF(ISNUMBER('① Timelog Input'!I158),'① Timelog Input'!I158,0))</f>
        <v/>
      </c>
      <c r="J158" s="46" t="str">
        <f>IF('① Timelog Input'!B158="","",IF(ISNUMBER('① Timelog Input'!J158),'① Timelog Input'!J158,0))</f>
        <v/>
      </c>
      <c r="K158" s="46" t="str">
        <f>IF('① Timelog Input'!B158="","",Settings!B6)</f>
        <v/>
      </c>
      <c r="L158" s="48" t="str">
        <f>IF(OR('① Timelog Input'!B158="",K158=0),"",J158/K158)</f>
        <v/>
      </c>
      <c r="M158" s="49" t="str">
        <f>IF('① Timelog Input'!B158="","",IFERROR(VLOOKUP(B158,'② Salary Input'!A:V,14,FALSE()),0))</f>
        <v/>
      </c>
      <c r="N158" s="49" t="str">
        <f>IF('① Timelog Input'!B158="","",IFERROR(VLOOKUP(B158,'② Salary Input'!A:V,10,FALSE()),0))</f>
        <v/>
      </c>
      <c r="O158" s="49" t="str">
        <f>IF('① Timelog Input'!B158="","",IF(AND(D158="Remote",N158&gt;0),N158,IF(K158=0,0,M158/K158)))</f>
        <v/>
      </c>
      <c r="P158" s="49" t="str">
        <f>IF(OR('① Timelog Input'!B158="",J158=0),"",M158/J158)</f>
        <v/>
      </c>
      <c r="Q158" s="46" t="str">
        <f>IF('① Timelog Input'!B158="","",'① Timelog Input'!L158)</f>
        <v/>
      </c>
      <c r="R158" s="46" t="str">
        <f>IF('① Timelog Input'!B158="","",IF(NOT(ISNUMBER(L158)),"No Data",IF(L158&gt;=Settings!B13,"HIGH",IF(L158&gt;=Settings!B14,"MEDIUM","LOW"))))</f>
        <v/>
      </c>
    </row>
    <row r="159" spans="1:18" ht="15" customHeight="1" x14ac:dyDescent="0.2">
      <c r="A159" s="46" t="str">
        <f>IF('① Timelog Input'!B159="","",ROW()-3)</f>
        <v/>
      </c>
      <c r="B159" s="46" t="str">
        <f>IF('① Timelog Input'!B159="","",'① Timelog Input'!C159)</f>
        <v/>
      </c>
      <c r="C159" s="46" t="str">
        <f>IF('① Timelog Input'!B159="","",'① Timelog Input'!B159)</f>
        <v/>
      </c>
      <c r="D159" s="46" t="str">
        <f>IF('① Timelog Input'!B159="","",'① Timelog Input'!F159)</f>
        <v/>
      </c>
      <c r="E159" s="46" t="str">
        <f>IF('① Timelog Input'!B159="","",'① Timelog Input'!G159)</f>
        <v/>
      </c>
      <c r="F159" s="46" t="str">
        <f>IF('① Timelog Input'!B159="","",'① Timelog Input'!H159)</f>
        <v/>
      </c>
      <c r="G159" s="46" t="str">
        <f>IF('① Timelog Input'!B159="","",'① Timelog Input'!E159)</f>
        <v/>
      </c>
      <c r="H159" s="46" t="str">
        <f>IF('① Timelog Input'!B159="","",'① Timelog Input'!D159)</f>
        <v/>
      </c>
      <c r="I159" s="46" t="str">
        <f>IF('① Timelog Input'!B159="","",IF(ISNUMBER('① Timelog Input'!I159),'① Timelog Input'!I159,0))</f>
        <v/>
      </c>
      <c r="J159" s="46" t="str">
        <f>IF('① Timelog Input'!B159="","",IF(ISNUMBER('① Timelog Input'!J159),'① Timelog Input'!J159,0))</f>
        <v/>
      </c>
      <c r="K159" s="46" t="str">
        <f>IF('① Timelog Input'!B159="","",Settings!B6)</f>
        <v/>
      </c>
      <c r="L159" s="48" t="str">
        <f>IF(OR('① Timelog Input'!B159="",K159=0),"",J159/K159)</f>
        <v/>
      </c>
      <c r="M159" s="49" t="str">
        <f>IF('① Timelog Input'!B159="","",IFERROR(VLOOKUP(B159,'② Salary Input'!A:V,14,FALSE()),0))</f>
        <v/>
      </c>
      <c r="N159" s="49" t="str">
        <f>IF('① Timelog Input'!B159="","",IFERROR(VLOOKUP(B159,'② Salary Input'!A:V,10,FALSE()),0))</f>
        <v/>
      </c>
      <c r="O159" s="49" t="str">
        <f>IF('① Timelog Input'!B159="","",IF(AND(D159="Remote",N159&gt;0),N159,IF(K159=0,0,M159/K159)))</f>
        <v/>
      </c>
      <c r="P159" s="49" t="str">
        <f>IF(OR('① Timelog Input'!B159="",J159=0),"",M159/J159)</f>
        <v/>
      </c>
      <c r="Q159" s="46" t="str">
        <f>IF('① Timelog Input'!B159="","",'① Timelog Input'!L159)</f>
        <v/>
      </c>
      <c r="R159" s="46" t="str">
        <f>IF('① Timelog Input'!B159="","",IF(NOT(ISNUMBER(L159)),"No Data",IF(L159&gt;=Settings!B13,"HIGH",IF(L159&gt;=Settings!B14,"MEDIUM","LOW"))))</f>
        <v/>
      </c>
    </row>
    <row r="160" spans="1:18" ht="15" customHeight="1" x14ac:dyDescent="0.2">
      <c r="A160" s="46" t="str">
        <f>IF('① Timelog Input'!B160="","",ROW()-3)</f>
        <v/>
      </c>
      <c r="B160" s="46" t="str">
        <f>IF('① Timelog Input'!B160="","",'① Timelog Input'!C160)</f>
        <v/>
      </c>
      <c r="C160" s="46" t="str">
        <f>IF('① Timelog Input'!B160="","",'① Timelog Input'!B160)</f>
        <v/>
      </c>
      <c r="D160" s="46" t="str">
        <f>IF('① Timelog Input'!B160="","",'① Timelog Input'!F160)</f>
        <v/>
      </c>
      <c r="E160" s="46" t="str">
        <f>IF('① Timelog Input'!B160="","",'① Timelog Input'!G160)</f>
        <v/>
      </c>
      <c r="F160" s="46" t="str">
        <f>IF('① Timelog Input'!B160="","",'① Timelog Input'!H160)</f>
        <v/>
      </c>
      <c r="G160" s="46" t="str">
        <f>IF('① Timelog Input'!B160="","",'① Timelog Input'!E160)</f>
        <v/>
      </c>
      <c r="H160" s="46" t="str">
        <f>IF('① Timelog Input'!B160="","",'① Timelog Input'!D160)</f>
        <v/>
      </c>
      <c r="I160" s="46" t="str">
        <f>IF('① Timelog Input'!B160="","",IF(ISNUMBER('① Timelog Input'!I160),'① Timelog Input'!I160,0))</f>
        <v/>
      </c>
      <c r="J160" s="46" t="str">
        <f>IF('① Timelog Input'!B160="","",IF(ISNUMBER('① Timelog Input'!J160),'① Timelog Input'!J160,0))</f>
        <v/>
      </c>
      <c r="K160" s="46" t="str">
        <f>IF('① Timelog Input'!B160="","",Settings!B6)</f>
        <v/>
      </c>
      <c r="L160" s="48" t="str">
        <f>IF(OR('① Timelog Input'!B160="",K160=0),"",J160/K160)</f>
        <v/>
      </c>
      <c r="M160" s="49" t="str">
        <f>IF('① Timelog Input'!B160="","",IFERROR(VLOOKUP(B160,'② Salary Input'!A:V,14,FALSE()),0))</f>
        <v/>
      </c>
      <c r="N160" s="49" t="str">
        <f>IF('① Timelog Input'!B160="","",IFERROR(VLOOKUP(B160,'② Salary Input'!A:V,10,FALSE()),0))</f>
        <v/>
      </c>
      <c r="O160" s="49" t="str">
        <f>IF('① Timelog Input'!B160="","",IF(AND(D160="Remote",N160&gt;0),N160,IF(K160=0,0,M160/K160)))</f>
        <v/>
      </c>
      <c r="P160" s="49" t="str">
        <f>IF(OR('① Timelog Input'!B160="",J160=0),"",M160/J160)</f>
        <v/>
      </c>
      <c r="Q160" s="46" t="str">
        <f>IF('① Timelog Input'!B160="","",'① Timelog Input'!L160)</f>
        <v/>
      </c>
      <c r="R160" s="46" t="str">
        <f>IF('① Timelog Input'!B160="","",IF(NOT(ISNUMBER(L160)),"No Data",IF(L160&gt;=Settings!B13,"HIGH",IF(L160&gt;=Settings!B14,"MEDIUM","LOW"))))</f>
        <v/>
      </c>
    </row>
    <row r="161" spans="1:18" ht="15" customHeight="1" x14ac:dyDescent="0.2">
      <c r="A161" s="46" t="str">
        <f>IF('① Timelog Input'!B161="","",ROW()-3)</f>
        <v/>
      </c>
      <c r="B161" s="46" t="str">
        <f>IF('① Timelog Input'!B161="","",'① Timelog Input'!C161)</f>
        <v/>
      </c>
      <c r="C161" s="46" t="str">
        <f>IF('① Timelog Input'!B161="","",'① Timelog Input'!B161)</f>
        <v/>
      </c>
      <c r="D161" s="46" t="str">
        <f>IF('① Timelog Input'!B161="","",'① Timelog Input'!F161)</f>
        <v/>
      </c>
      <c r="E161" s="46" t="str">
        <f>IF('① Timelog Input'!B161="","",'① Timelog Input'!G161)</f>
        <v/>
      </c>
      <c r="F161" s="46" t="str">
        <f>IF('① Timelog Input'!B161="","",'① Timelog Input'!H161)</f>
        <v/>
      </c>
      <c r="G161" s="46" t="str">
        <f>IF('① Timelog Input'!B161="","",'① Timelog Input'!E161)</f>
        <v/>
      </c>
      <c r="H161" s="46" t="str">
        <f>IF('① Timelog Input'!B161="","",'① Timelog Input'!D161)</f>
        <v/>
      </c>
      <c r="I161" s="46" t="str">
        <f>IF('① Timelog Input'!B161="","",IF(ISNUMBER('① Timelog Input'!I161),'① Timelog Input'!I161,0))</f>
        <v/>
      </c>
      <c r="J161" s="46" t="str">
        <f>IF('① Timelog Input'!B161="","",IF(ISNUMBER('① Timelog Input'!J161),'① Timelog Input'!J161,0))</f>
        <v/>
      </c>
      <c r="K161" s="46" t="str">
        <f>IF('① Timelog Input'!B161="","",Settings!B6)</f>
        <v/>
      </c>
      <c r="L161" s="48" t="str">
        <f>IF(OR('① Timelog Input'!B161="",K161=0),"",J161/K161)</f>
        <v/>
      </c>
      <c r="M161" s="49" t="str">
        <f>IF('① Timelog Input'!B161="","",IFERROR(VLOOKUP(B161,'② Salary Input'!A:V,14,FALSE()),0))</f>
        <v/>
      </c>
      <c r="N161" s="49" t="str">
        <f>IF('① Timelog Input'!B161="","",IFERROR(VLOOKUP(B161,'② Salary Input'!A:V,10,FALSE()),0))</f>
        <v/>
      </c>
      <c r="O161" s="49" t="str">
        <f>IF('① Timelog Input'!B161="","",IF(AND(D161="Remote",N161&gt;0),N161,IF(K161=0,0,M161/K161)))</f>
        <v/>
      </c>
      <c r="P161" s="49" t="str">
        <f>IF(OR('① Timelog Input'!B161="",J161=0),"",M161/J161)</f>
        <v/>
      </c>
      <c r="Q161" s="46" t="str">
        <f>IF('① Timelog Input'!B161="","",'① Timelog Input'!L161)</f>
        <v/>
      </c>
      <c r="R161" s="46" t="str">
        <f>IF('① Timelog Input'!B161="","",IF(NOT(ISNUMBER(L161)),"No Data",IF(L161&gt;=Settings!B13,"HIGH",IF(L161&gt;=Settings!B14,"MEDIUM","LOW"))))</f>
        <v/>
      </c>
    </row>
    <row r="162" spans="1:18" ht="15" customHeight="1" x14ac:dyDescent="0.2">
      <c r="A162" s="46" t="str">
        <f>IF('① Timelog Input'!B162="","",ROW()-3)</f>
        <v/>
      </c>
      <c r="B162" s="46" t="str">
        <f>IF('① Timelog Input'!B162="","",'① Timelog Input'!C162)</f>
        <v/>
      </c>
      <c r="C162" s="46" t="str">
        <f>IF('① Timelog Input'!B162="","",'① Timelog Input'!B162)</f>
        <v/>
      </c>
      <c r="D162" s="46" t="str">
        <f>IF('① Timelog Input'!B162="","",'① Timelog Input'!F162)</f>
        <v/>
      </c>
      <c r="E162" s="46" t="str">
        <f>IF('① Timelog Input'!B162="","",'① Timelog Input'!G162)</f>
        <v/>
      </c>
      <c r="F162" s="46" t="str">
        <f>IF('① Timelog Input'!B162="","",'① Timelog Input'!H162)</f>
        <v/>
      </c>
      <c r="G162" s="46" t="str">
        <f>IF('① Timelog Input'!B162="","",'① Timelog Input'!E162)</f>
        <v/>
      </c>
      <c r="H162" s="46" t="str">
        <f>IF('① Timelog Input'!B162="","",'① Timelog Input'!D162)</f>
        <v/>
      </c>
      <c r="I162" s="46" t="str">
        <f>IF('① Timelog Input'!B162="","",IF(ISNUMBER('① Timelog Input'!I162),'① Timelog Input'!I162,0))</f>
        <v/>
      </c>
      <c r="J162" s="46" t="str">
        <f>IF('① Timelog Input'!B162="","",IF(ISNUMBER('① Timelog Input'!J162),'① Timelog Input'!J162,0))</f>
        <v/>
      </c>
      <c r="K162" s="46" t="str">
        <f>IF('① Timelog Input'!B162="","",Settings!B6)</f>
        <v/>
      </c>
      <c r="L162" s="48" t="str">
        <f>IF(OR('① Timelog Input'!B162="",K162=0),"",J162/K162)</f>
        <v/>
      </c>
      <c r="M162" s="49" t="str">
        <f>IF('① Timelog Input'!B162="","",IFERROR(VLOOKUP(B162,'② Salary Input'!A:V,14,FALSE()),0))</f>
        <v/>
      </c>
      <c r="N162" s="49" t="str">
        <f>IF('① Timelog Input'!B162="","",IFERROR(VLOOKUP(B162,'② Salary Input'!A:V,10,FALSE()),0))</f>
        <v/>
      </c>
      <c r="O162" s="49" t="str">
        <f>IF('① Timelog Input'!B162="","",IF(AND(D162="Remote",N162&gt;0),N162,IF(K162=0,0,M162/K162)))</f>
        <v/>
      </c>
      <c r="P162" s="49" t="str">
        <f>IF(OR('① Timelog Input'!B162="",J162=0),"",M162/J162)</f>
        <v/>
      </c>
      <c r="Q162" s="46" t="str">
        <f>IF('① Timelog Input'!B162="","",'① Timelog Input'!L162)</f>
        <v/>
      </c>
      <c r="R162" s="46" t="str">
        <f>IF('① Timelog Input'!B162="","",IF(NOT(ISNUMBER(L162)),"No Data",IF(L162&gt;=Settings!B13,"HIGH",IF(L162&gt;=Settings!B14,"MEDIUM","LOW"))))</f>
        <v/>
      </c>
    </row>
    <row r="163" spans="1:18" ht="15" customHeight="1" x14ac:dyDescent="0.2">
      <c r="A163" s="46" t="str">
        <f>IF('① Timelog Input'!B163="","",ROW()-3)</f>
        <v/>
      </c>
      <c r="B163" s="46" t="str">
        <f>IF('① Timelog Input'!B163="","",'① Timelog Input'!C163)</f>
        <v/>
      </c>
      <c r="C163" s="46" t="str">
        <f>IF('① Timelog Input'!B163="","",'① Timelog Input'!B163)</f>
        <v/>
      </c>
      <c r="D163" s="46" t="str">
        <f>IF('① Timelog Input'!B163="","",'① Timelog Input'!F163)</f>
        <v/>
      </c>
      <c r="E163" s="46" t="str">
        <f>IF('① Timelog Input'!B163="","",'① Timelog Input'!G163)</f>
        <v/>
      </c>
      <c r="F163" s="46" t="str">
        <f>IF('① Timelog Input'!B163="","",'① Timelog Input'!H163)</f>
        <v/>
      </c>
      <c r="G163" s="46" t="str">
        <f>IF('① Timelog Input'!B163="","",'① Timelog Input'!E163)</f>
        <v/>
      </c>
      <c r="H163" s="46" t="str">
        <f>IF('① Timelog Input'!B163="","",'① Timelog Input'!D163)</f>
        <v/>
      </c>
      <c r="I163" s="46" t="str">
        <f>IF('① Timelog Input'!B163="","",IF(ISNUMBER('① Timelog Input'!I163),'① Timelog Input'!I163,0))</f>
        <v/>
      </c>
      <c r="J163" s="46" t="str">
        <f>IF('① Timelog Input'!B163="","",IF(ISNUMBER('① Timelog Input'!J163),'① Timelog Input'!J163,0))</f>
        <v/>
      </c>
      <c r="K163" s="46" t="str">
        <f>IF('① Timelog Input'!B163="","",Settings!B6)</f>
        <v/>
      </c>
      <c r="L163" s="48" t="str">
        <f>IF(OR('① Timelog Input'!B163="",K163=0),"",J163/K163)</f>
        <v/>
      </c>
      <c r="M163" s="49" t="str">
        <f>IF('① Timelog Input'!B163="","",IFERROR(VLOOKUP(B163,'② Salary Input'!A:V,14,FALSE()),0))</f>
        <v/>
      </c>
      <c r="N163" s="49" t="str">
        <f>IF('① Timelog Input'!B163="","",IFERROR(VLOOKUP(B163,'② Salary Input'!A:V,10,FALSE()),0))</f>
        <v/>
      </c>
      <c r="O163" s="49" t="str">
        <f>IF('① Timelog Input'!B163="","",IF(AND(D163="Remote",N163&gt;0),N163,IF(K163=0,0,M163/K163)))</f>
        <v/>
      </c>
      <c r="P163" s="49" t="str">
        <f>IF(OR('① Timelog Input'!B163="",J163=0),"",M163/J163)</f>
        <v/>
      </c>
      <c r="Q163" s="46" t="str">
        <f>IF('① Timelog Input'!B163="","",'① Timelog Input'!L163)</f>
        <v/>
      </c>
      <c r="R163" s="46" t="str">
        <f>IF('① Timelog Input'!B163="","",IF(NOT(ISNUMBER(L163)),"No Data",IF(L163&gt;=Settings!B13,"HIGH",IF(L163&gt;=Settings!B14,"MEDIUM","LOW"))))</f>
        <v/>
      </c>
    </row>
    <row r="164" spans="1:18" ht="15" customHeight="1" x14ac:dyDescent="0.2">
      <c r="A164" s="46" t="str">
        <f>IF('① Timelog Input'!B164="","",ROW()-3)</f>
        <v/>
      </c>
      <c r="B164" s="46" t="str">
        <f>IF('① Timelog Input'!B164="","",'① Timelog Input'!C164)</f>
        <v/>
      </c>
      <c r="C164" s="46" t="str">
        <f>IF('① Timelog Input'!B164="","",'① Timelog Input'!B164)</f>
        <v/>
      </c>
      <c r="D164" s="46" t="str">
        <f>IF('① Timelog Input'!B164="","",'① Timelog Input'!F164)</f>
        <v/>
      </c>
      <c r="E164" s="46" t="str">
        <f>IF('① Timelog Input'!B164="","",'① Timelog Input'!G164)</f>
        <v/>
      </c>
      <c r="F164" s="46" t="str">
        <f>IF('① Timelog Input'!B164="","",'① Timelog Input'!H164)</f>
        <v/>
      </c>
      <c r="G164" s="46" t="str">
        <f>IF('① Timelog Input'!B164="","",'① Timelog Input'!E164)</f>
        <v/>
      </c>
      <c r="H164" s="46" t="str">
        <f>IF('① Timelog Input'!B164="","",'① Timelog Input'!D164)</f>
        <v/>
      </c>
      <c r="I164" s="46" t="str">
        <f>IF('① Timelog Input'!B164="","",IF(ISNUMBER('① Timelog Input'!I164),'① Timelog Input'!I164,0))</f>
        <v/>
      </c>
      <c r="J164" s="46" t="str">
        <f>IF('① Timelog Input'!B164="","",IF(ISNUMBER('① Timelog Input'!J164),'① Timelog Input'!J164,0))</f>
        <v/>
      </c>
      <c r="K164" s="46" t="str">
        <f>IF('① Timelog Input'!B164="","",Settings!B6)</f>
        <v/>
      </c>
      <c r="L164" s="48" t="str">
        <f>IF(OR('① Timelog Input'!B164="",K164=0),"",J164/K164)</f>
        <v/>
      </c>
      <c r="M164" s="49" t="str">
        <f>IF('① Timelog Input'!B164="","",IFERROR(VLOOKUP(B164,'② Salary Input'!A:V,14,FALSE()),0))</f>
        <v/>
      </c>
      <c r="N164" s="49" t="str">
        <f>IF('① Timelog Input'!B164="","",IFERROR(VLOOKUP(B164,'② Salary Input'!A:V,10,FALSE()),0))</f>
        <v/>
      </c>
      <c r="O164" s="49" t="str">
        <f>IF('① Timelog Input'!B164="","",IF(AND(D164="Remote",N164&gt;0),N164,IF(K164=0,0,M164/K164)))</f>
        <v/>
      </c>
      <c r="P164" s="49" t="str">
        <f>IF(OR('① Timelog Input'!B164="",J164=0),"",M164/J164)</f>
        <v/>
      </c>
      <c r="Q164" s="46" t="str">
        <f>IF('① Timelog Input'!B164="","",'① Timelog Input'!L164)</f>
        <v/>
      </c>
      <c r="R164" s="46" t="str">
        <f>IF('① Timelog Input'!B164="","",IF(NOT(ISNUMBER(L164)),"No Data",IF(L164&gt;=Settings!B13,"HIGH",IF(L164&gt;=Settings!B14,"MEDIUM","LOW"))))</f>
        <v/>
      </c>
    </row>
    <row r="165" spans="1:18" ht="15" customHeight="1" x14ac:dyDescent="0.2">
      <c r="A165" s="46" t="str">
        <f>IF('① Timelog Input'!B165="","",ROW()-3)</f>
        <v/>
      </c>
      <c r="B165" s="46" t="str">
        <f>IF('① Timelog Input'!B165="","",'① Timelog Input'!C165)</f>
        <v/>
      </c>
      <c r="C165" s="46" t="str">
        <f>IF('① Timelog Input'!B165="","",'① Timelog Input'!B165)</f>
        <v/>
      </c>
      <c r="D165" s="46" t="str">
        <f>IF('① Timelog Input'!B165="","",'① Timelog Input'!F165)</f>
        <v/>
      </c>
      <c r="E165" s="46" t="str">
        <f>IF('① Timelog Input'!B165="","",'① Timelog Input'!G165)</f>
        <v/>
      </c>
      <c r="F165" s="46" t="str">
        <f>IF('① Timelog Input'!B165="","",'① Timelog Input'!H165)</f>
        <v/>
      </c>
      <c r="G165" s="46" t="str">
        <f>IF('① Timelog Input'!B165="","",'① Timelog Input'!E165)</f>
        <v/>
      </c>
      <c r="H165" s="46" t="str">
        <f>IF('① Timelog Input'!B165="","",'① Timelog Input'!D165)</f>
        <v/>
      </c>
      <c r="I165" s="46" t="str">
        <f>IF('① Timelog Input'!B165="","",IF(ISNUMBER('① Timelog Input'!I165),'① Timelog Input'!I165,0))</f>
        <v/>
      </c>
      <c r="J165" s="46" t="str">
        <f>IF('① Timelog Input'!B165="","",IF(ISNUMBER('① Timelog Input'!J165),'① Timelog Input'!J165,0))</f>
        <v/>
      </c>
      <c r="K165" s="46" t="str">
        <f>IF('① Timelog Input'!B165="","",Settings!B6)</f>
        <v/>
      </c>
      <c r="L165" s="48" t="str">
        <f>IF(OR('① Timelog Input'!B165="",K165=0),"",J165/K165)</f>
        <v/>
      </c>
      <c r="M165" s="49" t="str">
        <f>IF('① Timelog Input'!B165="","",IFERROR(VLOOKUP(B165,'② Salary Input'!A:V,14,FALSE()),0))</f>
        <v/>
      </c>
      <c r="N165" s="49" t="str">
        <f>IF('① Timelog Input'!B165="","",IFERROR(VLOOKUP(B165,'② Salary Input'!A:V,10,FALSE()),0))</f>
        <v/>
      </c>
      <c r="O165" s="49" t="str">
        <f>IF('① Timelog Input'!B165="","",IF(AND(D165="Remote",N165&gt;0),N165,IF(K165=0,0,M165/K165)))</f>
        <v/>
      </c>
      <c r="P165" s="49" t="str">
        <f>IF(OR('① Timelog Input'!B165="",J165=0),"",M165/J165)</f>
        <v/>
      </c>
      <c r="Q165" s="46" t="str">
        <f>IF('① Timelog Input'!B165="","",'① Timelog Input'!L165)</f>
        <v/>
      </c>
      <c r="R165" s="46" t="str">
        <f>IF('① Timelog Input'!B165="","",IF(NOT(ISNUMBER(L165)),"No Data",IF(L165&gt;=Settings!B13,"HIGH",IF(L165&gt;=Settings!B14,"MEDIUM","LOW"))))</f>
        <v/>
      </c>
    </row>
    <row r="166" spans="1:18" ht="15" customHeight="1" x14ac:dyDescent="0.2">
      <c r="A166" s="46" t="str">
        <f>IF('① Timelog Input'!B166="","",ROW()-3)</f>
        <v/>
      </c>
      <c r="B166" s="46" t="str">
        <f>IF('① Timelog Input'!B166="","",'① Timelog Input'!C166)</f>
        <v/>
      </c>
      <c r="C166" s="46" t="str">
        <f>IF('① Timelog Input'!B166="","",'① Timelog Input'!B166)</f>
        <v/>
      </c>
      <c r="D166" s="46" t="str">
        <f>IF('① Timelog Input'!B166="","",'① Timelog Input'!F166)</f>
        <v/>
      </c>
      <c r="E166" s="46" t="str">
        <f>IF('① Timelog Input'!B166="","",'① Timelog Input'!G166)</f>
        <v/>
      </c>
      <c r="F166" s="46" t="str">
        <f>IF('① Timelog Input'!B166="","",'① Timelog Input'!H166)</f>
        <v/>
      </c>
      <c r="G166" s="46" t="str">
        <f>IF('① Timelog Input'!B166="","",'① Timelog Input'!E166)</f>
        <v/>
      </c>
      <c r="H166" s="46" t="str">
        <f>IF('① Timelog Input'!B166="","",'① Timelog Input'!D166)</f>
        <v/>
      </c>
      <c r="I166" s="46" t="str">
        <f>IF('① Timelog Input'!B166="","",IF(ISNUMBER('① Timelog Input'!I166),'① Timelog Input'!I166,0))</f>
        <v/>
      </c>
      <c r="J166" s="46" t="str">
        <f>IF('① Timelog Input'!B166="","",IF(ISNUMBER('① Timelog Input'!J166),'① Timelog Input'!J166,0))</f>
        <v/>
      </c>
      <c r="K166" s="46" t="str">
        <f>IF('① Timelog Input'!B166="","",Settings!B6)</f>
        <v/>
      </c>
      <c r="L166" s="48" t="str">
        <f>IF(OR('① Timelog Input'!B166="",K166=0),"",J166/K166)</f>
        <v/>
      </c>
      <c r="M166" s="49" t="str">
        <f>IF('① Timelog Input'!B166="","",IFERROR(VLOOKUP(B166,'② Salary Input'!A:V,14,FALSE()),0))</f>
        <v/>
      </c>
      <c r="N166" s="49" t="str">
        <f>IF('① Timelog Input'!B166="","",IFERROR(VLOOKUP(B166,'② Salary Input'!A:V,10,FALSE()),0))</f>
        <v/>
      </c>
      <c r="O166" s="49" t="str">
        <f>IF('① Timelog Input'!B166="","",IF(AND(D166="Remote",N166&gt;0),N166,IF(K166=0,0,M166/K166)))</f>
        <v/>
      </c>
      <c r="P166" s="49" t="str">
        <f>IF(OR('① Timelog Input'!B166="",J166=0),"",M166/J166)</f>
        <v/>
      </c>
      <c r="Q166" s="46" t="str">
        <f>IF('① Timelog Input'!B166="","",'① Timelog Input'!L166)</f>
        <v/>
      </c>
      <c r="R166" s="46" t="str">
        <f>IF('① Timelog Input'!B166="","",IF(NOT(ISNUMBER(L166)),"No Data",IF(L166&gt;=Settings!B13,"HIGH",IF(L166&gt;=Settings!B14,"MEDIUM","LOW"))))</f>
        <v/>
      </c>
    </row>
    <row r="167" spans="1:18" ht="15" customHeight="1" x14ac:dyDescent="0.2">
      <c r="A167" s="46" t="str">
        <f>IF('① Timelog Input'!B167="","",ROW()-3)</f>
        <v/>
      </c>
      <c r="B167" s="46" t="str">
        <f>IF('① Timelog Input'!B167="","",'① Timelog Input'!C167)</f>
        <v/>
      </c>
      <c r="C167" s="46" t="str">
        <f>IF('① Timelog Input'!B167="","",'① Timelog Input'!B167)</f>
        <v/>
      </c>
      <c r="D167" s="46" t="str">
        <f>IF('① Timelog Input'!B167="","",'① Timelog Input'!F167)</f>
        <v/>
      </c>
      <c r="E167" s="46" t="str">
        <f>IF('① Timelog Input'!B167="","",'① Timelog Input'!G167)</f>
        <v/>
      </c>
      <c r="F167" s="46" t="str">
        <f>IF('① Timelog Input'!B167="","",'① Timelog Input'!H167)</f>
        <v/>
      </c>
      <c r="G167" s="46" t="str">
        <f>IF('① Timelog Input'!B167="","",'① Timelog Input'!E167)</f>
        <v/>
      </c>
      <c r="H167" s="46" t="str">
        <f>IF('① Timelog Input'!B167="","",'① Timelog Input'!D167)</f>
        <v/>
      </c>
      <c r="I167" s="46" t="str">
        <f>IF('① Timelog Input'!B167="","",IF(ISNUMBER('① Timelog Input'!I167),'① Timelog Input'!I167,0))</f>
        <v/>
      </c>
      <c r="J167" s="46" t="str">
        <f>IF('① Timelog Input'!B167="","",IF(ISNUMBER('① Timelog Input'!J167),'① Timelog Input'!J167,0))</f>
        <v/>
      </c>
      <c r="K167" s="46" t="str">
        <f>IF('① Timelog Input'!B167="","",Settings!B6)</f>
        <v/>
      </c>
      <c r="L167" s="48" t="str">
        <f>IF(OR('① Timelog Input'!B167="",K167=0),"",J167/K167)</f>
        <v/>
      </c>
      <c r="M167" s="49" t="str">
        <f>IF('① Timelog Input'!B167="","",IFERROR(VLOOKUP(B167,'② Salary Input'!A:V,14,FALSE()),0))</f>
        <v/>
      </c>
      <c r="N167" s="49" t="str">
        <f>IF('① Timelog Input'!B167="","",IFERROR(VLOOKUP(B167,'② Salary Input'!A:V,10,FALSE()),0))</f>
        <v/>
      </c>
      <c r="O167" s="49" t="str">
        <f>IF('① Timelog Input'!B167="","",IF(AND(D167="Remote",N167&gt;0),N167,IF(K167=0,0,M167/K167)))</f>
        <v/>
      </c>
      <c r="P167" s="49" t="str">
        <f>IF(OR('① Timelog Input'!B167="",J167=0),"",M167/J167)</f>
        <v/>
      </c>
      <c r="Q167" s="46" t="str">
        <f>IF('① Timelog Input'!B167="","",'① Timelog Input'!L167)</f>
        <v/>
      </c>
      <c r="R167" s="46" t="str">
        <f>IF('① Timelog Input'!B167="","",IF(NOT(ISNUMBER(L167)),"No Data",IF(L167&gt;=Settings!B13,"HIGH",IF(L167&gt;=Settings!B14,"MEDIUM","LOW"))))</f>
        <v/>
      </c>
    </row>
    <row r="168" spans="1:18" ht="15" customHeight="1" x14ac:dyDescent="0.2">
      <c r="A168" s="46" t="str">
        <f>IF('① Timelog Input'!B168="","",ROW()-3)</f>
        <v/>
      </c>
      <c r="B168" s="46" t="str">
        <f>IF('① Timelog Input'!B168="","",'① Timelog Input'!C168)</f>
        <v/>
      </c>
      <c r="C168" s="46" t="str">
        <f>IF('① Timelog Input'!B168="","",'① Timelog Input'!B168)</f>
        <v/>
      </c>
      <c r="D168" s="46" t="str">
        <f>IF('① Timelog Input'!B168="","",'① Timelog Input'!F168)</f>
        <v/>
      </c>
      <c r="E168" s="46" t="str">
        <f>IF('① Timelog Input'!B168="","",'① Timelog Input'!G168)</f>
        <v/>
      </c>
      <c r="F168" s="46" t="str">
        <f>IF('① Timelog Input'!B168="","",'① Timelog Input'!H168)</f>
        <v/>
      </c>
      <c r="G168" s="46" t="str">
        <f>IF('① Timelog Input'!B168="","",'① Timelog Input'!E168)</f>
        <v/>
      </c>
      <c r="H168" s="46" t="str">
        <f>IF('① Timelog Input'!B168="","",'① Timelog Input'!D168)</f>
        <v/>
      </c>
      <c r="I168" s="46" t="str">
        <f>IF('① Timelog Input'!B168="","",IF(ISNUMBER('① Timelog Input'!I168),'① Timelog Input'!I168,0))</f>
        <v/>
      </c>
      <c r="J168" s="46" t="str">
        <f>IF('① Timelog Input'!B168="","",IF(ISNUMBER('① Timelog Input'!J168),'① Timelog Input'!J168,0))</f>
        <v/>
      </c>
      <c r="K168" s="46" t="str">
        <f>IF('① Timelog Input'!B168="","",Settings!B6)</f>
        <v/>
      </c>
      <c r="L168" s="48" t="str">
        <f>IF(OR('① Timelog Input'!B168="",K168=0),"",J168/K168)</f>
        <v/>
      </c>
      <c r="M168" s="49" t="str">
        <f>IF('① Timelog Input'!B168="","",IFERROR(VLOOKUP(B168,'② Salary Input'!A:V,14,FALSE()),0))</f>
        <v/>
      </c>
      <c r="N168" s="49" t="str">
        <f>IF('① Timelog Input'!B168="","",IFERROR(VLOOKUP(B168,'② Salary Input'!A:V,10,FALSE()),0))</f>
        <v/>
      </c>
      <c r="O168" s="49" t="str">
        <f>IF('① Timelog Input'!B168="","",IF(AND(D168="Remote",N168&gt;0),N168,IF(K168=0,0,M168/K168)))</f>
        <v/>
      </c>
      <c r="P168" s="49" t="str">
        <f>IF(OR('① Timelog Input'!B168="",J168=0),"",M168/J168)</f>
        <v/>
      </c>
      <c r="Q168" s="46" t="str">
        <f>IF('① Timelog Input'!B168="","",'① Timelog Input'!L168)</f>
        <v/>
      </c>
      <c r="R168" s="46" t="str">
        <f>IF('① Timelog Input'!B168="","",IF(NOT(ISNUMBER(L168)),"No Data",IF(L168&gt;=Settings!B13,"HIGH",IF(L168&gt;=Settings!B14,"MEDIUM","LOW"))))</f>
        <v/>
      </c>
    </row>
    <row r="169" spans="1:18" ht="15" customHeight="1" x14ac:dyDescent="0.2">
      <c r="A169" s="46" t="str">
        <f>IF('① Timelog Input'!B169="","",ROW()-3)</f>
        <v/>
      </c>
      <c r="B169" s="46" t="str">
        <f>IF('① Timelog Input'!B169="","",'① Timelog Input'!C169)</f>
        <v/>
      </c>
      <c r="C169" s="46" t="str">
        <f>IF('① Timelog Input'!B169="","",'① Timelog Input'!B169)</f>
        <v/>
      </c>
      <c r="D169" s="46" t="str">
        <f>IF('① Timelog Input'!B169="","",'① Timelog Input'!F169)</f>
        <v/>
      </c>
      <c r="E169" s="46" t="str">
        <f>IF('① Timelog Input'!B169="","",'① Timelog Input'!G169)</f>
        <v/>
      </c>
      <c r="F169" s="46" t="str">
        <f>IF('① Timelog Input'!B169="","",'① Timelog Input'!H169)</f>
        <v/>
      </c>
      <c r="G169" s="46" t="str">
        <f>IF('① Timelog Input'!B169="","",'① Timelog Input'!E169)</f>
        <v/>
      </c>
      <c r="H169" s="46" t="str">
        <f>IF('① Timelog Input'!B169="","",'① Timelog Input'!D169)</f>
        <v/>
      </c>
      <c r="I169" s="46" t="str">
        <f>IF('① Timelog Input'!B169="","",IF(ISNUMBER('① Timelog Input'!I169),'① Timelog Input'!I169,0))</f>
        <v/>
      </c>
      <c r="J169" s="46" t="str">
        <f>IF('① Timelog Input'!B169="","",IF(ISNUMBER('① Timelog Input'!J169),'① Timelog Input'!J169,0))</f>
        <v/>
      </c>
      <c r="K169" s="46" t="str">
        <f>IF('① Timelog Input'!B169="","",Settings!B6)</f>
        <v/>
      </c>
      <c r="L169" s="48" t="str">
        <f>IF(OR('① Timelog Input'!B169="",K169=0),"",J169/K169)</f>
        <v/>
      </c>
      <c r="M169" s="49" t="str">
        <f>IF('① Timelog Input'!B169="","",IFERROR(VLOOKUP(B169,'② Salary Input'!A:V,14,FALSE()),0))</f>
        <v/>
      </c>
      <c r="N169" s="49" t="str">
        <f>IF('① Timelog Input'!B169="","",IFERROR(VLOOKUP(B169,'② Salary Input'!A:V,10,FALSE()),0))</f>
        <v/>
      </c>
      <c r="O169" s="49" t="str">
        <f>IF('① Timelog Input'!B169="","",IF(AND(D169="Remote",N169&gt;0),N169,IF(K169=0,0,M169/K169)))</f>
        <v/>
      </c>
      <c r="P169" s="49" t="str">
        <f>IF(OR('① Timelog Input'!B169="",J169=0),"",M169/J169)</f>
        <v/>
      </c>
      <c r="Q169" s="46" t="str">
        <f>IF('① Timelog Input'!B169="","",'① Timelog Input'!L169)</f>
        <v/>
      </c>
      <c r="R169" s="46" t="str">
        <f>IF('① Timelog Input'!B169="","",IF(NOT(ISNUMBER(L169)),"No Data",IF(L169&gt;=Settings!B13,"HIGH",IF(L169&gt;=Settings!B14,"MEDIUM","LOW"))))</f>
        <v/>
      </c>
    </row>
    <row r="170" spans="1:18" ht="15" customHeight="1" x14ac:dyDescent="0.2">
      <c r="A170" s="46" t="str">
        <f>IF('① Timelog Input'!B170="","",ROW()-3)</f>
        <v/>
      </c>
      <c r="B170" s="46" t="str">
        <f>IF('① Timelog Input'!B170="","",'① Timelog Input'!C170)</f>
        <v/>
      </c>
      <c r="C170" s="46" t="str">
        <f>IF('① Timelog Input'!B170="","",'① Timelog Input'!B170)</f>
        <v/>
      </c>
      <c r="D170" s="46" t="str">
        <f>IF('① Timelog Input'!B170="","",'① Timelog Input'!F170)</f>
        <v/>
      </c>
      <c r="E170" s="46" t="str">
        <f>IF('① Timelog Input'!B170="","",'① Timelog Input'!G170)</f>
        <v/>
      </c>
      <c r="F170" s="46" t="str">
        <f>IF('① Timelog Input'!B170="","",'① Timelog Input'!H170)</f>
        <v/>
      </c>
      <c r="G170" s="46" t="str">
        <f>IF('① Timelog Input'!B170="","",'① Timelog Input'!E170)</f>
        <v/>
      </c>
      <c r="H170" s="46" t="str">
        <f>IF('① Timelog Input'!B170="","",'① Timelog Input'!D170)</f>
        <v/>
      </c>
      <c r="I170" s="46" t="str">
        <f>IF('① Timelog Input'!B170="","",IF(ISNUMBER('① Timelog Input'!I170),'① Timelog Input'!I170,0))</f>
        <v/>
      </c>
      <c r="J170" s="46" t="str">
        <f>IF('① Timelog Input'!B170="","",IF(ISNUMBER('① Timelog Input'!J170),'① Timelog Input'!J170,0))</f>
        <v/>
      </c>
      <c r="K170" s="46" t="str">
        <f>IF('① Timelog Input'!B170="","",Settings!B6)</f>
        <v/>
      </c>
      <c r="L170" s="48" t="str">
        <f>IF(OR('① Timelog Input'!B170="",K170=0),"",J170/K170)</f>
        <v/>
      </c>
      <c r="M170" s="49" t="str">
        <f>IF('① Timelog Input'!B170="","",IFERROR(VLOOKUP(B170,'② Salary Input'!A:V,14,FALSE()),0))</f>
        <v/>
      </c>
      <c r="N170" s="49" t="str">
        <f>IF('① Timelog Input'!B170="","",IFERROR(VLOOKUP(B170,'② Salary Input'!A:V,10,FALSE()),0))</f>
        <v/>
      </c>
      <c r="O170" s="49" t="str">
        <f>IF('① Timelog Input'!B170="","",IF(AND(D170="Remote",N170&gt;0),N170,IF(K170=0,0,M170/K170)))</f>
        <v/>
      </c>
      <c r="P170" s="49" t="str">
        <f>IF(OR('① Timelog Input'!B170="",J170=0),"",M170/J170)</f>
        <v/>
      </c>
      <c r="Q170" s="46" t="str">
        <f>IF('① Timelog Input'!B170="","",'① Timelog Input'!L170)</f>
        <v/>
      </c>
      <c r="R170" s="46" t="str">
        <f>IF('① Timelog Input'!B170="","",IF(NOT(ISNUMBER(L170)),"No Data",IF(L170&gt;=Settings!B13,"HIGH",IF(L170&gt;=Settings!B14,"MEDIUM","LOW"))))</f>
        <v/>
      </c>
    </row>
    <row r="171" spans="1:18" ht="15" customHeight="1" x14ac:dyDescent="0.2">
      <c r="A171" s="46" t="str">
        <f>IF('① Timelog Input'!B171="","",ROW()-3)</f>
        <v/>
      </c>
      <c r="B171" s="46" t="str">
        <f>IF('① Timelog Input'!B171="","",'① Timelog Input'!C171)</f>
        <v/>
      </c>
      <c r="C171" s="46" t="str">
        <f>IF('① Timelog Input'!B171="","",'① Timelog Input'!B171)</f>
        <v/>
      </c>
      <c r="D171" s="46" t="str">
        <f>IF('① Timelog Input'!B171="","",'① Timelog Input'!F171)</f>
        <v/>
      </c>
      <c r="E171" s="46" t="str">
        <f>IF('① Timelog Input'!B171="","",'① Timelog Input'!G171)</f>
        <v/>
      </c>
      <c r="F171" s="46" t="str">
        <f>IF('① Timelog Input'!B171="","",'① Timelog Input'!H171)</f>
        <v/>
      </c>
      <c r="G171" s="46" t="str">
        <f>IF('① Timelog Input'!B171="","",'① Timelog Input'!E171)</f>
        <v/>
      </c>
      <c r="H171" s="46" t="str">
        <f>IF('① Timelog Input'!B171="","",'① Timelog Input'!D171)</f>
        <v/>
      </c>
      <c r="I171" s="46" t="str">
        <f>IF('① Timelog Input'!B171="","",IF(ISNUMBER('① Timelog Input'!I171),'① Timelog Input'!I171,0))</f>
        <v/>
      </c>
      <c r="J171" s="46" t="str">
        <f>IF('① Timelog Input'!B171="","",IF(ISNUMBER('① Timelog Input'!J171),'① Timelog Input'!J171,0))</f>
        <v/>
      </c>
      <c r="K171" s="46" t="str">
        <f>IF('① Timelog Input'!B171="","",Settings!B6)</f>
        <v/>
      </c>
      <c r="L171" s="48" t="str">
        <f>IF(OR('① Timelog Input'!B171="",K171=0),"",J171/K171)</f>
        <v/>
      </c>
      <c r="M171" s="49" t="str">
        <f>IF('① Timelog Input'!B171="","",IFERROR(VLOOKUP(B171,'② Salary Input'!A:V,14,FALSE()),0))</f>
        <v/>
      </c>
      <c r="N171" s="49" t="str">
        <f>IF('① Timelog Input'!B171="","",IFERROR(VLOOKUP(B171,'② Salary Input'!A:V,10,FALSE()),0))</f>
        <v/>
      </c>
      <c r="O171" s="49" t="str">
        <f>IF('① Timelog Input'!B171="","",IF(AND(D171="Remote",N171&gt;0),N171,IF(K171=0,0,M171/K171)))</f>
        <v/>
      </c>
      <c r="P171" s="49" t="str">
        <f>IF(OR('① Timelog Input'!B171="",J171=0),"",M171/J171)</f>
        <v/>
      </c>
      <c r="Q171" s="46" t="str">
        <f>IF('① Timelog Input'!B171="","",'① Timelog Input'!L171)</f>
        <v/>
      </c>
      <c r="R171" s="46" t="str">
        <f>IF('① Timelog Input'!B171="","",IF(NOT(ISNUMBER(L171)),"No Data",IF(L171&gt;=Settings!B13,"HIGH",IF(L171&gt;=Settings!B14,"MEDIUM","LOW"))))</f>
        <v/>
      </c>
    </row>
    <row r="172" spans="1:18" ht="15" customHeight="1" x14ac:dyDescent="0.2">
      <c r="A172" s="46" t="str">
        <f>IF('① Timelog Input'!B172="","",ROW()-3)</f>
        <v/>
      </c>
      <c r="B172" s="46" t="str">
        <f>IF('① Timelog Input'!B172="","",'① Timelog Input'!C172)</f>
        <v/>
      </c>
      <c r="C172" s="46" t="str">
        <f>IF('① Timelog Input'!B172="","",'① Timelog Input'!B172)</f>
        <v/>
      </c>
      <c r="D172" s="46" t="str">
        <f>IF('① Timelog Input'!B172="","",'① Timelog Input'!F172)</f>
        <v/>
      </c>
      <c r="E172" s="46" t="str">
        <f>IF('① Timelog Input'!B172="","",'① Timelog Input'!G172)</f>
        <v/>
      </c>
      <c r="F172" s="46" t="str">
        <f>IF('① Timelog Input'!B172="","",'① Timelog Input'!H172)</f>
        <v/>
      </c>
      <c r="G172" s="46" t="str">
        <f>IF('① Timelog Input'!B172="","",'① Timelog Input'!E172)</f>
        <v/>
      </c>
      <c r="H172" s="46" t="str">
        <f>IF('① Timelog Input'!B172="","",'① Timelog Input'!D172)</f>
        <v/>
      </c>
      <c r="I172" s="46" t="str">
        <f>IF('① Timelog Input'!B172="","",IF(ISNUMBER('① Timelog Input'!I172),'① Timelog Input'!I172,0))</f>
        <v/>
      </c>
      <c r="J172" s="46" t="str">
        <f>IF('① Timelog Input'!B172="","",IF(ISNUMBER('① Timelog Input'!J172),'① Timelog Input'!J172,0))</f>
        <v/>
      </c>
      <c r="K172" s="46" t="str">
        <f>IF('① Timelog Input'!B172="","",Settings!B6)</f>
        <v/>
      </c>
      <c r="L172" s="48" t="str">
        <f>IF(OR('① Timelog Input'!B172="",K172=0),"",J172/K172)</f>
        <v/>
      </c>
      <c r="M172" s="49" t="str">
        <f>IF('① Timelog Input'!B172="","",IFERROR(VLOOKUP(B172,'② Salary Input'!A:V,14,FALSE()),0))</f>
        <v/>
      </c>
      <c r="N172" s="49" t="str">
        <f>IF('① Timelog Input'!B172="","",IFERROR(VLOOKUP(B172,'② Salary Input'!A:V,10,FALSE()),0))</f>
        <v/>
      </c>
      <c r="O172" s="49" t="str">
        <f>IF('① Timelog Input'!B172="","",IF(AND(D172="Remote",N172&gt;0),N172,IF(K172=0,0,M172/K172)))</f>
        <v/>
      </c>
      <c r="P172" s="49" t="str">
        <f>IF(OR('① Timelog Input'!B172="",J172=0),"",M172/J172)</f>
        <v/>
      </c>
      <c r="Q172" s="46" t="str">
        <f>IF('① Timelog Input'!B172="","",'① Timelog Input'!L172)</f>
        <v/>
      </c>
      <c r="R172" s="46" t="str">
        <f>IF('① Timelog Input'!B172="","",IF(NOT(ISNUMBER(L172)),"No Data",IF(L172&gt;=Settings!B13,"HIGH",IF(L172&gt;=Settings!B14,"MEDIUM","LOW"))))</f>
        <v/>
      </c>
    </row>
    <row r="173" spans="1:18" ht="15" customHeight="1" x14ac:dyDescent="0.2">
      <c r="A173" s="46" t="str">
        <f>IF('① Timelog Input'!B173="","",ROW()-3)</f>
        <v/>
      </c>
      <c r="B173" s="46" t="str">
        <f>IF('① Timelog Input'!B173="","",'① Timelog Input'!C173)</f>
        <v/>
      </c>
      <c r="C173" s="46" t="str">
        <f>IF('① Timelog Input'!B173="","",'① Timelog Input'!B173)</f>
        <v/>
      </c>
      <c r="D173" s="46" t="str">
        <f>IF('① Timelog Input'!B173="","",'① Timelog Input'!F173)</f>
        <v/>
      </c>
      <c r="E173" s="46" t="str">
        <f>IF('① Timelog Input'!B173="","",'① Timelog Input'!G173)</f>
        <v/>
      </c>
      <c r="F173" s="46" t="str">
        <f>IF('① Timelog Input'!B173="","",'① Timelog Input'!H173)</f>
        <v/>
      </c>
      <c r="G173" s="46" t="str">
        <f>IF('① Timelog Input'!B173="","",'① Timelog Input'!E173)</f>
        <v/>
      </c>
      <c r="H173" s="46" t="str">
        <f>IF('① Timelog Input'!B173="","",'① Timelog Input'!D173)</f>
        <v/>
      </c>
      <c r="I173" s="46" t="str">
        <f>IF('① Timelog Input'!B173="","",IF(ISNUMBER('① Timelog Input'!I173),'① Timelog Input'!I173,0))</f>
        <v/>
      </c>
      <c r="J173" s="46" t="str">
        <f>IF('① Timelog Input'!B173="","",IF(ISNUMBER('① Timelog Input'!J173),'① Timelog Input'!J173,0))</f>
        <v/>
      </c>
      <c r="K173" s="46" t="str">
        <f>IF('① Timelog Input'!B173="","",Settings!B6)</f>
        <v/>
      </c>
      <c r="L173" s="48" t="str">
        <f>IF(OR('① Timelog Input'!B173="",K173=0),"",J173/K173)</f>
        <v/>
      </c>
      <c r="M173" s="49" t="str">
        <f>IF('① Timelog Input'!B173="","",IFERROR(VLOOKUP(B173,'② Salary Input'!A:V,14,FALSE()),0))</f>
        <v/>
      </c>
      <c r="N173" s="49" t="str">
        <f>IF('① Timelog Input'!B173="","",IFERROR(VLOOKUP(B173,'② Salary Input'!A:V,10,FALSE()),0))</f>
        <v/>
      </c>
      <c r="O173" s="49" t="str">
        <f>IF('① Timelog Input'!B173="","",IF(AND(D173="Remote",N173&gt;0),N173,IF(K173=0,0,M173/K173)))</f>
        <v/>
      </c>
      <c r="P173" s="49" t="str">
        <f>IF(OR('① Timelog Input'!B173="",J173=0),"",M173/J173)</f>
        <v/>
      </c>
      <c r="Q173" s="46" t="str">
        <f>IF('① Timelog Input'!B173="","",'① Timelog Input'!L173)</f>
        <v/>
      </c>
      <c r="R173" s="46" t="str">
        <f>IF('① Timelog Input'!B173="","",IF(NOT(ISNUMBER(L173)),"No Data",IF(L173&gt;=Settings!B13,"HIGH",IF(L173&gt;=Settings!B14,"MEDIUM","LOW"))))</f>
        <v/>
      </c>
    </row>
    <row r="174" spans="1:18" ht="15" customHeight="1" x14ac:dyDescent="0.2">
      <c r="A174" s="46" t="str">
        <f>IF('① Timelog Input'!B174="","",ROW()-3)</f>
        <v/>
      </c>
      <c r="B174" s="46" t="str">
        <f>IF('① Timelog Input'!B174="","",'① Timelog Input'!C174)</f>
        <v/>
      </c>
      <c r="C174" s="46" t="str">
        <f>IF('① Timelog Input'!B174="","",'① Timelog Input'!B174)</f>
        <v/>
      </c>
      <c r="D174" s="46" t="str">
        <f>IF('① Timelog Input'!B174="","",'① Timelog Input'!F174)</f>
        <v/>
      </c>
      <c r="E174" s="46" t="str">
        <f>IF('① Timelog Input'!B174="","",'① Timelog Input'!G174)</f>
        <v/>
      </c>
      <c r="F174" s="46" t="str">
        <f>IF('① Timelog Input'!B174="","",'① Timelog Input'!H174)</f>
        <v/>
      </c>
      <c r="G174" s="46" t="str">
        <f>IF('① Timelog Input'!B174="","",'① Timelog Input'!E174)</f>
        <v/>
      </c>
      <c r="H174" s="46" t="str">
        <f>IF('① Timelog Input'!B174="","",'① Timelog Input'!D174)</f>
        <v/>
      </c>
      <c r="I174" s="46" t="str">
        <f>IF('① Timelog Input'!B174="","",IF(ISNUMBER('① Timelog Input'!I174),'① Timelog Input'!I174,0))</f>
        <v/>
      </c>
      <c r="J174" s="46" t="str">
        <f>IF('① Timelog Input'!B174="","",IF(ISNUMBER('① Timelog Input'!J174),'① Timelog Input'!J174,0))</f>
        <v/>
      </c>
      <c r="K174" s="46" t="str">
        <f>IF('① Timelog Input'!B174="","",Settings!B6)</f>
        <v/>
      </c>
      <c r="L174" s="48" t="str">
        <f>IF(OR('① Timelog Input'!B174="",K174=0),"",J174/K174)</f>
        <v/>
      </c>
      <c r="M174" s="49" t="str">
        <f>IF('① Timelog Input'!B174="","",IFERROR(VLOOKUP(B174,'② Salary Input'!A:V,14,FALSE()),0))</f>
        <v/>
      </c>
      <c r="N174" s="49" t="str">
        <f>IF('① Timelog Input'!B174="","",IFERROR(VLOOKUP(B174,'② Salary Input'!A:V,10,FALSE()),0))</f>
        <v/>
      </c>
      <c r="O174" s="49" t="str">
        <f>IF('① Timelog Input'!B174="","",IF(AND(D174="Remote",N174&gt;0),N174,IF(K174=0,0,M174/K174)))</f>
        <v/>
      </c>
      <c r="P174" s="49" t="str">
        <f>IF(OR('① Timelog Input'!B174="",J174=0),"",M174/J174)</f>
        <v/>
      </c>
      <c r="Q174" s="46" t="str">
        <f>IF('① Timelog Input'!B174="","",'① Timelog Input'!L174)</f>
        <v/>
      </c>
      <c r="R174" s="46" t="str">
        <f>IF('① Timelog Input'!B174="","",IF(NOT(ISNUMBER(L174)),"No Data",IF(L174&gt;=Settings!B13,"HIGH",IF(L174&gt;=Settings!B14,"MEDIUM","LOW"))))</f>
        <v/>
      </c>
    </row>
    <row r="175" spans="1:18" ht="15" customHeight="1" x14ac:dyDescent="0.2">
      <c r="A175" s="46" t="str">
        <f>IF('① Timelog Input'!B175="","",ROW()-3)</f>
        <v/>
      </c>
      <c r="B175" s="46" t="str">
        <f>IF('① Timelog Input'!B175="","",'① Timelog Input'!C175)</f>
        <v/>
      </c>
      <c r="C175" s="46" t="str">
        <f>IF('① Timelog Input'!B175="","",'① Timelog Input'!B175)</f>
        <v/>
      </c>
      <c r="D175" s="46" t="str">
        <f>IF('① Timelog Input'!B175="","",'① Timelog Input'!F175)</f>
        <v/>
      </c>
      <c r="E175" s="46" t="str">
        <f>IF('① Timelog Input'!B175="","",'① Timelog Input'!G175)</f>
        <v/>
      </c>
      <c r="F175" s="46" t="str">
        <f>IF('① Timelog Input'!B175="","",'① Timelog Input'!H175)</f>
        <v/>
      </c>
      <c r="G175" s="46" t="str">
        <f>IF('① Timelog Input'!B175="","",'① Timelog Input'!E175)</f>
        <v/>
      </c>
      <c r="H175" s="46" t="str">
        <f>IF('① Timelog Input'!B175="","",'① Timelog Input'!D175)</f>
        <v/>
      </c>
      <c r="I175" s="46" t="str">
        <f>IF('① Timelog Input'!B175="","",IF(ISNUMBER('① Timelog Input'!I175),'① Timelog Input'!I175,0))</f>
        <v/>
      </c>
      <c r="J175" s="46" t="str">
        <f>IF('① Timelog Input'!B175="","",IF(ISNUMBER('① Timelog Input'!J175),'① Timelog Input'!J175,0))</f>
        <v/>
      </c>
      <c r="K175" s="46" t="str">
        <f>IF('① Timelog Input'!B175="","",Settings!B6)</f>
        <v/>
      </c>
      <c r="L175" s="48" t="str">
        <f>IF(OR('① Timelog Input'!B175="",K175=0),"",J175/K175)</f>
        <v/>
      </c>
      <c r="M175" s="49" t="str">
        <f>IF('① Timelog Input'!B175="","",IFERROR(VLOOKUP(B175,'② Salary Input'!A:V,14,FALSE()),0))</f>
        <v/>
      </c>
      <c r="N175" s="49" t="str">
        <f>IF('① Timelog Input'!B175="","",IFERROR(VLOOKUP(B175,'② Salary Input'!A:V,10,FALSE()),0))</f>
        <v/>
      </c>
      <c r="O175" s="49" t="str">
        <f>IF('① Timelog Input'!B175="","",IF(AND(D175="Remote",N175&gt;0),N175,IF(K175=0,0,M175/K175)))</f>
        <v/>
      </c>
      <c r="P175" s="49" t="str">
        <f>IF(OR('① Timelog Input'!B175="",J175=0),"",M175/J175)</f>
        <v/>
      </c>
      <c r="Q175" s="46" t="str">
        <f>IF('① Timelog Input'!B175="","",'① Timelog Input'!L175)</f>
        <v/>
      </c>
      <c r="R175" s="46" t="str">
        <f>IF('① Timelog Input'!B175="","",IF(NOT(ISNUMBER(L175)),"No Data",IF(L175&gt;=Settings!B13,"HIGH",IF(L175&gt;=Settings!B14,"MEDIUM","LOW"))))</f>
        <v/>
      </c>
    </row>
    <row r="176" spans="1:18" ht="15" customHeight="1" x14ac:dyDescent="0.2">
      <c r="A176" s="46" t="str">
        <f>IF('① Timelog Input'!B176="","",ROW()-3)</f>
        <v/>
      </c>
      <c r="B176" s="46" t="str">
        <f>IF('① Timelog Input'!B176="","",'① Timelog Input'!C176)</f>
        <v/>
      </c>
      <c r="C176" s="46" t="str">
        <f>IF('① Timelog Input'!B176="","",'① Timelog Input'!B176)</f>
        <v/>
      </c>
      <c r="D176" s="46" t="str">
        <f>IF('① Timelog Input'!B176="","",'① Timelog Input'!F176)</f>
        <v/>
      </c>
      <c r="E176" s="46" t="str">
        <f>IF('① Timelog Input'!B176="","",'① Timelog Input'!G176)</f>
        <v/>
      </c>
      <c r="F176" s="46" t="str">
        <f>IF('① Timelog Input'!B176="","",'① Timelog Input'!H176)</f>
        <v/>
      </c>
      <c r="G176" s="46" t="str">
        <f>IF('① Timelog Input'!B176="","",'① Timelog Input'!E176)</f>
        <v/>
      </c>
      <c r="H176" s="46" t="str">
        <f>IF('① Timelog Input'!B176="","",'① Timelog Input'!D176)</f>
        <v/>
      </c>
      <c r="I176" s="46" t="str">
        <f>IF('① Timelog Input'!B176="","",IF(ISNUMBER('① Timelog Input'!I176),'① Timelog Input'!I176,0))</f>
        <v/>
      </c>
      <c r="J176" s="46" t="str">
        <f>IF('① Timelog Input'!B176="","",IF(ISNUMBER('① Timelog Input'!J176),'① Timelog Input'!J176,0))</f>
        <v/>
      </c>
      <c r="K176" s="46" t="str">
        <f>IF('① Timelog Input'!B176="","",Settings!B6)</f>
        <v/>
      </c>
      <c r="L176" s="48" t="str">
        <f>IF(OR('① Timelog Input'!B176="",K176=0),"",J176/K176)</f>
        <v/>
      </c>
      <c r="M176" s="49" t="str">
        <f>IF('① Timelog Input'!B176="","",IFERROR(VLOOKUP(B176,'② Salary Input'!A:V,14,FALSE()),0))</f>
        <v/>
      </c>
      <c r="N176" s="49" t="str">
        <f>IF('① Timelog Input'!B176="","",IFERROR(VLOOKUP(B176,'② Salary Input'!A:V,10,FALSE()),0))</f>
        <v/>
      </c>
      <c r="O176" s="49" t="str">
        <f>IF('① Timelog Input'!B176="","",IF(AND(D176="Remote",N176&gt;0),N176,IF(K176=0,0,M176/K176)))</f>
        <v/>
      </c>
      <c r="P176" s="49" t="str">
        <f>IF(OR('① Timelog Input'!B176="",J176=0),"",M176/J176)</f>
        <v/>
      </c>
      <c r="Q176" s="46" t="str">
        <f>IF('① Timelog Input'!B176="","",'① Timelog Input'!L176)</f>
        <v/>
      </c>
      <c r="R176" s="46" t="str">
        <f>IF('① Timelog Input'!B176="","",IF(NOT(ISNUMBER(L176)),"No Data",IF(L176&gt;=Settings!B13,"HIGH",IF(L176&gt;=Settings!B14,"MEDIUM","LOW"))))</f>
        <v/>
      </c>
    </row>
    <row r="177" spans="1:18" ht="15" customHeight="1" x14ac:dyDescent="0.2">
      <c r="A177" s="46" t="str">
        <f>IF('① Timelog Input'!B177="","",ROW()-3)</f>
        <v/>
      </c>
      <c r="B177" s="46" t="str">
        <f>IF('① Timelog Input'!B177="","",'① Timelog Input'!C177)</f>
        <v/>
      </c>
      <c r="C177" s="46" t="str">
        <f>IF('① Timelog Input'!B177="","",'① Timelog Input'!B177)</f>
        <v/>
      </c>
      <c r="D177" s="46" t="str">
        <f>IF('① Timelog Input'!B177="","",'① Timelog Input'!F177)</f>
        <v/>
      </c>
      <c r="E177" s="46" t="str">
        <f>IF('① Timelog Input'!B177="","",'① Timelog Input'!G177)</f>
        <v/>
      </c>
      <c r="F177" s="46" t="str">
        <f>IF('① Timelog Input'!B177="","",'① Timelog Input'!H177)</f>
        <v/>
      </c>
      <c r="G177" s="46" t="str">
        <f>IF('① Timelog Input'!B177="","",'① Timelog Input'!E177)</f>
        <v/>
      </c>
      <c r="H177" s="46" t="str">
        <f>IF('① Timelog Input'!B177="","",'① Timelog Input'!D177)</f>
        <v/>
      </c>
      <c r="I177" s="46" t="str">
        <f>IF('① Timelog Input'!B177="","",IF(ISNUMBER('① Timelog Input'!I177),'① Timelog Input'!I177,0))</f>
        <v/>
      </c>
      <c r="J177" s="46" t="str">
        <f>IF('① Timelog Input'!B177="","",IF(ISNUMBER('① Timelog Input'!J177),'① Timelog Input'!J177,0))</f>
        <v/>
      </c>
      <c r="K177" s="46" t="str">
        <f>IF('① Timelog Input'!B177="","",Settings!B6)</f>
        <v/>
      </c>
      <c r="L177" s="48" t="str">
        <f>IF(OR('① Timelog Input'!B177="",K177=0),"",J177/K177)</f>
        <v/>
      </c>
      <c r="M177" s="49" t="str">
        <f>IF('① Timelog Input'!B177="","",IFERROR(VLOOKUP(B177,'② Salary Input'!A:V,14,FALSE()),0))</f>
        <v/>
      </c>
      <c r="N177" s="49" t="str">
        <f>IF('① Timelog Input'!B177="","",IFERROR(VLOOKUP(B177,'② Salary Input'!A:V,10,FALSE()),0))</f>
        <v/>
      </c>
      <c r="O177" s="49" t="str">
        <f>IF('① Timelog Input'!B177="","",IF(AND(D177="Remote",N177&gt;0),N177,IF(K177=0,0,M177/K177)))</f>
        <v/>
      </c>
      <c r="P177" s="49" t="str">
        <f>IF(OR('① Timelog Input'!B177="",J177=0),"",M177/J177)</f>
        <v/>
      </c>
      <c r="Q177" s="46" t="str">
        <f>IF('① Timelog Input'!B177="","",'① Timelog Input'!L177)</f>
        <v/>
      </c>
      <c r="R177" s="46" t="str">
        <f>IF('① Timelog Input'!B177="","",IF(NOT(ISNUMBER(L177)),"No Data",IF(L177&gt;=Settings!B13,"HIGH",IF(L177&gt;=Settings!B14,"MEDIUM","LOW"))))</f>
        <v/>
      </c>
    </row>
    <row r="178" spans="1:18" ht="15" customHeight="1" x14ac:dyDescent="0.2">
      <c r="A178" s="46" t="str">
        <f>IF('① Timelog Input'!B178="","",ROW()-3)</f>
        <v/>
      </c>
      <c r="B178" s="46" t="str">
        <f>IF('① Timelog Input'!B178="","",'① Timelog Input'!C178)</f>
        <v/>
      </c>
      <c r="C178" s="46" t="str">
        <f>IF('① Timelog Input'!B178="","",'① Timelog Input'!B178)</f>
        <v/>
      </c>
      <c r="D178" s="46" t="str">
        <f>IF('① Timelog Input'!B178="","",'① Timelog Input'!F178)</f>
        <v/>
      </c>
      <c r="E178" s="46" t="str">
        <f>IF('① Timelog Input'!B178="","",'① Timelog Input'!G178)</f>
        <v/>
      </c>
      <c r="F178" s="46" t="str">
        <f>IF('① Timelog Input'!B178="","",'① Timelog Input'!H178)</f>
        <v/>
      </c>
      <c r="G178" s="46" t="str">
        <f>IF('① Timelog Input'!B178="","",'① Timelog Input'!E178)</f>
        <v/>
      </c>
      <c r="H178" s="46" t="str">
        <f>IF('① Timelog Input'!B178="","",'① Timelog Input'!D178)</f>
        <v/>
      </c>
      <c r="I178" s="46" t="str">
        <f>IF('① Timelog Input'!B178="","",IF(ISNUMBER('① Timelog Input'!I178),'① Timelog Input'!I178,0))</f>
        <v/>
      </c>
      <c r="J178" s="46" t="str">
        <f>IF('① Timelog Input'!B178="","",IF(ISNUMBER('① Timelog Input'!J178),'① Timelog Input'!J178,0))</f>
        <v/>
      </c>
      <c r="K178" s="46" t="str">
        <f>IF('① Timelog Input'!B178="","",Settings!B6)</f>
        <v/>
      </c>
      <c r="L178" s="48" t="str">
        <f>IF(OR('① Timelog Input'!B178="",K178=0),"",J178/K178)</f>
        <v/>
      </c>
      <c r="M178" s="49" t="str">
        <f>IF('① Timelog Input'!B178="","",IFERROR(VLOOKUP(B178,'② Salary Input'!A:V,14,FALSE()),0))</f>
        <v/>
      </c>
      <c r="N178" s="49" t="str">
        <f>IF('① Timelog Input'!B178="","",IFERROR(VLOOKUP(B178,'② Salary Input'!A:V,10,FALSE()),0))</f>
        <v/>
      </c>
      <c r="O178" s="49" t="str">
        <f>IF('① Timelog Input'!B178="","",IF(AND(D178="Remote",N178&gt;0),N178,IF(K178=0,0,M178/K178)))</f>
        <v/>
      </c>
      <c r="P178" s="49" t="str">
        <f>IF(OR('① Timelog Input'!B178="",J178=0),"",M178/J178)</f>
        <v/>
      </c>
      <c r="Q178" s="46" t="str">
        <f>IF('① Timelog Input'!B178="","",'① Timelog Input'!L178)</f>
        <v/>
      </c>
      <c r="R178" s="46" t="str">
        <f>IF('① Timelog Input'!B178="","",IF(NOT(ISNUMBER(L178)),"No Data",IF(L178&gt;=Settings!B13,"HIGH",IF(L178&gt;=Settings!B14,"MEDIUM","LOW"))))</f>
        <v/>
      </c>
    </row>
    <row r="179" spans="1:18" ht="15" customHeight="1" x14ac:dyDescent="0.2">
      <c r="A179" s="46" t="str">
        <f>IF('① Timelog Input'!B179="","",ROW()-3)</f>
        <v/>
      </c>
      <c r="B179" s="46" t="str">
        <f>IF('① Timelog Input'!B179="","",'① Timelog Input'!C179)</f>
        <v/>
      </c>
      <c r="C179" s="46" t="str">
        <f>IF('① Timelog Input'!B179="","",'① Timelog Input'!B179)</f>
        <v/>
      </c>
      <c r="D179" s="46" t="str">
        <f>IF('① Timelog Input'!B179="","",'① Timelog Input'!F179)</f>
        <v/>
      </c>
      <c r="E179" s="46" t="str">
        <f>IF('① Timelog Input'!B179="","",'① Timelog Input'!G179)</f>
        <v/>
      </c>
      <c r="F179" s="46" t="str">
        <f>IF('① Timelog Input'!B179="","",'① Timelog Input'!H179)</f>
        <v/>
      </c>
      <c r="G179" s="46" t="str">
        <f>IF('① Timelog Input'!B179="","",'① Timelog Input'!E179)</f>
        <v/>
      </c>
      <c r="H179" s="46" t="str">
        <f>IF('① Timelog Input'!B179="","",'① Timelog Input'!D179)</f>
        <v/>
      </c>
      <c r="I179" s="46" t="str">
        <f>IF('① Timelog Input'!B179="","",IF(ISNUMBER('① Timelog Input'!I179),'① Timelog Input'!I179,0))</f>
        <v/>
      </c>
      <c r="J179" s="46" t="str">
        <f>IF('① Timelog Input'!B179="","",IF(ISNUMBER('① Timelog Input'!J179),'① Timelog Input'!J179,0))</f>
        <v/>
      </c>
      <c r="K179" s="46" t="str">
        <f>IF('① Timelog Input'!B179="","",Settings!B6)</f>
        <v/>
      </c>
      <c r="L179" s="48" t="str">
        <f>IF(OR('① Timelog Input'!B179="",K179=0),"",J179/K179)</f>
        <v/>
      </c>
      <c r="M179" s="49" t="str">
        <f>IF('① Timelog Input'!B179="","",IFERROR(VLOOKUP(B179,'② Salary Input'!A:V,14,FALSE()),0))</f>
        <v/>
      </c>
      <c r="N179" s="49" t="str">
        <f>IF('① Timelog Input'!B179="","",IFERROR(VLOOKUP(B179,'② Salary Input'!A:V,10,FALSE()),0))</f>
        <v/>
      </c>
      <c r="O179" s="49" t="str">
        <f>IF('① Timelog Input'!B179="","",IF(AND(D179="Remote",N179&gt;0),N179,IF(K179=0,0,M179/K179)))</f>
        <v/>
      </c>
      <c r="P179" s="49" t="str">
        <f>IF(OR('① Timelog Input'!B179="",J179=0),"",M179/J179)</f>
        <v/>
      </c>
      <c r="Q179" s="46" t="str">
        <f>IF('① Timelog Input'!B179="","",'① Timelog Input'!L179)</f>
        <v/>
      </c>
      <c r="R179" s="46" t="str">
        <f>IF('① Timelog Input'!B179="","",IF(NOT(ISNUMBER(L179)),"No Data",IF(L179&gt;=Settings!B13,"HIGH",IF(L179&gt;=Settings!B14,"MEDIUM","LOW"))))</f>
        <v/>
      </c>
    </row>
    <row r="180" spans="1:18" ht="15" customHeight="1" x14ac:dyDescent="0.2">
      <c r="A180" s="46" t="str">
        <f>IF('① Timelog Input'!B180="","",ROW()-3)</f>
        <v/>
      </c>
      <c r="B180" s="46" t="str">
        <f>IF('① Timelog Input'!B180="","",'① Timelog Input'!C180)</f>
        <v/>
      </c>
      <c r="C180" s="46" t="str">
        <f>IF('① Timelog Input'!B180="","",'① Timelog Input'!B180)</f>
        <v/>
      </c>
      <c r="D180" s="46" t="str">
        <f>IF('① Timelog Input'!B180="","",'① Timelog Input'!F180)</f>
        <v/>
      </c>
      <c r="E180" s="46" t="str">
        <f>IF('① Timelog Input'!B180="","",'① Timelog Input'!G180)</f>
        <v/>
      </c>
      <c r="F180" s="46" t="str">
        <f>IF('① Timelog Input'!B180="","",'① Timelog Input'!H180)</f>
        <v/>
      </c>
      <c r="G180" s="46" t="str">
        <f>IF('① Timelog Input'!B180="","",'① Timelog Input'!E180)</f>
        <v/>
      </c>
      <c r="H180" s="46" t="str">
        <f>IF('① Timelog Input'!B180="","",'① Timelog Input'!D180)</f>
        <v/>
      </c>
      <c r="I180" s="46" t="str">
        <f>IF('① Timelog Input'!B180="","",IF(ISNUMBER('① Timelog Input'!I180),'① Timelog Input'!I180,0))</f>
        <v/>
      </c>
      <c r="J180" s="46" t="str">
        <f>IF('① Timelog Input'!B180="","",IF(ISNUMBER('① Timelog Input'!J180),'① Timelog Input'!J180,0))</f>
        <v/>
      </c>
      <c r="K180" s="46" t="str">
        <f>IF('① Timelog Input'!B180="","",Settings!B6)</f>
        <v/>
      </c>
      <c r="L180" s="48" t="str">
        <f>IF(OR('① Timelog Input'!B180="",K180=0),"",J180/K180)</f>
        <v/>
      </c>
      <c r="M180" s="49" t="str">
        <f>IF('① Timelog Input'!B180="","",IFERROR(VLOOKUP(B180,'② Salary Input'!A:V,14,FALSE()),0))</f>
        <v/>
      </c>
      <c r="N180" s="49" t="str">
        <f>IF('① Timelog Input'!B180="","",IFERROR(VLOOKUP(B180,'② Salary Input'!A:V,10,FALSE()),0))</f>
        <v/>
      </c>
      <c r="O180" s="49" t="str">
        <f>IF('① Timelog Input'!B180="","",IF(AND(D180="Remote",N180&gt;0),N180,IF(K180=0,0,M180/K180)))</f>
        <v/>
      </c>
      <c r="P180" s="49" t="str">
        <f>IF(OR('① Timelog Input'!B180="",J180=0),"",M180/J180)</f>
        <v/>
      </c>
      <c r="Q180" s="46" t="str">
        <f>IF('① Timelog Input'!B180="","",'① Timelog Input'!L180)</f>
        <v/>
      </c>
      <c r="R180" s="46" t="str">
        <f>IF('① Timelog Input'!B180="","",IF(NOT(ISNUMBER(L180)),"No Data",IF(L180&gt;=Settings!B13,"HIGH",IF(L180&gt;=Settings!B14,"MEDIUM","LOW"))))</f>
        <v/>
      </c>
    </row>
    <row r="181" spans="1:18" ht="15" customHeight="1" x14ac:dyDescent="0.2">
      <c r="A181" s="46" t="str">
        <f>IF('① Timelog Input'!B181="","",ROW()-3)</f>
        <v/>
      </c>
      <c r="B181" s="46" t="str">
        <f>IF('① Timelog Input'!B181="","",'① Timelog Input'!C181)</f>
        <v/>
      </c>
      <c r="C181" s="46" t="str">
        <f>IF('① Timelog Input'!B181="","",'① Timelog Input'!B181)</f>
        <v/>
      </c>
      <c r="D181" s="46" t="str">
        <f>IF('① Timelog Input'!B181="","",'① Timelog Input'!F181)</f>
        <v/>
      </c>
      <c r="E181" s="46" t="str">
        <f>IF('① Timelog Input'!B181="","",'① Timelog Input'!G181)</f>
        <v/>
      </c>
      <c r="F181" s="46" t="str">
        <f>IF('① Timelog Input'!B181="","",'① Timelog Input'!H181)</f>
        <v/>
      </c>
      <c r="G181" s="46" t="str">
        <f>IF('① Timelog Input'!B181="","",'① Timelog Input'!E181)</f>
        <v/>
      </c>
      <c r="H181" s="46" t="str">
        <f>IF('① Timelog Input'!B181="","",'① Timelog Input'!D181)</f>
        <v/>
      </c>
      <c r="I181" s="46" t="str">
        <f>IF('① Timelog Input'!B181="","",IF(ISNUMBER('① Timelog Input'!I181),'① Timelog Input'!I181,0))</f>
        <v/>
      </c>
      <c r="J181" s="46" t="str">
        <f>IF('① Timelog Input'!B181="","",IF(ISNUMBER('① Timelog Input'!J181),'① Timelog Input'!J181,0))</f>
        <v/>
      </c>
      <c r="K181" s="46" t="str">
        <f>IF('① Timelog Input'!B181="","",Settings!B6)</f>
        <v/>
      </c>
      <c r="L181" s="48" t="str">
        <f>IF(OR('① Timelog Input'!B181="",K181=0),"",J181/K181)</f>
        <v/>
      </c>
      <c r="M181" s="49" t="str">
        <f>IF('① Timelog Input'!B181="","",IFERROR(VLOOKUP(B181,'② Salary Input'!A:V,14,FALSE()),0))</f>
        <v/>
      </c>
      <c r="N181" s="49" t="str">
        <f>IF('① Timelog Input'!B181="","",IFERROR(VLOOKUP(B181,'② Salary Input'!A:V,10,FALSE()),0))</f>
        <v/>
      </c>
      <c r="O181" s="49" t="str">
        <f>IF('① Timelog Input'!B181="","",IF(AND(D181="Remote",N181&gt;0),N181,IF(K181=0,0,M181/K181)))</f>
        <v/>
      </c>
      <c r="P181" s="49" t="str">
        <f>IF(OR('① Timelog Input'!B181="",J181=0),"",M181/J181)</f>
        <v/>
      </c>
      <c r="Q181" s="46" t="str">
        <f>IF('① Timelog Input'!B181="","",'① Timelog Input'!L181)</f>
        <v/>
      </c>
      <c r="R181" s="46" t="str">
        <f>IF('① Timelog Input'!B181="","",IF(NOT(ISNUMBER(L181)),"No Data",IF(L181&gt;=Settings!B13,"HIGH",IF(L181&gt;=Settings!B14,"MEDIUM","LOW"))))</f>
        <v/>
      </c>
    </row>
    <row r="182" spans="1:18" ht="15" customHeight="1" x14ac:dyDescent="0.2">
      <c r="A182" s="46" t="str">
        <f>IF('① Timelog Input'!B182="","",ROW()-3)</f>
        <v/>
      </c>
      <c r="B182" s="46" t="str">
        <f>IF('① Timelog Input'!B182="","",'① Timelog Input'!C182)</f>
        <v/>
      </c>
      <c r="C182" s="46" t="str">
        <f>IF('① Timelog Input'!B182="","",'① Timelog Input'!B182)</f>
        <v/>
      </c>
      <c r="D182" s="46" t="str">
        <f>IF('① Timelog Input'!B182="","",'① Timelog Input'!F182)</f>
        <v/>
      </c>
      <c r="E182" s="46" t="str">
        <f>IF('① Timelog Input'!B182="","",'① Timelog Input'!G182)</f>
        <v/>
      </c>
      <c r="F182" s="46" t="str">
        <f>IF('① Timelog Input'!B182="","",'① Timelog Input'!H182)</f>
        <v/>
      </c>
      <c r="G182" s="46" t="str">
        <f>IF('① Timelog Input'!B182="","",'① Timelog Input'!E182)</f>
        <v/>
      </c>
      <c r="H182" s="46" t="str">
        <f>IF('① Timelog Input'!B182="","",'① Timelog Input'!D182)</f>
        <v/>
      </c>
      <c r="I182" s="46" t="str">
        <f>IF('① Timelog Input'!B182="","",IF(ISNUMBER('① Timelog Input'!I182),'① Timelog Input'!I182,0))</f>
        <v/>
      </c>
      <c r="J182" s="46" t="str">
        <f>IF('① Timelog Input'!B182="","",IF(ISNUMBER('① Timelog Input'!J182),'① Timelog Input'!J182,0))</f>
        <v/>
      </c>
      <c r="K182" s="46" t="str">
        <f>IF('① Timelog Input'!B182="","",Settings!B6)</f>
        <v/>
      </c>
      <c r="L182" s="48" t="str">
        <f>IF(OR('① Timelog Input'!B182="",K182=0),"",J182/K182)</f>
        <v/>
      </c>
      <c r="M182" s="49" t="str">
        <f>IF('① Timelog Input'!B182="","",IFERROR(VLOOKUP(B182,'② Salary Input'!A:V,14,FALSE()),0))</f>
        <v/>
      </c>
      <c r="N182" s="49" t="str">
        <f>IF('① Timelog Input'!B182="","",IFERROR(VLOOKUP(B182,'② Salary Input'!A:V,10,FALSE()),0))</f>
        <v/>
      </c>
      <c r="O182" s="49" t="str">
        <f>IF('① Timelog Input'!B182="","",IF(AND(D182="Remote",N182&gt;0),N182,IF(K182=0,0,M182/K182)))</f>
        <v/>
      </c>
      <c r="P182" s="49" t="str">
        <f>IF(OR('① Timelog Input'!B182="",J182=0),"",M182/J182)</f>
        <v/>
      </c>
      <c r="Q182" s="46" t="str">
        <f>IF('① Timelog Input'!B182="","",'① Timelog Input'!L182)</f>
        <v/>
      </c>
      <c r="R182" s="46" t="str">
        <f>IF('① Timelog Input'!B182="","",IF(NOT(ISNUMBER(L182)),"No Data",IF(L182&gt;=Settings!B13,"HIGH",IF(L182&gt;=Settings!B14,"MEDIUM","LOW"))))</f>
        <v/>
      </c>
    </row>
    <row r="183" spans="1:18" ht="15" customHeight="1" x14ac:dyDescent="0.2">
      <c r="A183" s="46" t="str">
        <f>IF('① Timelog Input'!B183="","",ROW()-3)</f>
        <v/>
      </c>
      <c r="B183" s="46" t="str">
        <f>IF('① Timelog Input'!B183="","",'① Timelog Input'!C183)</f>
        <v/>
      </c>
      <c r="C183" s="46" t="str">
        <f>IF('① Timelog Input'!B183="","",'① Timelog Input'!B183)</f>
        <v/>
      </c>
      <c r="D183" s="46" t="str">
        <f>IF('① Timelog Input'!B183="","",'① Timelog Input'!F183)</f>
        <v/>
      </c>
      <c r="E183" s="46" t="str">
        <f>IF('① Timelog Input'!B183="","",'① Timelog Input'!G183)</f>
        <v/>
      </c>
      <c r="F183" s="46" t="str">
        <f>IF('① Timelog Input'!B183="","",'① Timelog Input'!H183)</f>
        <v/>
      </c>
      <c r="G183" s="46" t="str">
        <f>IF('① Timelog Input'!B183="","",'① Timelog Input'!E183)</f>
        <v/>
      </c>
      <c r="H183" s="46" t="str">
        <f>IF('① Timelog Input'!B183="","",'① Timelog Input'!D183)</f>
        <v/>
      </c>
      <c r="I183" s="46" t="str">
        <f>IF('① Timelog Input'!B183="","",IF(ISNUMBER('① Timelog Input'!I183),'① Timelog Input'!I183,0))</f>
        <v/>
      </c>
      <c r="J183" s="46" t="str">
        <f>IF('① Timelog Input'!B183="","",IF(ISNUMBER('① Timelog Input'!J183),'① Timelog Input'!J183,0))</f>
        <v/>
      </c>
      <c r="K183" s="46" t="str">
        <f>IF('① Timelog Input'!B183="","",Settings!B6)</f>
        <v/>
      </c>
      <c r="L183" s="48" t="str">
        <f>IF(OR('① Timelog Input'!B183="",K183=0),"",J183/K183)</f>
        <v/>
      </c>
      <c r="M183" s="49" t="str">
        <f>IF('① Timelog Input'!B183="","",IFERROR(VLOOKUP(B183,'② Salary Input'!A:V,14,FALSE()),0))</f>
        <v/>
      </c>
      <c r="N183" s="49" t="str">
        <f>IF('① Timelog Input'!B183="","",IFERROR(VLOOKUP(B183,'② Salary Input'!A:V,10,FALSE()),0))</f>
        <v/>
      </c>
      <c r="O183" s="49" t="str">
        <f>IF('① Timelog Input'!B183="","",IF(AND(D183="Remote",N183&gt;0),N183,IF(K183=0,0,M183/K183)))</f>
        <v/>
      </c>
      <c r="P183" s="49" t="str">
        <f>IF(OR('① Timelog Input'!B183="",J183=0),"",M183/J183)</f>
        <v/>
      </c>
      <c r="Q183" s="46" t="str">
        <f>IF('① Timelog Input'!B183="","",'① Timelog Input'!L183)</f>
        <v/>
      </c>
      <c r="R183" s="46" t="str">
        <f>IF('① Timelog Input'!B183="","",IF(NOT(ISNUMBER(L183)),"No Data",IF(L183&gt;=Settings!B13,"HIGH",IF(L183&gt;=Settings!B14,"MEDIUM","LOW"))))</f>
        <v/>
      </c>
    </row>
    <row r="184" spans="1:18" ht="15" customHeight="1" x14ac:dyDescent="0.2">
      <c r="A184" s="46" t="str">
        <f>IF('① Timelog Input'!B184="","",ROW()-3)</f>
        <v/>
      </c>
      <c r="B184" s="46" t="str">
        <f>IF('① Timelog Input'!B184="","",'① Timelog Input'!C184)</f>
        <v/>
      </c>
      <c r="C184" s="46" t="str">
        <f>IF('① Timelog Input'!B184="","",'① Timelog Input'!B184)</f>
        <v/>
      </c>
      <c r="D184" s="46" t="str">
        <f>IF('① Timelog Input'!B184="","",'① Timelog Input'!F184)</f>
        <v/>
      </c>
      <c r="E184" s="46" t="str">
        <f>IF('① Timelog Input'!B184="","",'① Timelog Input'!G184)</f>
        <v/>
      </c>
      <c r="F184" s="46" t="str">
        <f>IF('① Timelog Input'!B184="","",'① Timelog Input'!H184)</f>
        <v/>
      </c>
      <c r="G184" s="46" t="str">
        <f>IF('① Timelog Input'!B184="","",'① Timelog Input'!E184)</f>
        <v/>
      </c>
      <c r="H184" s="46" t="str">
        <f>IF('① Timelog Input'!B184="","",'① Timelog Input'!D184)</f>
        <v/>
      </c>
      <c r="I184" s="46" t="str">
        <f>IF('① Timelog Input'!B184="","",IF(ISNUMBER('① Timelog Input'!I184),'① Timelog Input'!I184,0))</f>
        <v/>
      </c>
      <c r="J184" s="46" t="str">
        <f>IF('① Timelog Input'!B184="","",IF(ISNUMBER('① Timelog Input'!J184),'① Timelog Input'!J184,0))</f>
        <v/>
      </c>
      <c r="K184" s="46" t="str">
        <f>IF('① Timelog Input'!B184="","",Settings!B6)</f>
        <v/>
      </c>
      <c r="L184" s="48" t="str">
        <f>IF(OR('① Timelog Input'!B184="",K184=0),"",J184/K184)</f>
        <v/>
      </c>
      <c r="M184" s="49" t="str">
        <f>IF('① Timelog Input'!B184="","",IFERROR(VLOOKUP(B184,'② Salary Input'!A:V,14,FALSE()),0))</f>
        <v/>
      </c>
      <c r="N184" s="49" t="str">
        <f>IF('① Timelog Input'!B184="","",IFERROR(VLOOKUP(B184,'② Salary Input'!A:V,10,FALSE()),0))</f>
        <v/>
      </c>
      <c r="O184" s="49" t="str">
        <f>IF('① Timelog Input'!B184="","",IF(AND(D184="Remote",N184&gt;0),N184,IF(K184=0,0,M184/K184)))</f>
        <v/>
      </c>
      <c r="P184" s="49" t="str">
        <f>IF(OR('① Timelog Input'!B184="",J184=0),"",M184/J184)</f>
        <v/>
      </c>
      <c r="Q184" s="46" t="str">
        <f>IF('① Timelog Input'!B184="","",'① Timelog Input'!L184)</f>
        <v/>
      </c>
      <c r="R184" s="46" t="str">
        <f>IF('① Timelog Input'!B184="","",IF(NOT(ISNUMBER(L184)),"No Data",IF(L184&gt;=Settings!B13,"HIGH",IF(L184&gt;=Settings!B14,"MEDIUM","LOW"))))</f>
        <v/>
      </c>
    </row>
    <row r="185" spans="1:18" ht="15" customHeight="1" x14ac:dyDescent="0.2">
      <c r="A185" s="46" t="str">
        <f>IF('① Timelog Input'!B185="","",ROW()-3)</f>
        <v/>
      </c>
      <c r="B185" s="46" t="str">
        <f>IF('① Timelog Input'!B185="","",'① Timelog Input'!C185)</f>
        <v/>
      </c>
      <c r="C185" s="46" t="str">
        <f>IF('① Timelog Input'!B185="","",'① Timelog Input'!B185)</f>
        <v/>
      </c>
      <c r="D185" s="46" t="str">
        <f>IF('① Timelog Input'!B185="","",'① Timelog Input'!F185)</f>
        <v/>
      </c>
      <c r="E185" s="46" t="str">
        <f>IF('① Timelog Input'!B185="","",'① Timelog Input'!G185)</f>
        <v/>
      </c>
      <c r="F185" s="46" t="str">
        <f>IF('① Timelog Input'!B185="","",'① Timelog Input'!H185)</f>
        <v/>
      </c>
      <c r="G185" s="46" t="str">
        <f>IF('① Timelog Input'!B185="","",'① Timelog Input'!E185)</f>
        <v/>
      </c>
      <c r="H185" s="46" t="str">
        <f>IF('① Timelog Input'!B185="","",'① Timelog Input'!D185)</f>
        <v/>
      </c>
      <c r="I185" s="46" t="str">
        <f>IF('① Timelog Input'!B185="","",IF(ISNUMBER('① Timelog Input'!I185),'① Timelog Input'!I185,0))</f>
        <v/>
      </c>
      <c r="J185" s="46" t="str">
        <f>IF('① Timelog Input'!B185="","",IF(ISNUMBER('① Timelog Input'!J185),'① Timelog Input'!J185,0))</f>
        <v/>
      </c>
      <c r="K185" s="46" t="str">
        <f>IF('① Timelog Input'!B185="","",Settings!B6)</f>
        <v/>
      </c>
      <c r="L185" s="48" t="str">
        <f>IF(OR('① Timelog Input'!B185="",K185=0),"",J185/K185)</f>
        <v/>
      </c>
      <c r="M185" s="49" t="str">
        <f>IF('① Timelog Input'!B185="","",IFERROR(VLOOKUP(B185,'② Salary Input'!A:V,14,FALSE()),0))</f>
        <v/>
      </c>
      <c r="N185" s="49" t="str">
        <f>IF('① Timelog Input'!B185="","",IFERROR(VLOOKUP(B185,'② Salary Input'!A:V,10,FALSE()),0))</f>
        <v/>
      </c>
      <c r="O185" s="49" t="str">
        <f>IF('① Timelog Input'!B185="","",IF(AND(D185="Remote",N185&gt;0),N185,IF(K185=0,0,M185/K185)))</f>
        <v/>
      </c>
      <c r="P185" s="49" t="str">
        <f>IF(OR('① Timelog Input'!B185="",J185=0),"",M185/J185)</f>
        <v/>
      </c>
      <c r="Q185" s="46" t="str">
        <f>IF('① Timelog Input'!B185="","",'① Timelog Input'!L185)</f>
        <v/>
      </c>
      <c r="R185" s="46" t="str">
        <f>IF('① Timelog Input'!B185="","",IF(NOT(ISNUMBER(L185)),"No Data",IF(L185&gt;=Settings!B13,"HIGH",IF(L185&gt;=Settings!B14,"MEDIUM","LOW"))))</f>
        <v/>
      </c>
    </row>
    <row r="186" spans="1:18" ht="15" customHeight="1" x14ac:dyDescent="0.2">
      <c r="A186" s="46" t="str">
        <f>IF('① Timelog Input'!B186="","",ROW()-3)</f>
        <v/>
      </c>
      <c r="B186" s="46" t="str">
        <f>IF('① Timelog Input'!B186="","",'① Timelog Input'!C186)</f>
        <v/>
      </c>
      <c r="C186" s="46" t="str">
        <f>IF('① Timelog Input'!B186="","",'① Timelog Input'!B186)</f>
        <v/>
      </c>
      <c r="D186" s="46" t="str">
        <f>IF('① Timelog Input'!B186="","",'① Timelog Input'!F186)</f>
        <v/>
      </c>
      <c r="E186" s="46" t="str">
        <f>IF('① Timelog Input'!B186="","",'① Timelog Input'!G186)</f>
        <v/>
      </c>
      <c r="F186" s="46" t="str">
        <f>IF('① Timelog Input'!B186="","",'① Timelog Input'!H186)</f>
        <v/>
      </c>
      <c r="G186" s="46" t="str">
        <f>IF('① Timelog Input'!B186="","",'① Timelog Input'!E186)</f>
        <v/>
      </c>
      <c r="H186" s="46" t="str">
        <f>IF('① Timelog Input'!B186="","",'① Timelog Input'!D186)</f>
        <v/>
      </c>
      <c r="I186" s="46" t="str">
        <f>IF('① Timelog Input'!B186="","",IF(ISNUMBER('① Timelog Input'!I186),'① Timelog Input'!I186,0))</f>
        <v/>
      </c>
      <c r="J186" s="46" t="str">
        <f>IF('① Timelog Input'!B186="","",IF(ISNUMBER('① Timelog Input'!J186),'① Timelog Input'!J186,0))</f>
        <v/>
      </c>
      <c r="K186" s="46" t="str">
        <f>IF('① Timelog Input'!B186="","",Settings!B6)</f>
        <v/>
      </c>
      <c r="L186" s="48" t="str">
        <f>IF(OR('① Timelog Input'!B186="",K186=0),"",J186/K186)</f>
        <v/>
      </c>
      <c r="M186" s="49" t="str">
        <f>IF('① Timelog Input'!B186="","",IFERROR(VLOOKUP(B186,'② Salary Input'!A:V,14,FALSE()),0))</f>
        <v/>
      </c>
      <c r="N186" s="49" t="str">
        <f>IF('① Timelog Input'!B186="","",IFERROR(VLOOKUP(B186,'② Salary Input'!A:V,10,FALSE()),0))</f>
        <v/>
      </c>
      <c r="O186" s="49" t="str">
        <f>IF('① Timelog Input'!B186="","",IF(AND(D186="Remote",N186&gt;0),N186,IF(K186=0,0,M186/K186)))</f>
        <v/>
      </c>
      <c r="P186" s="49" t="str">
        <f>IF(OR('① Timelog Input'!B186="",J186=0),"",M186/J186)</f>
        <v/>
      </c>
      <c r="Q186" s="46" t="str">
        <f>IF('① Timelog Input'!B186="","",'① Timelog Input'!L186)</f>
        <v/>
      </c>
      <c r="R186" s="46" t="str">
        <f>IF('① Timelog Input'!B186="","",IF(NOT(ISNUMBER(L186)),"No Data",IF(L186&gt;=Settings!B13,"HIGH",IF(L186&gt;=Settings!B14,"MEDIUM","LOW"))))</f>
        <v/>
      </c>
    </row>
    <row r="187" spans="1:18" ht="15" customHeight="1" x14ac:dyDescent="0.2">
      <c r="A187" s="46" t="str">
        <f>IF('① Timelog Input'!B187="","",ROW()-3)</f>
        <v/>
      </c>
      <c r="B187" s="46" t="str">
        <f>IF('① Timelog Input'!B187="","",'① Timelog Input'!C187)</f>
        <v/>
      </c>
      <c r="C187" s="46" t="str">
        <f>IF('① Timelog Input'!B187="","",'① Timelog Input'!B187)</f>
        <v/>
      </c>
      <c r="D187" s="46" t="str">
        <f>IF('① Timelog Input'!B187="","",'① Timelog Input'!F187)</f>
        <v/>
      </c>
      <c r="E187" s="46" t="str">
        <f>IF('① Timelog Input'!B187="","",'① Timelog Input'!G187)</f>
        <v/>
      </c>
      <c r="F187" s="46" t="str">
        <f>IF('① Timelog Input'!B187="","",'① Timelog Input'!H187)</f>
        <v/>
      </c>
      <c r="G187" s="46" t="str">
        <f>IF('① Timelog Input'!B187="","",'① Timelog Input'!E187)</f>
        <v/>
      </c>
      <c r="H187" s="46" t="str">
        <f>IF('① Timelog Input'!B187="","",'① Timelog Input'!D187)</f>
        <v/>
      </c>
      <c r="I187" s="46" t="str">
        <f>IF('① Timelog Input'!B187="","",IF(ISNUMBER('① Timelog Input'!I187),'① Timelog Input'!I187,0))</f>
        <v/>
      </c>
      <c r="J187" s="46" t="str">
        <f>IF('① Timelog Input'!B187="","",IF(ISNUMBER('① Timelog Input'!J187),'① Timelog Input'!J187,0))</f>
        <v/>
      </c>
      <c r="K187" s="46" t="str">
        <f>IF('① Timelog Input'!B187="","",Settings!B6)</f>
        <v/>
      </c>
      <c r="L187" s="48" t="str">
        <f>IF(OR('① Timelog Input'!B187="",K187=0),"",J187/K187)</f>
        <v/>
      </c>
      <c r="M187" s="49" t="str">
        <f>IF('① Timelog Input'!B187="","",IFERROR(VLOOKUP(B187,'② Salary Input'!A:V,14,FALSE()),0))</f>
        <v/>
      </c>
      <c r="N187" s="49" t="str">
        <f>IF('① Timelog Input'!B187="","",IFERROR(VLOOKUP(B187,'② Salary Input'!A:V,10,FALSE()),0))</f>
        <v/>
      </c>
      <c r="O187" s="49" t="str">
        <f>IF('① Timelog Input'!B187="","",IF(AND(D187="Remote",N187&gt;0),N187,IF(K187=0,0,M187/K187)))</f>
        <v/>
      </c>
      <c r="P187" s="49" t="str">
        <f>IF(OR('① Timelog Input'!B187="",J187=0),"",M187/J187)</f>
        <v/>
      </c>
      <c r="Q187" s="46" t="str">
        <f>IF('① Timelog Input'!B187="","",'① Timelog Input'!L187)</f>
        <v/>
      </c>
      <c r="R187" s="46" t="str">
        <f>IF('① Timelog Input'!B187="","",IF(NOT(ISNUMBER(L187)),"No Data",IF(L187&gt;=Settings!B13,"HIGH",IF(L187&gt;=Settings!B14,"MEDIUM","LOW"))))</f>
        <v/>
      </c>
    </row>
    <row r="188" spans="1:18" ht="15" customHeight="1" x14ac:dyDescent="0.2">
      <c r="A188" s="46" t="str">
        <f>IF('① Timelog Input'!B188="","",ROW()-3)</f>
        <v/>
      </c>
      <c r="B188" s="46" t="str">
        <f>IF('① Timelog Input'!B188="","",'① Timelog Input'!C188)</f>
        <v/>
      </c>
      <c r="C188" s="46" t="str">
        <f>IF('① Timelog Input'!B188="","",'① Timelog Input'!B188)</f>
        <v/>
      </c>
      <c r="D188" s="46" t="str">
        <f>IF('① Timelog Input'!B188="","",'① Timelog Input'!F188)</f>
        <v/>
      </c>
      <c r="E188" s="46" t="str">
        <f>IF('① Timelog Input'!B188="","",'① Timelog Input'!G188)</f>
        <v/>
      </c>
      <c r="F188" s="46" t="str">
        <f>IF('① Timelog Input'!B188="","",'① Timelog Input'!H188)</f>
        <v/>
      </c>
      <c r="G188" s="46" t="str">
        <f>IF('① Timelog Input'!B188="","",'① Timelog Input'!E188)</f>
        <v/>
      </c>
      <c r="H188" s="46" t="str">
        <f>IF('① Timelog Input'!B188="","",'① Timelog Input'!D188)</f>
        <v/>
      </c>
      <c r="I188" s="46" t="str">
        <f>IF('① Timelog Input'!B188="","",IF(ISNUMBER('① Timelog Input'!I188),'① Timelog Input'!I188,0))</f>
        <v/>
      </c>
      <c r="J188" s="46" t="str">
        <f>IF('① Timelog Input'!B188="","",IF(ISNUMBER('① Timelog Input'!J188),'① Timelog Input'!J188,0))</f>
        <v/>
      </c>
      <c r="K188" s="46" t="str">
        <f>IF('① Timelog Input'!B188="","",Settings!B6)</f>
        <v/>
      </c>
      <c r="L188" s="48" t="str">
        <f>IF(OR('① Timelog Input'!B188="",K188=0),"",J188/K188)</f>
        <v/>
      </c>
      <c r="M188" s="49" t="str">
        <f>IF('① Timelog Input'!B188="","",IFERROR(VLOOKUP(B188,'② Salary Input'!A:V,14,FALSE()),0))</f>
        <v/>
      </c>
      <c r="N188" s="49" t="str">
        <f>IF('① Timelog Input'!B188="","",IFERROR(VLOOKUP(B188,'② Salary Input'!A:V,10,FALSE()),0))</f>
        <v/>
      </c>
      <c r="O188" s="49" t="str">
        <f>IF('① Timelog Input'!B188="","",IF(AND(D188="Remote",N188&gt;0),N188,IF(K188=0,0,M188/K188)))</f>
        <v/>
      </c>
      <c r="P188" s="49" t="str">
        <f>IF(OR('① Timelog Input'!B188="",J188=0),"",M188/J188)</f>
        <v/>
      </c>
      <c r="Q188" s="46" t="str">
        <f>IF('① Timelog Input'!B188="","",'① Timelog Input'!L188)</f>
        <v/>
      </c>
      <c r="R188" s="46" t="str">
        <f>IF('① Timelog Input'!B188="","",IF(NOT(ISNUMBER(L188)),"No Data",IF(L188&gt;=Settings!B13,"HIGH",IF(L188&gt;=Settings!B14,"MEDIUM","LOW"))))</f>
        <v/>
      </c>
    </row>
    <row r="189" spans="1:18" ht="15" customHeight="1" x14ac:dyDescent="0.2">
      <c r="A189" s="46" t="str">
        <f>IF('① Timelog Input'!B189="","",ROW()-3)</f>
        <v/>
      </c>
      <c r="B189" s="46" t="str">
        <f>IF('① Timelog Input'!B189="","",'① Timelog Input'!C189)</f>
        <v/>
      </c>
      <c r="C189" s="46" t="str">
        <f>IF('① Timelog Input'!B189="","",'① Timelog Input'!B189)</f>
        <v/>
      </c>
      <c r="D189" s="46" t="str">
        <f>IF('① Timelog Input'!B189="","",'① Timelog Input'!F189)</f>
        <v/>
      </c>
      <c r="E189" s="46" t="str">
        <f>IF('① Timelog Input'!B189="","",'① Timelog Input'!G189)</f>
        <v/>
      </c>
      <c r="F189" s="46" t="str">
        <f>IF('① Timelog Input'!B189="","",'① Timelog Input'!H189)</f>
        <v/>
      </c>
      <c r="G189" s="46" t="str">
        <f>IF('① Timelog Input'!B189="","",'① Timelog Input'!E189)</f>
        <v/>
      </c>
      <c r="H189" s="46" t="str">
        <f>IF('① Timelog Input'!B189="","",'① Timelog Input'!D189)</f>
        <v/>
      </c>
      <c r="I189" s="46" t="str">
        <f>IF('① Timelog Input'!B189="","",IF(ISNUMBER('① Timelog Input'!I189),'① Timelog Input'!I189,0))</f>
        <v/>
      </c>
      <c r="J189" s="46" t="str">
        <f>IF('① Timelog Input'!B189="","",IF(ISNUMBER('① Timelog Input'!J189),'① Timelog Input'!J189,0))</f>
        <v/>
      </c>
      <c r="K189" s="46" t="str">
        <f>IF('① Timelog Input'!B189="","",Settings!B6)</f>
        <v/>
      </c>
      <c r="L189" s="48" t="str">
        <f>IF(OR('① Timelog Input'!B189="",K189=0),"",J189/K189)</f>
        <v/>
      </c>
      <c r="M189" s="49" t="str">
        <f>IF('① Timelog Input'!B189="","",IFERROR(VLOOKUP(B189,'② Salary Input'!A:V,14,FALSE()),0))</f>
        <v/>
      </c>
      <c r="N189" s="49" t="str">
        <f>IF('① Timelog Input'!B189="","",IFERROR(VLOOKUP(B189,'② Salary Input'!A:V,10,FALSE()),0))</f>
        <v/>
      </c>
      <c r="O189" s="49" t="str">
        <f>IF('① Timelog Input'!B189="","",IF(AND(D189="Remote",N189&gt;0),N189,IF(K189=0,0,M189/K189)))</f>
        <v/>
      </c>
      <c r="P189" s="49" t="str">
        <f>IF(OR('① Timelog Input'!B189="",J189=0),"",M189/J189)</f>
        <v/>
      </c>
      <c r="Q189" s="46" t="str">
        <f>IF('① Timelog Input'!B189="","",'① Timelog Input'!L189)</f>
        <v/>
      </c>
      <c r="R189" s="46" t="str">
        <f>IF('① Timelog Input'!B189="","",IF(NOT(ISNUMBER(L189)),"No Data",IF(L189&gt;=Settings!B13,"HIGH",IF(L189&gt;=Settings!B14,"MEDIUM","LOW"))))</f>
        <v/>
      </c>
    </row>
    <row r="190" spans="1:18" ht="15" customHeight="1" x14ac:dyDescent="0.2">
      <c r="A190" s="46" t="str">
        <f>IF('① Timelog Input'!B190="","",ROW()-3)</f>
        <v/>
      </c>
      <c r="B190" s="46" t="str">
        <f>IF('① Timelog Input'!B190="","",'① Timelog Input'!C190)</f>
        <v/>
      </c>
      <c r="C190" s="46" t="str">
        <f>IF('① Timelog Input'!B190="","",'① Timelog Input'!B190)</f>
        <v/>
      </c>
      <c r="D190" s="46" t="str">
        <f>IF('① Timelog Input'!B190="","",'① Timelog Input'!F190)</f>
        <v/>
      </c>
      <c r="E190" s="46" t="str">
        <f>IF('① Timelog Input'!B190="","",'① Timelog Input'!G190)</f>
        <v/>
      </c>
      <c r="F190" s="46" t="str">
        <f>IF('① Timelog Input'!B190="","",'① Timelog Input'!H190)</f>
        <v/>
      </c>
      <c r="G190" s="46" t="str">
        <f>IF('① Timelog Input'!B190="","",'① Timelog Input'!E190)</f>
        <v/>
      </c>
      <c r="H190" s="46" t="str">
        <f>IF('① Timelog Input'!B190="","",'① Timelog Input'!D190)</f>
        <v/>
      </c>
      <c r="I190" s="46" t="str">
        <f>IF('① Timelog Input'!B190="","",IF(ISNUMBER('① Timelog Input'!I190),'① Timelog Input'!I190,0))</f>
        <v/>
      </c>
      <c r="J190" s="46" t="str">
        <f>IF('① Timelog Input'!B190="","",IF(ISNUMBER('① Timelog Input'!J190),'① Timelog Input'!J190,0))</f>
        <v/>
      </c>
      <c r="K190" s="46" t="str">
        <f>IF('① Timelog Input'!B190="","",Settings!B6)</f>
        <v/>
      </c>
      <c r="L190" s="48" t="str">
        <f>IF(OR('① Timelog Input'!B190="",K190=0),"",J190/K190)</f>
        <v/>
      </c>
      <c r="M190" s="49" t="str">
        <f>IF('① Timelog Input'!B190="","",IFERROR(VLOOKUP(B190,'② Salary Input'!A:V,14,FALSE()),0))</f>
        <v/>
      </c>
      <c r="N190" s="49" t="str">
        <f>IF('① Timelog Input'!B190="","",IFERROR(VLOOKUP(B190,'② Salary Input'!A:V,10,FALSE()),0))</f>
        <v/>
      </c>
      <c r="O190" s="49" t="str">
        <f>IF('① Timelog Input'!B190="","",IF(AND(D190="Remote",N190&gt;0),N190,IF(K190=0,0,M190/K190)))</f>
        <v/>
      </c>
      <c r="P190" s="49" t="str">
        <f>IF(OR('① Timelog Input'!B190="",J190=0),"",M190/J190)</f>
        <v/>
      </c>
      <c r="Q190" s="46" t="str">
        <f>IF('① Timelog Input'!B190="","",'① Timelog Input'!L190)</f>
        <v/>
      </c>
      <c r="R190" s="46" t="str">
        <f>IF('① Timelog Input'!B190="","",IF(NOT(ISNUMBER(L190)),"No Data",IF(L190&gt;=Settings!B13,"HIGH",IF(L190&gt;=Settings!B14,"MEDIUM","LOW"))))</f>
        <v/>
      </c>
    </row>
    <row r="191" spans="1:18" ht="15" customHeight="1" x14ac:dyDescent="0.2">
      <c r="A191" s="46" t="str">
        <f>IF('① Timelog Input'!B191="","",ROW()-3)</f>
        <v/>
      </c>
      <c r="B191" s="46" t="str">
        <f>IF('① Timelog Input'!B191="","",'① Timelog Input'!C191)</f>
        <v/>
      </c>
      <c r="C191" s="46" t="str">
        <f>IF('① Timelog Input'!B191="","",'① Timelog Input'!B191)</f>
        <v/>
      </c>
      <c r="D191" s="46" t="str">
        <f>IF('① Timelog Input'!B191="","",'① Timelog Input'!F191)</f>
        <v/>
      </c>
      <c r="E191" s="46" t="str">
        <f>IF('① Timelog Input'!B191="","",'① Timelog Input'!G191)</f>
        <v/>
      </c>
      <c r="F191" s="46" t="str">
        <f>IF('① Timelog Input'!B191="","",'① Timelog Input'!H191)</f>
        <v/>
      </c>
      <c r="G191" s="46" t="str">
        <f>IF('① Timelog Input'!B191="","",'① Timelog Input'!E191)</f>
        <v/>
      </c>
      <c r="H191" s="46" t="str">
        <f>IF('① Timelog Input'!B191="","",'① Timelog Input'!D191)</f>
        <v/>
      </c>
      <c r="I191" s="46" t="str">
        <f>IF('① Timelog Input'!B191="","",IF(ISNUMBER('① Timelog Input'!I191),'① Timelog Input'!I191,0))</f>
        <v/>
      </c>
      <c r="J191" s="46" t="str">
        <f>IF('① Timelog Input'!B191="","",IF(ISNUMBER('① Timelog Input'!J191),'① Timelog Input'!J191,0))</f>
        <v/>
      </c>
      <c r="K191" s="46" t="str">
        <f>IF('① Timelog Input'!B191="","",Settings!B6)</f>
        <v/>
      </c>
      <c r="L191" s="48" t="str">
        <f>IF(OR('① Timelog Input'!B191="",K191=0),"",J191/K191)</f>
        <v/>
      </c>
      <c r="M191" s="49" t="str">
        <f>IF('① Timelog Input'!B191="","",IFERROR(VLOOKUP(B191,'② Salary Input'!A:V,14,FALSE()),0))</f>
        <v/>
      </c>
      <c r="N191" s="49" t="str">
        <f>IF('① Timelog Input'!B191="","",IFERROR(VLOOKUP(B191,'② Salary Input'!A:V,10,FALSE()),0))</f>
        <v/>
      </c>
      <c r="O191" s="49" t="str">
        <f>IF('① Timelog Input'!B191="","",IF(AND(D191="Remote",N191&gt;0),N191,IF(K191=0,0,M191/K191)))</f>
        <v/>
      </c>
      <c r="P191" s="49" t="str">
        <f>IF(OR('① Timelog Input'!B191="",J191=0),"",M191/J191)</f>
        <v/>
      </c>
      <c r="Q191" s="46" t="str">
        <f>IF('① Timelog Input'!B191="","",'① Timelog Input'!L191)</f>
        <v/>
      </c>
      <c r="R191" s="46" t="str">
        <f>IF('① Timelog Input'!B191="","",IF(NOT(ISNUMBER(L191)),"No Data",IF(L191&gt;=Settings!B13,"HIGH",IF(L191&gt;=Settings!B14,"MEDIUM","LOW"))))</f>
        <v/>
      </c>
    </row>
    <row r="192" spans="1:18" ht="15" customHeight="1" x14ac:dyDescent="0.2">
      <c r="A192" s="46" t="str">
        <f>IF('① Timelog Input'!B192="","",ROW()-3)</f>
        <v/>
      </c>
      <c r="B192" s="46" t="str">
        <f>IF('① Timelog Input'!B192="","",'① Timelog Input'!C192)</f>
        <v/>
      </c>
      <c r="C192" s="46" t="str">
        <f>IF('① Timelog Input'!B192="","",'① Timelog Input'!B192)</f>
        <v/>
      </c>
      <c r="D192" s="46" t="str">
        <f>IF('① Timelog Input'!B192="","",'① Timelog Input'!F192)</f>
        <v/>
      </c>
      <c r="E192" s="46" t="str">
        <f>IF('① Timelog Input'!B192="","",'① Timelog Input'!G192)</f>
        <v/>
      </c>
      <c r="F192" s="46" t="str">
        <f>IF('① Timelog Input'!B192="","",'① Timelog Input'!H192)</f>
        <v/>
      </c>
      <c r="G192" s="46" t="str">
        <f>IF('① Timelog Input'!B192="","",'① Timelog Input'!E192)</f>
        <v/>
      </c>
      <c r="H192" s="46" t="str">
        <f>IF('① Timelog Input'!B192="","",'① Timelog Input'!D192)</f>
        <v/>
      </c>
      <c r="I192" s="46" t="str">
        <f>IF('① Timelog Input'!B192="","",IF(ISNUMBER('① Timelog Input'!I192),'① Timelog Input'!I192,0))</f>
        <v/>
      </c>
      <c r="J192" s="46" t="str">
        <f>IF('① Timelog Input'!B192="","",IF(ISNUMBER('① Timelog Input'!J192),'① Timelog Input'!J192,0))</f>
        <v/>
      </c>
      <c r="K192" s="46" t="str">
        <f>IF('① Timelog Input'!B192="","",Settings!B6)</f>
        <v/>
      </c>
      <c r="L192" s="48" t="str">
        <f>IF(OR('① Timelog Input'!B192="",K192=0),"",J192/K192)</f>
        <v/>
      </c>
      <c r="M192" s="49" t="str">
        <f>IF('① Timelog Input'!B192="","",IFERROR(VLOOKUP(B192,'② Salary Input'!A:V,14,FALSE()),0))</f>
        <v/>
      </c>
      <c r="N192" s="49" t="str">
        <f>IF('① Timelog Input'!B192="","",IFERROR(VLOOKUP(B192,'② Salary Input'!A:V,10,FALSE()),0))</f>
        <v/>
      </c>
      <c r="O192" s="49" t="str">
        <f>IF('① Timelog Input'!B192="","",IF(AND(D192="Remote",N192&gt;0),N192,IF(K192=0,0,M192/K192)))</f>
        <v/>
      </c>
      <c r="P192" s="49" t="str">
        <f>IF(OR('① Timelog Input'!B192="",J192=0),"",M192/J192)</f>
        <v/>
      </c>
      <c r="Q192" s="46" t="str">
        <f>IF('① Timelog Input'!B192="","",'① Timelog Input'!L192)</f>
        <v/>
      </c>
      <c r="R192" s="46" t="str">
        <f>IF('① Timelog Input'!B192="","",IF(NOT(ISNUMBER(L192)),"No Data",IF(L192&gt;=Settings!B13,"HIGH",IF(L192&gt;=Settings!B14,"MEDIUM","LOW"))))</f>
        <v/>
      </c>
    </row>
    <row r="193" spans="1:18" ht="15" customHeight="1" x14ac:dyDescent="0.2">
      <c r="A193" s="46" t="str">
        <f>IF('① Timelog Input'!B193="","",ROW()-3)</f>
        <v/>
      </c>
      <c r="B193" s="46" t="str">
        <f>IF('① Timelog Input'!B193="","",'① Timelog Input'!C193)</f>
        <v/>
      </c>
      <c r="C193" s="46" t="str">
        <f>IF('① Timelog Input'!B193="","",'① Timelog Input'!B193)</f>
        <v/>
      </c>
      <c r="D193" s="46" t="str">
        <f>IF('① Timelog Input'!B193="","",'① Timelog Input'!F193)</f>
        <v/>
      </c>
      <c r="E193" s="46" t="str">
        <f>IF('① Timelog Input'!B193="","",'① Timelog Input'!G193)</f>
        <v/>
      </c>
      <c r="F193" s="46" t="str">
        <f>IF('① Timelog Input'!B193="","",'① Timelog Input'!H193)</f>
        <v/>
      </c>
      <c r="G193" s="46" t="str">
        <f>IF('① Timelog Input'!B193="","",'① Timelog Input'!E193)</f>
        <v/>
      </c>
      <c r="H193" s="46" t="str">
        <f>IF('① Timelog Input'!B193="","",'① Timelog Input'!D193)</f>
        <v/>
      </c>
      <c r="I193" s="46" t="str">
        <f>IF('① Timelog Input'!B193="","",IF(ISNUMBER('① Timelog Input'!I193),'① Timelog Input'!I193,0))</f>
        <v/>
      </c>
      <c r="J193" s="46" t="str">
        <f>IF('① Timelog Input'!B193="","",IF(ISNUMBER('① Timelog Input'!J193),'① Timelog Input'!J193,0))</f>
        <v/>
      </c>
      <c r="K193" s="46" t="str">
        <f>IF('① Timelog Input'!B193="","",Settings!B6)</f>
        <v/>
      </c>
      <c r="L193" s="48" t="str">
        <f>IF(OR('① Timelog Input'!B193="",K193=0),"",J193/K193)</f>
        <v/>
      </c>
      <c r="M193" s="49" t="str">
        <f>IF('① Timelog Input'!B193="","",IFERROR(VLOOKUP(B193,'② Salary Input'!A:V,14,FALSE()),0))</f>
        <v/>
      </c>
      <c r="N193" s="49" t="str">
        <f>IF('① Timelog Input'!B193="","",IFERROR(VLOOKUP(B193,'② Salary Input'!A:V,10,FALSE()),0))</f>
        <v/>
      </c>
      <c r="O193" s="49" t="str">
        <f>IF('① Timelog Input'!B193="","",IF(AND(D193="Remote",N193&gt;0),N193,IF(K193=0,0,M193/K193)))</f>
        <v/>
      </c>
      <c r="P193" s="49" t="str">
        <f>IF(OR('① Timelog Input'!B193="",J193=0),"",M193/J193)</f>
        <v/>
      </c>
      <c r="Q193" s="46" t="str">
        <f>IF('① Timelog Input'!B193="","",'① Timelog Input'!L193)</f>
        <v/>
      </c>
      <c r="R193" s="46" t="str">
        <f>IF('① Timelog Input'!B193="","",IF(NOT(ISNUMBER(L193)),"No Data",IF(L193&gt;=Settings!B13,"HIGH",IF(L193&gt;=Settings!B14,"MEDIUM","LOW"))))</f>
        <v/>
      </c>
    </row>
    <row r="194" spans="1:18" ht="15" customHeight="1" x14ac:dyDescent="0.2">
      <c r="A194" s="46" t="str">
        <f>IF('① Timelog Input'!B194="","",ROW()-3)</f>
        <v/>
      </c>
      <c r="B194" s="46" t="str">
        <f>IF('① Timelog Input'!B194="","",'① Timelog Input'!C194)</f>
        <v/>
      </c>
      <c r="C194" s="46" t="str">
        <f>IF('① Timelog Input'!B194="","",'① Timelog Input'!B194)</f>
        <v/>
      </c>
      <c r="D194" s="46" t="str">
        <f>IF('① Timelog Input'!B194="","",'① Timelog Input'!F194)</f>
        <v/>
      </c>
      <c r="E194" s="46" t="str">
        <f>IF('① Timelog Input'!B194="","",'① Timelog Input'!G194)</f>
        <v/>
      </c>
      <c r="F194" s="46" t="str">
        <f>IF('① Timelog Input'!B194="","",'① Timelog Input'!H194)</f>
        <v/>
      </c>
      <c r="G194" s="46" t="str">
        <f>IF('① Timelog Input'!B194="","",'① Timelog Input'!E194)</f>
        <v/>
      </c>
      <c r="H194" s="46" t="str">
        <f>IF('① Timelog Input'!B194="","",'① Timelog Input'!D194)</f>
        <v/>
      </c>
      <c r="I194" s="46" t="str">
        <f>IF('① Timelog Input'!B194="","",IF(ISNUMBER('① Timelog Input'!I194),'① Timelog Input'!I194,0))</f>
        <v/>
      </c>
      <c r="J194" s="46" t="str">
        <f>IF('① Timelog Input'!B194="","",IF(ISNUMBER('① Timelog Input'!J194),'① Timelog Input'!J194,0))</f>
        <v/>
      </c>
      <c r="K194" s="46" t="str">
        <f>IF('① Timelog Input'!B194="","",Settings!B6)</f>
        <v/>
      </c>
      <c r="L194" s="48" t="str">
        <f>IF(OR('① Timelog Input'!B194="",K194=0),"",J194/K194)</f>
        <v/>
      </c>
      <c r="M194" s="49" t="str">
        <f>IF('① Timelog Input'!B194="","",IFERROR(VLOOKUP(B194,'② Salary Input'!A:V,14,FALSE()),0))</f>
        <v/>
      </c>
      <c r="N194" s="49" t="str">
        <f>IF('① Timelog Input'!B194="","",IFERROR(VLOOKUP(B194,'② Salary Input'!A:V,10,FALSE()),0))</f>
        <v/>
      </c>
      <c r="O194" s="49" t="str">
        <f>IF('① Timelog Input'!B194="","",IF(AND(D194="Remote",N194&gt;0),N194,IF(K194=0,0,M194/K194)))</f>
        <v/>
      </c>
      <c r="P194" s="49" t="str">
        <f>IF(OR('① Timelog Input'!B194="",J194=0),"",M194/J194)</f>
        <v/>
      </c>
      <c r="Q194" s="46" t="str">
        <f>IF('① Timelog Input'!B194="","",'① Timelog Input'!L194)</f>
        <v/>
      </c>
      <c r="R194" s="46" t="str">
        <f>IF('① Timelog Input'!B194="","",IF(NOT(ISNUMBER(L194)),"No Data",IF(L194&gt;=Settings!B13,"HIGH",IF(L194&gt;=Settings!B14,"MEDIUM","LOW"))))</f>
        <v/>
      </c>
    </row>
    <row r="195" spans="1:18" ht="15" customHeight="1" x14ac:dyDescent="0.2">
      <c r="A195" s="46" t="str">
        <f>IF('① Timelog Input'!B195="","",ROW()-3)</f>
        <v/>
      </c>
      <c r="B195" s="46" t="str">
        <f>IF('① Timelog Input'!B195="","",'① Timelog Input'!C195)</f>
        <v/>
      </c>
      <c r="C195" s="46" t="str">
        <f>IF('① Timelog Input'!B195="","",'① Timelog Input'!B195)</f>
        <v/>
      </c>
      <c r="D195" s="46" t="str">
        <f>IF('① Timelog Input'!B195="","",'① Timelog Input'!F195)</f>
        <v/>
      </c>
      <c r="E195" s="46" t="str">
        <f>IF('① Timelog Input'!B195="","",'① Timelog Input'!G195)</f>
        <v/>
      </c>
      <c r="F195" s="46" t="str">
        <f>IF('① Timelog Input'!B195="","",'① Timelog Input'!H195)</f>
        <v/>
      </c>
      <c r="G195" s="46" t="str">
        <f>IF('① Timelog Input'!B195="","",'① Timelog Input'!E195)</f>
        <v/>
      </c>
      <c r="H195" s="46" t="str">
        <f>IF('① Timelog Input'!B195="","",'① Timelog Input'!D195)</f>
        <v/>
      </c>
      <c r="I195" s="46" t="str">
        <f>IF('① Timelog Input'!B195="","",IF(ISNUMBER('① Timelog Input'!I195),'① Timelog Input'!I195,0))</f>
        <v/>
      </c>
      <c r="J195" s="46" t="str">
        <f>IF('① Timelog Input'!B195="","",IF(ISNUMBER('① Timelog Input'!J195),'① Timelog Input'!J195,0))</f>
        <v/>
      </c>
      <c r="K195" s="46" t="str">
        <f>IF('① Timelog Input'!B195="","",Settings!B6)</f>
        <v/>
      </c>
      <c r="L195" s="48" t="str">
        <f>IF(OR('① Timelog Input'!B195="",K195=0),"",J195/K195)</f>
        <v/>
      </c>
      <c r="M195" s="49" t="str">
        <f>IF('① Timelog Input'!B195="","",IFERROR(VLOOKUP(B195,'② Salary Input'!A:V,14,FALSE()),0))</f>
        <v/>
      </c>
      <c r="N195" s="49" t="str">
        <f>IF('① Timelog Input'!B195="","",IFERROR(VLOOKUP(B195,'② Salary Input'!A:V,10,FALSE()),0))</f>
        <v/>
      </c>
      <c r="O195" s="49" t="str">
        <f>IF('① Timelog Input'!B195="","",IF(AND(D195="Remote",N195&gt;0),N195,IF(K195=0,0,M195/K195)))</f>
        <v/>
      </c>
      <c r="P195" s="49" t="str">
        <f>IF(OR('① Timelog Input'!B195="",J195=0),"",M195/J195)</f>
        <v/>
      </c>
      <c r="Q195" s="46" t="str">
        <f>IF('① Timelog Input'!B195="","",'① Timelog Input'!L195)</f>
        <v/>
      </c>
      <c r="R195" s="46" t="str">
        <f>IF('① Timelog Input'!B195="","",IF(NOT(ISNUMBER(L195)),"No Data",IF(L195&gt;=Settings!B13,"HIGH",IF(L195&gt;=Settings!B14,"MEDIUM","LOW"))))</f>
        <v/>
      </c>
    </row>
    <row r="196" spans="1:18" ht="15" customHeight="1" x14ac:dyDescent="0.2">
      <c r="A196" s="46" t="str">
        <f>IF('① Timelog Input'!B196="","",ROW()-3)</f>
        <v/>
      </c>
      <c r="B196" s="46" t="str">
        <f>IF('① Timelog Input'!B196="","",'① Timelog Input'!C196)</f>
        <v/>
      </c>
      <c r="C196" s="46" t="str">
        <f>IF('① Timelog Input'!B196="","",'① Timelog Input'!B196)</f>
        <v/>
      </c>
      <c r="D196" s="46" t="str">
        <f>IF('① Timelog Input'!B196="","",'① Timelog Input'!F196)</f>
        <v/>
      </c>
      <c r="E196" s="46" t="str">
        <f>IF('① Timelog Input'!B196="","",'① Timelog Input'!G196)</f>
        <v/>
      </c>
      <c r="F196" s="46" t="str">
        <f>IF('① Timelog Input'!B196="","",'① Timelog Input'!H196)</f>
        <v/>
      </c>
      <c r="G196" s="46" t="str">
        <f>IF('① Timelog Input'!B196="","",'① Timelog Input'!E196)</f>
        <v/>
      </c>
      <c r="H196" s="46" t="str">
        <f>IF('① Timelog Input'!B196="","",'① Timelog Input'!D196)</f>
        <v/>
      </c>
      <c r="I196" s="46" t="str">
        <f>IF('① Timelog Input'!B196="","",IF(ISNUMBER('① Timelog Input'!I196),'① Timelog Input'!I196,0))</f>
        <v/>
      </c>
      <c r="J196" s="46" t="str">
        <f>IF('① Timelog Input'!B196="","",IF(ISNUMBER('① Timelog Input'!J196),'① Timelog Input'!J196,0))</f>
        <v/>
      </c>
      <c r="K196" s="46" t="str">
        <f>IF('① Timelog Input'!B196="","",Settings!B6)</f>
        <v/>
      </c>
      <c r="L196" s="48" t="str">
        <f>IF(OR('① Timelog Input'!B196="",K196=0),"",J196/K196)</f>
        <v/>
      </c>
      <c r="M196" s="49" t="str">
        <f>IF('① Timelog Input'!B196="","",IFERROR(VLOOKUP(B196,'② Salary Input'!A:V,14,FALSE()),0))</f>
        <v/>
      </c>
      <c r="N196" s="49" t="str">
        <f>IF('① Timelog Input'!B196="","",IFERROR(VLOOKUP(B196,'② Salary Input'!A:V,10,FALSE()),0))</f>
        <v/>
      </c>
      <c r="O196" s="49" t="str">
        <f>IF('① Timelog Input'!B196="","",IF(AND(D196="Remote",N196&gt;0),N196,IF(K196=0,0,M196/K196)))</f>
        <v/>
      </c>
      <c r="P196" s="49" t="str">
        <f>IF(OR('① Timelog Input'!B196="",J196=0),"",M196/J196)</f>
        <v/>
      </c>
      <c r="Q196" s="46" t="str">
        <f>IF('① Timelog Input'!B196="","",'① Timelog Input'!L196)</f>
        <v/>
      </c>
      <c r="R196" s="46" t="str">
        <f>IF('① Timelog Input'!B196="","",IF(NOT(ISNUMBER(L196)),"No Data",IF(L196&gt;=Settings!B13,"HIGH",IF(L196&gt;=Settings!B14,"MEDIUM","LOW"))))</f>
        <v/>
      </c>
    </row>
    <row r="197" spans="1:18" ht="15" customHeight="1" x14ac:dyDescent="0.2">
      <c r="A197" s="46" t="str">
        <f>IF('① Timelog Input'!B197="","",ROW()-3)</f>
        <v/>
      </c>
      <c r="B197" s="46" t="str">
        <f>IF('① Timelog Input'!B197="","",'① Timelog Input'!C197)</f>
        <v/>
      </c>
      <c r="C197" s="46" t="str">
        <f>IF('① Timelog Input'!B197="","",'① Timelog Input'!B197)</f>
        <v/>
      </c>
      <c r="D197" s="46" t="str">
        <f>IF('① Timelog Input'!B197="","",'① Timelog Input'!F197)</f>
        <v/>
      </c>
      <c r="E197" s="46" t="str">
        <f>IF('① Timelog Input'!B197="","",'① Timelog Input'!G197)</f>
        <v/>
      </c>
      <c r="F197" s="46" t="str">
        <f>IF('① Timelog Input'!B197="","",'① Timelog Input'!H197)</f>
        <v/>
      </c>
      <c r="G197" s="46" t="str">
        <f>IF('① Timelog Input'!B197="","",'① Timelog Input'!E197)</f>
        <v/>
      </c>
      <c r="H197" s="46" t="str">
        <f>IF('① Timelog Input'!B197="","",'① Timelog Input'!D197)</f>
        <v/>
      </c>
      <c r="I197" s="46" t="str">
        <f>IF('① Timelog Input'!B197="","",IF(ISNUMBER('① Timelog Input'!I197),'① Timelog Input'!I197,0))</f>
        <v/>
      </c>
      <c r="J197" s="46" t="str">
        <f>IF('① Timelog Input'!B197="","",IF(ISNUMBER('① Timelog Input'!J197),'① Timelog Input'!J197,0))</f>
        <v/>
      </c>
      <c r="K197" s="46" t="str">
        <f>IF('① Timelog Input'!B197="","",Settings!B6)</f>
        <v/>
      </c>
      <c r="L197" s="48" t="str">
        <f>IF(OR('① Timelog Input'!B197="",K197=0),"",J197/K197)</f>
        <v/>
      </c>
      <c r="M197" s="49" t="str">
        <f>IF('① Timelog Input'!B197="","",IFERROR(VLOOKUP(B197,'② Salary Input'!A:V,14,FALSE()),0))</f>
        <v/>
      </c>
      <c r="N197" s="49" t="str">
        <f>IF('① Timelog Input'!B197="","",IFERROR(VLOOKUP(B197,'② Salary Input'!A:V,10,FALSE()),0))</f>
        <v/>
      </c>
      <c r="O197" s="49" t="str">
        <f>IF('① Timelog Input'!B197="","",IF(AND(D197="Remote",N197&gt;0),N197,IF(K197=0,0,M197/K197)))</f>
        <v/>
      </c>
      <c r="P197" s="49" t="str">
        <f>IF(OR('① Timelog Input'!B197="",J197=0),"",M197/J197)</f>
        <v/>
      </c>
      <c r="Q197" s="46" t="str">
        <f>IF('① Timelog Input'!B197="","",'① Timelog Input'!L197)</f>
        <v/>
      </c>
      <c r="R197" s="46" t="str">
        <f>IF('① Timelog Input'!B197="","",IF(NOT(ISNUMBER(L197)),"No Data",IF(L197&gt;=Settings!B13,"HIGH",IF(L197&gt;=Settings!B14,"MEDIUM","LOW"))))</f>
        <v/>
      </c>
    </row>
    <row r="198" spans="1:18" ht="15" customHeight="1" x14ac:dyDescent="0.2">
      <c r="A198" s="46" t="str">
        <f>IF('① Timelog Input'!B198="","",ROW()-3)</f>
        <v/>
      </c>
      <c r="B198" s="46" t="str">
        <f>IF('① Timelog Input'!B198="","",'① Timelog Input'!C198)</f>
        <v/>
      </c>
      <c r="C198" s="46" t="str">
        <f>IF('① Timelog Input'!B198="","",'① Timelog Input'!B198)</f>
        <v/>
      </c>
      <c r="D198" s="46" t="str">
        <f>IF('① Timelog Input'!B198="","",'① Timelog Input'!F198)</f>
        <v/>
      </c>
      <c r="E198" s="46" t="str">
        <f>IF('① Timelog Input'!B198="","",'① Timelog Input'!G198)</f>
        <v/>
      </c>
      <c r="F198" s="46" t="str">
        <f>IF('① Timelog Input'!B198="","",'① Timelog Input'!H198)</f>
        <v/>
      </c>
      <c r="G198" s="46" t="str">
        <f>IF('① Timelog Input'!B198="","",'① Timelog Input'!E198)</f>
        <v/>
      </c>
      <c r="H198" s="46" t="str">
        <f>IF('① Timelog Input'!B198="","",'① Timelog Input'!D198)</f>
        <v/>
      </c>
      <c r="I198" s="46" t="str">
        <f>IF('① Timelog Input'!B198="","",IF(ISNUMBER('① Timelog Input'!I198),'① Timelog Input'!I198,0))</f>
        <v/>
      </c>
      <c r="J198" s="46" t="str">
        <f>IF('① Timelog Input'!B198="","",IF(ISNUMBER('① Timelog Input'!J198),'① Timelog Input'!J198,0))</f>
        <v/>
      </c>
      <c r="K198" s="46" t="str">
        <f>IF('① Timelog Input'!B198="","",Settings!B6)</f>
        <v/>
      </c>
      <c r="L198" s="48" t="str">
        <f>IF(OR('① Timelog Input'!B198="",K198=0),"",J198/K198)</f>
        <v/>
      </c>
      <c r="M198" s="49" t="str">
        <f>IF('① Timelog Input'!B198="","",IFERROR(VLOOKUP(B198,'② Salary Input'!A:V,14,FALSE()),0))</f>
        <v/>
      </c>
      <c r="N198" s="49" t="str">
        <f>IF('① Timelog Input'!B198="","",IFERROR(VLOOKUP(B198,'② Salary Input'!A:V,10,FALSE()),0))</f>
        <v/>
      </c>
      <c r="O198" s="49" t="str">
        <f>IF('① Timelog Input'!B198="","",IF(AND(D198="Remote",N198&gt;0),N198,IF(K198=0,0,M198/K198)))</f>
        <v/>
      </c>
      <c r="P198" s="49" t="str">
        <f>IF(OR('① Timelog Input'!B198="",J198=0),"",M198/J198)</f>
        <v/>
      </c>
      <c r="Q198" s="46" t="str">
        <f>IF('① Timelog Input'!B198="","",'① Timelog Input'!L198)</f>
        <v/>
      </c>
      <c r="R198" s="46" t="str">
        <f>IF('① Timelog Input'!B198="","",IF(NOT(ISNUMBER(L198)),"No Data",IF(L198&gt;=Settings!B13,"HIGH",IF(L198&gt;=Settings!B14,"MEDIUM","LOW"))))</f>
        <v/>
      </c>
    </row>
    <row r="199" spans="1:18" ht="15" customHeight="1" x14ac:dyDescent="0.2">
      <c r="A199" s="46" t="str">
        <f>IF('① Timelog Input'!B199="","",ROW()-3)</f>
        <v/>
      </c>
      <c r="B199" s="46" t="str">
        <f>IF('① Timelog Input'!B199="","",'① Timelog Input'!C199)</f>
        <v/>
      </c>
      <c r="C199" s="46" t="str">
        <f>IF('① Timelog Input'!B199="","",'① Timelog Input'!B199)</f>
        <v/>
      </c>
      <c r="D199" s="46" t="str">
        <f>IF('① Timelog Input'!B199="","",'① Timelog Input'!F199)</f>
        <v/>
      </c>
      <c r="E199" s="46" t="str">
        <f>IF('① Timelog Input'!B199="","",'① Timelog Input'!G199)</f>
        <v/>
      </c>
      <c r="F199" s="46" t="str">
        <f>IF('① Timelog Input'!B199="","",'① Timelog Input'!H199)</f>
        <v/>
      </c>
      <c r="G199" s="46" t="str">
        <f>IF('① Timelog Input'!B199="","",'① Timelog Input'!E199)</f>
        <v/>
      </c>
      <c r="H199" s="46" t="str">
        <f>IF('① Timelog Input'!B199="","",'① Timelog Input'!D199)</f>
        <v/>
      </c>
      <c r="I199" s="46" t="str">
        <f>IF('① Timelog Input'!B199="","",IF(ISNUMBER('① Timelog Input'!I199),'① Timelog Input'!I199,0))</f>
        <v/>
      </c>
      <c r="J199" s="46" t="str">
        <f>IF('① Timelog Input'!B199="","",IF(ISNUMBER('① Timelog Input'!J199),'① Timelog Input'!J199,0))</f>
        <v/>
      </c>
      <c r="K199" s="46" t="str">
        <f>IF('① Timelog Input'!B199="","",Settings!B6)</f>
        <v/>
      </c>
      <c r="L199" s="48" t="str">
        <f>IF(OR('① Timelog Input'!B199="",K199=0),"",J199/K199)</f>
        <v/>
      </c>
      <c r="M199" s="49" t="str">
        <f>IF('① Timelog Input'!B199="","",IFERROR(VLOOKUP(B199,'② Salary Input'!A:V,14,FALSE()),0))</f>
        <v/>
      </c>
      <c r="N199" s="49" t="str">
        <f>IF('① Timelog Input'!B199="","",IFERROR(VLOOKUP(B199,'② Salary Input'!A:V,10,FALSE()),0))</f>
        <v/>
      </c>
      <c r="O199" s="49" t="str">
        <f>IF('① Timelog Input'!B199="","",IF(AND(D199="Remote",N199&gt;0),N199,IF(K199=0,0,M199/K199)))</f>
        <v/>
      </c>
      <c r="P199" s="49" t="str">
        <f>IF(OR('① Timelog Input'!B199="",J199=0),"",M199/J199)</f>
        <v/>
      </c>
      <c r="Q199" s="46" t="str">
        <f>IF('① Timelog Input'!B199="","",'① Timelog Input'!L199)</f>
        <v/>
      </c>
      <c r="R199" s="46" t="str">
        <f>IF('① Timelog Input'!B199="","",IF(NOT(ISNUMBER(L199)),"No Data",IF(L199&gt;=Settings!B13,"HIGH",IF(L199&gt;=Settings!B14,"MEDIUM","LOW"))))</f>
        <v/>
      </c>
    </row>
    <row r="200" spans="1:18" ht="15" customHeight="1" x14ac:dyDescent="0.2">
      <c r="A200" s="46" t="str">
        <f>IF('① Timelog Input'!B200="","",ROW()-3)</f>
        <v/>
      </c>
      <c r="B200" s="46" t="str">
        <f>IF('① Timelog Input'!B200="","",'① Timelog Input'!C200)</f>
        <v/>
      </c>
      <c r="C200" s="46" t="str">
        <f>IF('① Timelog Input'!B200="","",'① Timelog Input'!B200)</f>
        <v/>
      </c>
      <c r="D200" s="46" t="str">
        <f>IF('① Timelog Input'!B200="","",'① Timelog Input'!F200)</f>
        <v/>
      </c>
      <c r="E200" s="46" t="str">
        <f>IF('① Timelog Input'!B200="","",'① Timelog Input'!G200)</f>
        <v/>
      </c>
      <c r="F200" s="46" t="str">
        <f>IF('① Timelog Input'!B200="","",'① Timelog Input'!H200)</f>
        <v/>
      </c>
      <c r="G200" s="46" t="str">
        <f>IF('① Timelog Input'!B200="","",'① Timelog Input'!E200)</f>
        <v/>
      </c>
      <c r="H200" s="46" t="str">
        <f>IF('① Timelog Input'!B200="","",'① Timelog Input'!D200)</f>
        <v/>
      </c>
      <c r="I200" s="46" t="str">
        <f>IF('① Timelog Input'!B200="","",IF(ISNUMBER('① Timelog Input'!I200),'① Timelog Input'!I200,0))</f>
        <v/>
      </c>
      <c r="J200" s="46" t="str">
        <f>IF('① Timelog Input'!B200="","",IF(ISNUMBER('① Timelog Input'!J200),'① Timelog Input'!J200,0))</f>
        <v/>
      </c>
      <c r="K200" s="46" t="str">
        <f>IF('① Timelog Input'!B200="","",Settings!B6)</f>
        <v/>
      </c>
      <c r="L200" s="48" t="str">
        <f>IF(OR('① Timelog Input'!B200="",K200=0),"",J200/K200)</f>
        <v/>
      </c>
      <c r="M200" s="49" t="str">
        <f>IF('① Timelog Input'!B200="","",IFERROR(VLOOKUP(B200,'② Salary Input'!A:V,14,FALSE()),0))</f>
        <v/>
      </c>
      <c r="N200" s="49" t="str">
        <f>IF('① Timelog Input'!B200="","",IFERROR(VLOOKUP(B200,'② Salary Input'!A:V,10,FALSE()),0))</f>
        <v/>
      </c>
      <c r="O200" s="49" t="str">
        <f>IF('① Timelog Input'!B200="","",IF(AND(D200="Remote",N200&gt;0),N200,IF(K200=0,0,M200/K200)))</f>
        <v/>
      </c>
      <c r="P200" s="49" t="str">
        <f>IF(OR('① Timelog Input'!B200="",J200=0),"",M200/J200)</f>
        <v/>
      </c>
      <c r="Q200" s="46" t="str">
        <f>IF('① Timelog Input'!B200="","",'① Timelog Input'!L200)</f>
        <v/>
      </c>
      <c r="R200" s="46" t="str">
        <f>IF('① Timelog Input'!B200="","",IF(NOT(ISNUMBER(L200)),"No Data",IF(L200&gt;=Settings!B13,"HIGH",IF(L200&gt;=Settings!B14,"MEDIUM","LOW"))))</f>
        <v/>
      </c>
    </row>
    <row r="201" spans="1:18" ht="15" customHeight="1" x14ac:dyDescent="0.2">
      <c r="A201" s="46" t="str">
        <f>IF('① Timelog Input'!B201="","",ROW()-3)</f>
        <v/>
      </c>
      <c r="B201" s="46" t="str">
        <f>IF('① Timelog Input'!B201="","",'① Timelog Input'!C201)</f>
        <v/>
      </c>
      <c r="C201" s="46" t="str">
        <f>IF('① Timelog Input'!B201="","",'① Timelog Input'!B201)</f>
        <v/>
      </c>
      <c r="D201" s="46" t="str">
        <f>IF('① Timelog Input'!B201="","",'① Timelog Input'!F201)</f>
        <v/>
      </c>
      <c r="E201" s="46" t="str">
        <f>IF('① Timelog Input'!B201="","",'① Timelog Input'!G201)</f>
        <v/>
      </c>
      <c r="F201" s="46" t="str">
        <f>IF('① Timelog Input'!B201="","",'① Timelog Input'!H201)</f>
        <v/>
      </c>
      <c r="G201" s="46" t="str">
        <f>IF('① Timelog Input'!B201="","",'① Timelog Input'!E201)</f>
        <v/>
      </c>
      <c r="H201" s="46" t="str">
        <f>IF('① Timelog Input'!B201="","",'① Timelog Input'!D201)</f>
        <v/>
      </c>
      <c r="I201" s="46" t="str">
        <f>IF('① Timelog Input'!B201="","",IF(ISNUMBER('① Timelog Input'!I201),'① Timelog Input'!I201,0))</f>
        <v/>
      </c>
      <c r="J201" s="46" t="str">
        <f>IF('① Timelog Input'!B201="","",IF(ISNUMBER('① Timelog Input'!J201),'① Timelog Input'!J201,0))</f>
        <v/>
      </c>
      <c r="K201" s="46" t="str">
        <f>IF('① Timelog Input'!B201="","",Settings!B6)</f>
        <v/>
      </c>
      <c r="L201" s="48" t="str">
        <f>IF(OR('① Timelog Input'!B201="",K201=0),"",J201/K201)</f>
        <v/>
      </c>
      <c r="M201" s="49" t="str">
        <f>IF('① Timelog Input'!B201="","",IFERROR(VLOOKUP(B201,'② Salary Input'!A:V,14,FALSE()),0))</f>
        <v/>
      </c>
      <c r="N201" s="49" t="str">
        <f>IF('① Timelog Input'!B201="","",IFERROR(VLOOKUP(B201,'② Salary Input'!A:V,10,FALSE()),0))</f>
        <v/>
      </c>
      <c r="O201" s="49" t="str">
        <f>IF('① Timelog Input'!B201="","",IF(AND(D201="Remote",N201&gt;0),N201,IF(K201=0,0,M201/K201)))</f>
        <v/>
      </c>
      <c r="P201" s="49" t="str">
        <f>IF(OR('① Timelog Input'!B201="",J201=0),"",M201/J201)</f>
        <v/>
      </c>
      <c r="Q201" s="46" t="str">
        <f>IF('① Timelog Input'!B201="","",'① Timelog Input'!L201)</f>
        <v/>
      </c>
      <c r="R201" s="46" t="str">
        <f>IF('① Timelog Input'!B201="","",IF(NOT(ISNUMBER(L201)),"No Data",IF(L201&gt;=Settings!B13,"HIGH",IF(L201&gt;=Settings!B14,"MEDIUM","LOW"))))</f>
        <v/>
      </c>
    </row>
    <row r="202" spans="1:18" ht="15" customHeight="1" x14ac:dyDescent="0.2">
      <c r="A202" s="46" t="str">
        <f>IF('① Timelog Input'!B202="","",ROW()-3)</f>
        <v/>
      </c>
      <c r="B202" s="46" t="str">
        <f>IF('① Timelog Input'!B202="","",'① Timelog Input'!C202)</f>
        <v/>
      </c>
      <c r="C202" s="46" t="str">
        <f>IF('① Timelog Input'!B202="","",'① Timelog Input'!B202)</f>
        <v/>
      </c>
      <c r="D202" s="46" t="str">
        <f>IF('① Timelog Input'!B202="","",'① Timelog Input'!F202)</f>
        <v/>
      </c>
      <c r="E202" s="46" t="str">
        <f>IF('① Timelog Input'!B202="","",'① Timelog Input'!G202)</f>
        <v/>
      </c>
      <c r="F202" s="46" t="str">
        <f>IF('① Timelog Input'!B202="","",'① Timelog Input'!H202)</f>
        <v/>
      </c>
      <c r="G202" s="46" t="str">
        <f>IF('① Timelog Input'!B202="","",'① Timelog Input'!E202)</f>
        <v/>
      </c>
      <c r="H202" s="46" t="str">
        <f>IF('① Timelog Input'!B202="","",'① Timelog Input'!D202)</f>
        <v/>
      </c>
      <c r="I202" s="46" t="str">
        <f>IF('① Timelog Input'!B202="","",IF(ISNUMBER('① Timelog Input'!I202),'① Timelog Input'!I202,0))</f>
        <v/>
      </c>
      <c r="J202" s="46" t="str">
        <f>IF('① Timelog Input'!B202="","",IF(ISNUMBER('① Timelog Input'!J202),'① Timelog Input'!J202,0))</f>
        <v/>
      </c>
      <c r="K202" s="46" t="str">
        <f>IF('① Timelog Input'!B202="","",Settings!B6)</f>
        <v/>
      </c>
      <c r="L202" s="48" t="str">
        <f>IF(OR('① Timelog Input'!B202="",K202=0),"",J202/K202)</f>
        <v/>
      </c>
      <c r="M202" s="49" t="str">
        <f>IF('① Timelog Input'!B202="","",IFERROR(VLOOKUP(B202,'② Salary Input'!A:V,14,FALSE()),0))</f>
        <v/>
      </c>
      <c r="N202" s="49" t="str">
        <f>IF('① Timelog Input'!B202="","",IFERROR(VLOOKUP(B202,'② Salary Input'!A:V,10,FALSE()),0))</f>
        <v/>
      </c>
      <c r="O202" s="49" t="str">
        <f>IF('① Timelog Input'!B202="","",IF(AND(D202="Remote",N202&gt;0),N202,IF(K202=0,0,M202/K202)))</f>
        <v/>
      </c>
      <c r="P202" s="49" t="str">
        <f>IF(OR('① Timelog Input'!B202="",J202=0),"",M202/J202)</f>
        <v/>
      </c>
      <c r="Q202" s="46" t="str">
        <f>IF('① Timelog Input'!B202="","",'① Timelog Input'!L202)</f>
        <v/>
      </c>
      <c r="R202" s="46" t="str">
        <f>IF('① Timelog Input'!B202="","",IF(NOT(ISNUMBER(L202)),"No Data",IF(L202&gt;=Settings!B13,"HIGH",IF(L202&gt;=Settings!B14,"MEDIUM","LOW"))))</f>
        <v/>
      </c>
    </row>
    <row r="203" spans="1:18" ht="15" customHeight="1" x14ac:dyDescent="0.2">
      <c r="A203" s="46" t="str">
        <f>IF('① Timelog Input'!B203="","",ROW()-3)</f>
        <v/>
      </c>
      <c r="B203" s="46" t="str">
        <f>IF('① Timelog Input'!B203="","",'① Timelog Input'!C203)</f>
        <v/>
      </c>
      <c r="C203" s="46" t="str">
        <f>IF('① Timelog Input'!B203="","",'① Timelog Input'!B203)</f>
        <v/>
      </c>
      <c r="D203" s="46" t="str">
        <f>IF('① Timelog Input'!B203="","",'① Timelog Input'!F203)</f>
        <v/>
      </c>
      <c r="E203" s="46" t="str">
        <f>IF('① Timelog Input'!B203="","",'① Timelog Input'!G203)</f>
        <v/>
      </c>
      <c r="F203" s="46" t="str">
        <f>IF('① Timelog Input'!B203="","",'① Timelog Input'!H203)</f>
        <v/>
      </c>
      <c r="G203" s="46" t="str">
        <f>IF('① Timelog Input'!B203="","",'① Timelog Input'!E203)</f>
        <v/>
      </c>
      <c r="H203" s="46" t="str">
        <f>IF('① Timelog Input'!B203="","",'① Timelog Input'!D203)</f>
        <v/>
      </c>
      <c r="I203" s="46" t="str">
        <f>IF('① Timelog Input'!B203="","",IF(ISNUMBER('① Timelog Input'!I203),'① Timelog Input'!I203,0))</f>
        <v/>
      </c>
      <c r="J203" s="46" t="str">
        <f>IF('① Timelog Input'!B203="","",IF(ISNUMBER('① Timelog Input'!J203),'① Timelog Input'!J203,0))</f>
        <v/>
      </c>
      <c r="K203" s="46" t="str">
        <f>IF('① Timelog Input'!B203="","",Settings!B6)</f>
        <v/>
      </c>
      <c r="L203" s="48" t="str">
        <f>IF(OR('① Timelog Input'!B203="",K203=0),"",J203/K203)</f>
        <v/>
      </c>
      <c r="M203" s="49" t="str">
        <f>IF('① Timelog Input'!B203="","",IFERROR(VLOOKUP(B203,'② Salary Input'!A:V,14,FALSE()),0))</f>
        <v/>
      </c>
      <c r="N203" s="49" t="str">
        <f>IF('① Timelog Input'!B203="","",IFERROR(VLOOKUP(B203,'② Salary Input'!A:V,10,FALSE()),0))</f>
        <v/>
      </c>
      <c r="O203" s="49" t="str">
        <f>IF('① Timelog Input'!B203="","",IF(AND(D203="Remote",N203&gt;0),N203,IF(K203=0,0,M203/K203)))</f>
        <v/>
      </c>
      <c r="P203" s="49" t="str">
        <f>IF(OR('① Timelog Input'!B203="",J203=0),"",M203/J203)</f>
        <v/>
      </c>
      <c r="Q203" s="46" t="str">
        <f>IF('① Timelog Input'!B203="","",'① Timelog Input'!L203)</f>
        <v/>
      </c>
      <c r="R203" s="46" t="str">
        <f>IF('① Timelog Input'!B203="","",IF(NOT(ISNUMBER(L203)),"No Data",IF(L203&gt;=Settings!B13,"HIGH",IF(L203&gt;=Settings!B14,"MEDIUM","LOW"))))</f>
        <v/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I15"/>
  <sheetViews>
    <sheetView zoomScaleNormal="100" workbookViewId="0">
      <selection sqref="A1:I1"/>
    </sheetView>
  </sheetViews>
  <sheetFormatPr baseColWidth="10" defaultColWidth="8.6640625" defaultRowHeight="15" customHeight="1" x14ac:dyDescent="0.2"/>
  <cols>
    <col min="1" max="1" width="28" customWidth="1"/>
    <col min="2" max="3" width="16" customWidth="1"/>
    <col min="4" max="4" width="14" customWidth="1"/>
    <col min="5" max="5" width="16" customWidth="1"/>
    <col min="6" max="6" width="32" customWidth="1"/>
  </cols>
  <sheetData>
    <row r="1" spans="1:9" ht="17.25" customHeight="1" x14ac:dyDescent="0.2">
      <c r="A1" s="143" t="s">
        <v>842</v>
      </c>
      <c r="B1" s="143"/>
      <c r="C1" s="143"/>
      <c r="D1" s="143"/>
      <c r="E1" s="143"/>
      <c r="F1" s="143"/>
      <c r="G1" s="143"/>
      <c r="H1" s="143"/>
      <c r="I1" s="143"/>
    </row>
    <row r="2" spans="1:9" ht="15" customHeight="1" x14ac:dyDescent="0.2">
      <c r="A2" s="5" t="s">
        <v>843</v>
      </c>
    </row>
    <row r="3" spans="1:9" ht="15" customHeight="1" x14ac:dyDescent="0.2">
      <c r="A3" s="1" t="s">
        <v>844</v>
      </c>
    </row>
    <row r="4" spans="1:9" ht="34.5" customHeight="1" x14ac:dyDescent="0.2">
      <c r="A4" s="12" t="s">
        <v>67</v>
      </c>
      <c r="B4" s="12" t="s">
        <v>845</v>
      </c>
      <c r="C4" s="12" t="s">
        <v>846</v>
      </c>
      <c r="D4" s="12" t="s">
        <v>847</v>
      </c>
      <c r="E4" s="12" t="s">
        <v>848</v>
      </c>
      <c r="F4" s="12" t="s">
        <v>849</v>
      </c>
      <c r="G4" s="12" t="s">
        <v>841</v>
      </c>
      <c r="H4" s="12" t="s">
        <v>850</v>
      </c>
    </row>
    <row r="5" spans="1:9" ht="15" customHeight="1" x14ac:dyDescent="0.2">
      <c r="A5" s="27" t="s">
        <v>146</v>
      </c>
      <c r="B5" s="27">
        <f>COUNTIF('Employee Master'!D$4:D$203,"In-house")</f>
        <v>56</v>
      </c>
      <c r="C5" s="50">
        <f>SUMIF('Employee Master'!D$4:D$203,"In-house",'Employee Master'!J$4:J$203)</f>
        <v>5721.04</v>
      </c>
      <c r="D5" s="51">
        <f>SUMIF('Employee Master'!D$4:D$203,"In-house",'Employee Master'!M$4:M$203)</f>
        <v>5175212</v>
      </c>
      <c r="E5" s="50">
        <f>IF(B5=0,0,C5/B5)</f>
        <v>102.16142857142857</v>
      </c>
      <c r="F5" s="51">
        <f>IF(B5=0,0,D5/B5)</f>
        <v>92414.5</v>
      </c>
      <c r="G5" s="51">
        <f>IF(C5=0,0,D5/C5)</f>
        <v>904.5928712262106</v>
      </c>
      <c r="H5" s="52">
        <f>IF(B5=0,0,C5/(B5*Settings!B6))</f>
        <v>0.6385089285714286</v>
      </c>
    </row>
    <row r="6" spans="1:9" ht="15" customHeight="1" x14ac:dyDescent="0.2">
      <c r="A6" s="27" t="s">
        <v>170</v>
      </c>
      <c r="B6" s="27">
        <f>COUNTIF('Employee Master'!D$4:D$203,"Remote")</f>
        <v>82</v>
      </c>
      <c r="C6" s="50">
        <f>SUMIF('Employee Master'!D$4:D$203,"Remote",'Employee Master'!J$4:J$203)</f>
        <v>7762.880000000001</v>
      </c>
      <c r="D6" s="51">
        <f>SUMIF('Employee Master'!D$4:D$203,"Remote",'Employee Master'!M$4:M$203)</f>
        <v>2042543</v>
      </c>
      <c r="E6" s="50">
        <f>IF(B6=0,0,C6/B6)</f>
        <v>94.669268292682943</v>
      </c>
      <c r="F6" s="51">
        <f>IF(B6=0,0,D6/B6)</f>
        <v>24909.060975609755</v>
      </c>
      <c r="G6" s="51">
        <f>IF(C6=0,0,D6/C6)</f>
        <v>263.11665258254664</v>
      </c>
      <c r="H6" s="52">
        <f>IF(B6=0,0,C6/(B6*Settings!B6))</f>
        <v>0.59168292682926837</v>
      </c>
    </row>
    <row r="7" spans="1:9" ht="15" customHeight="1" x14ac:dyDescent="0.2">
      <c r="A7" s="27" t="s">
        <v>175</v>
      </c>
      <c r="B7" s="27">
        <f>COUNTIF('Employee Master'!D$4:D$203,"Retainer")</f>
        <v>4</v>
      </c>
      <c r="C7" s="50">
        <f>SUMIF('Employee Master'!D$4:D$203,"Retainer",'Employee Master'!J$4:J$203)</f>
        <v>642</v>
      </c>
      <c r="D7" s="51">
        <f>SUMIF('Employee Master'!D$4:D$203,"Retainer",'Employee Master'!M$4:M$203)</f>
        <v>362000</v>
      </c>
      <c r="E7" s="50">
        <f>IF(B7=0,0,C7/B7)</f>
        <v>160.5</v>
      </c>
      <c r="F7" s="51">
        <f>IF(B7=0,0,D7/B7)</f>
        <v>90500</v>
      </c>
      <c r="G7" s="51">
        <f>IF(C7=0,0,D7/C7)</f>
        <v>563.86292834890969</v>
      </c>
      <c r="H7" s="52">
        <f>IF(B7=0,0,C7/(B7*Settings!B6))</f>
        <v>1.003125</v>
      </c>
    </row>
    <row r="8" spans="1:9" ht="15" customHeight="1" x14ac:dyDescent="0.2">
      <c r="A8" s="31" t="s">
        <v>544</v>
      </c>
      <c r="B8" s="31">
        <f>SUM(B5:B7)</f>
        <v>142</v>
      </c>
      <c r="C8" s="31">
        <f>SUM(C5:C7)</f>
        <v>14125.920000000002</v>
      </c>
      <c r="D8" s="33">
        <f>SUM(D5:D7)</f>
        <v>7579755</v>
      </c>
      <c r="E8" s="44">
        <f>IF(B8=0,0,C8/B8)</f>
        <v>99.478309859154948</v>
      </c>
      <c r="F8" s="33">
        <f>IF(B8=0,0,D8/B8)</f>
        <v>53378.556338028167</v>
      </c>
      <c r="G8" s="33">
        <f>IF(C8=0,0,D8/C8)</f>
        <v>536.5848737639742</v>
      </c>
      <c r="H8" s="42">
        <f>IF(B8=0,0,C8/(B8*Settings!B6))</f>
        <v>0.62173943661971842</v>
      </c>
    </row>
    <row r="10" spans="1:9" ht="15" customHeight="1" x14ac:dyDescent="0.2">
      <c r="A10" s="1" t="s">
        <v>851</v>
      </c>
    </row>
    <row r="11" spans="1:9" ht="15" customHeight="1" x14ac:dyDescent="0.2">
      <c r="A11" s="12" t="s">
        <v>852</v>
      </c>
      <c r="B11" s="12" t="s">
        <v>853</v>
      </c>
      <c r="C11" s="12" t="s">
        <v>170</v>
      </c>
      <c r="D11" s="12" t="s">
        <v>854</v>
      </c>
      <c r="E11" s="12" t="s">
        <v>855</v>
      </c>
      <c r="F11" s="12" t="s">
        <v>856</v>
      </c>
    </row>
    <row r="12" spans="1:9" ht="15" customHeight="1" x14ac:dyDescent="0.2">
      <c r="A12" s="27" t="s">
        <v>857</v>
      </c>
      <c r="B12" s="51">
        <f>F5</f>
        <v>92414.5</v>
      </c>
      <c r="C12" s="51">
        <f>F6</f>
        <v>24909.060975609755</v>
      </c>
      <c r="D12" s="51">
        <f>B12-C12</f>
        <v>67505.439024390245</v>
      </c>
      <c r="E12" s="27" t="str">
        <f>IF(B12&gt;C12,"Remote","In-House")</f>
        <v>Remote</v>
      </c>
      <c r="F12" s="27" t="s">
        <v>858</v>
      </c>
    </row>
    <row r="13" spans="1:9" ht="15" customHeight="1" x14ac:dyDescent="0.2">
      <c r="A13" s="27" t="s">
        <v>859</v>
      </c>
      <c r="B13" s="51">
        <f>G5</f>
        <v>904.5928712262106</v>
      </c>
      <c r="C13" s="51">
        <f>G6</f>
        <v>263.11665258254664</v>
      </c>
      <c r="D13" s="51">
        <f>B13-C13</f>
        <v>641.47621864366397</v>
      </c>
      <c r="E13" s="27" t="str">
        <f>IF(B13&gt;C13,"Remote","In-House")</f>
        <v>Remote</v>
      </c>
      <c r="F13" s="27" t="s">
        <v>860</v>
      </c>
    </row>
    <row r="14" spans="1:9" ht="15" customHeight="1" x14ac:dyDescent="0.2">
      <c r="A14" s="27" t="s">
        <v>850</v>
      </c>
      <c r="B14" s="52">
        <f>H5</f>
        <v>0.6385089285714286</v>
      </c>
      <c r="C14" s="52">
        <f>H6</f>
        <v>0.59168292682926837</v>
      </c>
      <c r="D14" s="52">
        <f>B14-C14</f>
        <v>4.6826001742160228E-2</v>
      </c>
      <c r="E14" s="27" t="str">
        <f>IF(B14&gt;C14,"In-House","Remote")</f>
        <v>In-House</v>
      </c>
      <c r="F14" s="27" t="s">
        <v>861</v>
      </c>
    </row>
    <row r="15" spans="1:9" ht="15" customHeight="1" x14ac:dyDescent="0.2">
      <c r="A15" s="27" t="s">
        <v>862</v>
      </c>
      <c r="B15" s="51">
        <f>E5</f>
        <v>102.16142857142857</v>
      </c>
      <c r="C15" s="51">
        <f>E6</f>
        <v>94.669268292682943</v>
      </c>
      <c r="D15" s="51">
        <f>B15-C15</f>
        <v>7.4921602787456294</v>
      </c>
      <c r="E15" s="27" t="str">
        <f>IF(B15&gt;C15,"In-House","Remote")</f>
        <v>In-House</v>
      </c>
      <c r="F15" s="27" t="s">
        <v>863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M23"/>
  <sheetViews>
    <sheetView tabSelected="1" zoomScaleNormal="100" workbookViewId="0">
      <selection activeCell="C4" sqref="C4:C20"/>
    </sheetView>
  </sheetViews>
  <sheetFormatPr baseColWidth="10" defaultColWidth="8.6640625" defaultRowHeight="15" customHeight="1" x14ac:dyDescent="0.2"/>
  <cols>
    <col min="1" max="1" width="6" customWidth="1"/>
    <col min="2" max="2" width="20" customWidth="1"/>
    <col min="3" max="3" width="10" customWidth="1"/>
    <col min="4" max="6" width="16" customWidth="1"/>
    <col min="7" max="7" width="14" customWidth="1"/>
    <col min="8" max="8" width="12" customWidth="1"/>
    <col min="9" max="9" width="10" customWidth="1"/>
    <col min="10" max="10" width="16" customWidth="1"/>
    <col min="11" max="11" width="30" customWidth="1"/>
  </cols>
  <sheetData>
    <row r="1" spans="1:13" ht="17.25" customHeight="1" x14ac:dyDescent="0.2">
      <c r="A1" s="143" t="s">
        <v>864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spans="1:13" ht="15" customHeight="1" x14ac:dyDescent="0.2">
      <c r="A2" s="5" t="s">
        <v>865</v>
      </c>
    </row>
    <row r="3" spans="1:13" ht="23.25" customHeight="1" x14ac:dyDescent="0.2">
      <c r="A3" s="12" t="s">
        <v>694</v>
      </c>
      <c r="B3" s="12" t="s">
        <v>828</v>
      </c>
      <c r="C3" s="12" t="s">
        <v>845</v>
      </c>
      <c r="D3" s="12" t="s">
        <v>846</v>
      </c>
      <c r="E3" s="26" t="s">
        <v>866</v>
      </c>
      <c r="F3" s="26" t="s">
        <v>867</v>
      </c>
      <c r="G3" s="12" t="s">
        <v>868</v>
      </c>
      <c r="H3" s="12" t="s">
        <v>841</v>
      </c>
      <c r="I3" s="12" t="s">
        <v>869</v>
      </c>
      <c r="J3" s="12" t="s">
        <v>848</v>
      </c>
      <c r="K3" s="12" t="s">
        <v>870</v>
      </c>
      <c r="L3" s="12" t="s">
        <v>871</v>
      </c>
      <c r="M3" s="12" t="s">
        <v>872</v>
      </c>
    </row>
    <row r="4" spans="1:13" ht="15" customHeight="1" x14ac:dyDescent="0.2">
      <c r="A4" s="53">
        <v>1</v>
      </c>
      <c r="B4" s="54" t="s">
        <v>199</v>
      </c>
      <c r="C4" s="55">
        <f>COUNTIF('Employee Master'!G$4:G$203,B4)+COUNTIF('Employee Master'!G$4:G$203,B4&amp;",*")</f>
        <v>31</v>
      </c>
      <c r="D4" s="56">
        <f>SUMIF('Employee Master'!G$4:G$203,B4,'Employee Master'!J$4:J$203)+SUMIF('Employee Master'!G$4:G$203,B4&amp;",*",'Employee Master'!J$4:J$203)+F4</f>
        <v>3406.2399999999993</v>
      </c>
      <c r="E4" s="56">
        <f>IFERROR(SUMIFS('① Timelog Input'!I$4:I$150,'① Timelog Input'!B$4:B$150,LEFT(B4,4)&amp;"*",'① Timelog Input'!E$4:E$150,"--"),0)</f>
        <v>101</v>
      </c>
      <c r="F4" s="56">
        <f>IFERROR(SUMIFS('① Timelog Input'!J$4:J$150,'① Timelog Input'!B$4:B$150,LEFT(B4,4)&amp;"*",'① Timelog Input'!E$4:E$150,"--"),0)</f>
        <v>101</v>
      </c>
      <c r="G4" s="55">
        <f>SUMIF('Employee Master'!G$4:G$203,B4,'Employee Master'!M$4:M$203)+SUMIF('Employee Master'!G$4:G$203,B4&amp;",*",'Employee Master'!M$4:M$203)</f>
        <v>1184153</v>
      </c>
      <c r="H4" s="56">
        <f t="shared" ref="H4:H22" si="0">IF(D4=0,"-",G4/D4)</f>
        <v>347.64226830757673</v>
      </c>
      <c r="I4" s="57">
        <f>IF(C4=0,0,D4/(C4*Settings!B6))</f>
        <v>0.68674193548387086</v>
      </c>
      <c r="J4" s="56">
        <f t="shared" ref="J4:J19" si="1">IF(C4=0,0,D4/C4)</f>
        <v>109.87870967741934</v>
      </c>
      <c r="K4" s="55">
        <f>COUNTIF('③ Billing Input'!C$4:C$103,"*"&amp;B4&amp;"*")</f>
        <v>0</v>
      </c>
      <c r="L4" s="58" t="str">
        <f>IF(C4=0,"NO TEAM",IF(I4&gt;=Settings!B13,"OVERLOADED",IF(I4&gt;=Settings!B14,"HEALTHY",IF(I4&gt;=Settings!B15,"REVIEW","UNDERUTILIZED"))))</f>
        <v>HEALTHY</v>
      </c>
      <c r="M4" s="59" t="str">
        <f t="shared" ref="M4:M19" si="2">IF(L4="OVERLOADED","Hire or redistribute",IF(L4="UNDERUTILIZED","Assign more clients or reduce team",IF(L4="REVIEW","Monitor weekly, cross-train",IF(L4="NO TEAM","Assign team or remove","Maintain"))))</f>
        <v>Maintain</v>
      </c>
    </row>
    <row r="5" spans="1:13" ht="15" customHeight="1" x14ac:dyDescent="0.2">
      <c r="A5" s="53">
        <v>2</v>
      </c>
      <c r="B5" s="54" t="s">
        <v>145</v>
      </c>
      <c r="C5" s="55">
        <f>COUNTIF('Employee Master'!G$4:G$203,B5)+COUNTIF('Employee Master'!G$4:G$203,B5&amp;",*")</f>
        <v>27</v>
      </c>
      <c r="D5" s="56">
        <f>SUMIF('Employee Master'!G$4:G$203,B5,'Employee Master'!J$4:J$203)+SUMIF('Employee Master'!G$4:G$203,B5&amp;",*",'Employee Master'!J$4:J$203)+F5</f>
        <v>3792.1399999999994</v>
      </c>
      <c r="E5" s="56">
        <f>IFERROR(SUMIFS('① Timelog Input'!I$4:I$150,'① Timelog Input'!B$4:B$150,LEFT(B5,4)&amp;"*",'① Timelog Input'!E$4:E$150,"--"),0)</f>
        <v>107</v>
      </c>
      <c r="F5" s="56">
        <f>IFERROR(SUMIFS('① Timelog Input'!J$4:J$150,'① Timelog Input'!B$4:B$150,LEFT(B5,4)&amp;"*",'① Timelog Input'!E$4:E$150,"--"),0)</f>
        <v>107</v>
      </c>
      <c r="G5" s="55">
        <f>SUMIF('Employee Master'!G$4:G$203,B5,'Employee Master'!M$4:M$203)+SUMIF('Employee Master'!G$4:G$203,B5&amp;",*",'Employee Master'!M$4:M$203)</f>
        <v>1176983</v>
      </c>
      <c r="H5" s="56">
        <f t="shared" si="0"/>
        <v>310.3743532675482</v>
      </c>
      <c r="I5" s="57">
        <f>IF(C5=0,0,D5/(C5*Settings!B6))</f>
        <v>0.87781018518518505</v>
      </c>
      <c r="J5" s="56">
        <f t="shared" si="1"/>
        <v>140.44962962962961</v>
      </c>
      <c r="K5" s="55">
        <f>COUNTIF('③ Billing Input'!C$4:C$103,"*"&amp;B5&amp;"*")</f>
        <v>15</v>
      </c>
      <c r="L5" s="58" t="str">
        <f>IF(C5=0,"NO TEAM",IF(I5&gt;=Settings!B13,"OVERLOADED",IF(I5&gt;=Settings!B14,"HEALTHY",IF(I5&gt;=Settings!B15,"REVIEW","UNDERUTILIZED"))))</f>
        <v>OVERLOADED</v>
      </c>
      <c r="M5" s="59" t="str">
        <f t="shared" si="2"/>
        <v>Hire or redistribute</v>
      </c>
    </row>
    <row r="6" spans="1:13" ht="15" customHeight="1" x14ac:dyDescent="0.2">
      <c r="A6" s="53">
        <v>3</v>
      </c>
      <c r="B6" s="54" t="s">
        <v>194</v>
      </c>
      <c r="C6" s="55">
        <f>COUNTIF('Employee Master'!G$4:G$203,B6)+COUNTIF('Employee Master'!G$4:G$203,B6&amp;",*")</f>
        <v>16</v>
      </c>
      <c r="D6" s="56">
        <f>SUMIF('Employee Master'!G$4:G$203,B6,'Employee Master'!J$4:J$203)+SUMIF('Employee Master'!G$4:G$203,B6&amp;",*",'Employee Master'!J$4:J$203)+F6</f>
        <v>1803.59</v>
      </c>
      <c r="E6" s="56">
        <f>IFERROR(SUMIFS('① Timelog Input'!I$4:I$150,'① Timelog Input'!B$4:B$150,LEFT(B6,4)&amp;"*",'① Timelog Input'!E$4:E$150,"--"),0)</f>
        <v>0</v>
      </c>
      <c r="F6" s="56">
        <f>IFERROR(SUMIFS('① Timelog Input'!J$4:J$150,'① Timelog Input'!B$4:B$150,LEFT(B6,4)&amp;"*",'① Timelog Input'!E$4:E$150,"--"),0)</f>
        <v>0</v>
      </c>
      <c r="G6" s="55">
        <f>SUMIF('Employee Master'!G$4:G$203,B6,'Employee Master'!M$4:M$203)+SUMIF('Employee Master'!G$4:G$203,B6&amp;",*",'Employee Master'!M$4:M$203)</f>
        <v>592387</v>
      </c>
      <c r="H6" s="56">
        <f t="shared" si="0"/>
        <v>328.44881597258802</v>
      </c>
      <c r="I6" s="57">
        <f>IF(C6=0,0,D6/(C6*Settings!B6))</f>
        <v>0.70452734374999992</v>
      </c>
      <c r="J6" s="56">
        <f t="shared" si="1"/>
        <v>112.72437499999999</v>
      </c>
      <c r="K6" s="55">
        <f>COUNTIF('③ Billing Input'!C$4:C$103,"*"&amp;B6&amp;"*")</f>
        <v>13</v>
      </c>
      <c r="L6" s="58" t="str">
        <f>IF(C6=0,"NO TEAM",IF(I6&gt;=Settings!B13,"OVERLOADED",IF(I6&gt;=Settings!B14,"HEALTHY",IF(I6&gt;=Settings!B15,"REVIEW","UNDERUTILIZED"))))</f>
        <v>HEALTHY</v>
      </c>
      <c r="M6" s="59" t="str">
        <f t="shared" si="2"/>
        <v>Maintain</v>
      </c>
    </row>
    <row r="7" spans="1:13" ht="15" customHeight="1" x14ac:dyDescent="0.2">
      <c r="A7" s="53">
        <v>4</v>
      </c>
      <c r="B7" s="54" t="s">
        <v>177</v>
      </c>
      <c r="C7" s="55">
        <f>COUNTIF('Employee Master'!G$4:G$203,B7)+COUNTIF('Employee Master'!G$4:G$203,B7&amp;",*")</f>
        <v>11</v>
      </c>
      <c r="D7" s="56">
        <f>SUMIF('Employee Master'!G$4:G$203,B7,'Employee Master'!J$4:J$203)+SUMIF('Employee Master'!G$4:G$203,B7&amp;",*",'Employee Master'!J$4:J$203)+F7</f>
        <v>1584.94</v>
      </c>
      <c r="E7" s="56">
        <f>IFERROR(SUMIFS('① Timelog Input'!I$4:I$150,'① Timelog Input'!B$4:B$150,LEFT(B7,4)&amp;"*",'① Timelog Input'!E$4:E$150,"--"),0)</f>
        <v>151.9</v>
      </c>
      <c r="F7" s="56">
        <f>IFERROR(SUMIFS('① Timelog Input'!J$4:J$150,'① Timelog Input'!B$4:B$150,LEFT(B7,4)&amp;"*",'① Timelog Input'!E$4:E$150,"--"),0)</f>
        <v>151.9</v>
      </c>
      <c r="G7" s="55">
        <f>SUMIF('Employee Master'!G$4:G$203,B7,'Employee Master'!M$4:M$203)+SUMIF('Employee Master'!G$4:G$203,B7&amp;",*",'Employee Master'!M$4:M$203)</f>
        <v>481145</v>
      </c>
      <c r="H7" s="56">
        <f t="shared" si="0"/>
        <v>303.57300591820507</v>
      </c>
      <c r="I7" s="57">
        <f>IF(C7=0,0,D7/(C7*Settings!B6))</f>
        <v>0.90053409090909098</v>
      </c>
      <c r="J7" s="56">
        <f t="shared" si="1"/>
        <v>144.08545454545455</v>
      </c>
      <c r="K7" s="55">
        <f>COUNTIF('③ Billing Input'!C$4:C$103,"*"&amp;B7&amp;"*")</f>
        <v>13</v>
      </c>
      <c r="L7" s="58" t="str">
        <f>IF(C7=0,"NO TEAM",IF(I7&gt;=Settings!B13,"OVERLOADED",IF(I7&gt;=Settings!B14,"HEALTHY",IF(I7&gt;=Settings!B15,"REVIEW","UNDERUTILIZED"))))</f>
        <v>OVERLOADED</v>
      </c>
      <c r="M7" s="59" t="str">
        <f t="shared" si="2"/>
        <v>Hire or redistribute</v>
      </c>
    </row>
    <row r="8" spans="1:13" ht="15" customHeight="1" x14ac:dyDescent="0.2">
      <c r="A8" s="53">
        <v>5</v>
      </c>
      <c r="B8" s="54" t="s">
        <v>220</v>
      </c>
      <c r="C8" s="55">
        <f>COUNTIF('Employee Master'!G$4:G$203,B8)+COUNTIF('Employee Master'!G$4:G$203,B8&amp;",*")</f>
        <v>12</v>
      </c>
      <c r="D8" s="56">
        <f>SUMIF('Employee Master'!G$4:G$203,B8,'Employee Master'!J$4:J$203)+SUMIF('Employee Master'!G$4:G$203,B8&amp;",*",'Employee Master'!J$4:J$203)+F8</f>
        <v>1143.74</v>
      </c>
      <c r="E8" s="56">
        <f>IFERROR(SUMIFS('① Timelog Input'!I$4:I$150,'① Timelog Input'!B$4:B$150,LEFT(B8,4)&amp;"*",'① Timelog Input'!E$4:E$150,"--"),0)</f>
        <v>42.75</v>
      </c>
      <c r="F8" s="56">
        <f>IFERROR(SUMIFS('① Timelog Input'!J$4:J$150,'① Timelog Input'!B$4:B$150,LEFT(B8,4)&amp;"*",'① Timelog Input'!E$4:E$150,"--"),0)</f>
        <v>42.75</v>
      </c>
      <c r="G8" s="55">
        <f>SUMIF('Employee Master'!G$4:G$203,B8,'Employee Master'!M$4:M$203)+SUMIF('Employee Master'!G$4:G$203,B8&amp;",*",'Employee Master'!M$4:M$203)</f>
        <v>503850</v>
      </c>
      <c r="H8" s="56">
        <f t="shared" si="0"/>
        <v>440.52844177872595</v>
      </c>
      <c r="I8" s="57">
        <f>IF(C8=0,0,D8/(C8*Settings!B6))</f>
        <v>0.59569791666666672</v>
      </c>
      <c r="J8" s="56">
        <f t="shared" si="1"/>
        <v>95.311666666666667</v>
      </c>
      <c r="K8" s="55">
        <f>COUNTIF('③ Billing Input'!C$4:C$103,"*"&amp;B8&amp;"*")</f>
        <v>0</v>
      </c>
      <c r="L8" s="58" t="str">
        <f>IF(C8=0,"NO TEAM",IF(I8&gt;=Settings!B13,"OVERLOADED",IF(I8&gt;=Settings!B14,"HEALTHY",IF(I8&gt;=Settings!B15,"REVIEW","UNDERUTILIZED"))))</f>
        <v>REVIEW</v>
      </c>
      <c r="M8" s="59" t="str">
        <f t="shared" si="2"/>
        <v>Monitor weekly, cross-train</v>
      </c>
    </row>
    <row r="9" spans="1:13" ht="15" customHeight="1" x14ac:dyDescent="0.2">
      <c r="A9" s="53">
        <v>6</v>
      </c>
      <c r="B9" s="54" t="s">
        <v>237</v>
      </c>
      <c r="C9" s="55">
        <f>COUNTIF('Employee Master'!G$4:G$203,B9)+COUNTIF('Employee Master'!G$4:G$203,B9&amp;",*")</f>
        <v>6</v>
      </c>
      <c r="D9" s="56">
        <f>SUMIF('Employee Master'!G$4:G$203,B9,'Employee Master'!J$4:J$203)+SUMIF('Employee Master'!G$4:G$203,B9&amp;",*",'Employee Master'!J$4:J$203)+F9</f>
        <v>736</v>
      </c>
      <c r="E9" s="56">
        <f>IFERROR(SUMIFS('① Timelog Input'!I$4:I$150,'① Timelog Input'!B$4:B$150,LEFT(B9,4)&amp;"*",'① Timelog Input'!E$4:E$150,"--"),0)</f>
        <v>0</v>
      </c>
      <c r="F9" s="56">
        <f>IFERROR(SUMIFS('① Timelog Input'!J$4:J$150,'① Timelog Input'!B$4:B$150,LEFT(B9,4)&amp;"*",'① Timelog Input'!E$4:E$150,"--"),0)</f>
        <v>0</v>
      </c>
      <c r="G9" s="55">
        <f>SUMIF('Employee Master'!G$4:G$203,B9,'Employee Master'!M$4:M$203)+SUMIF('Employee Master'!G$4:G$203,B9&amp;",*",'Employee Master'!M$4:M$203)</f>
        <v>1300002</v>
      </c>
      <c r="H9" s="56">
        <f t="shared" si="0"/>
        <v>1766.3070652173913</v>
      </c>
      <c r="I9" s="57">
        <f>IF(C9=0,0,D9/(C9*Settings!B6))</f>
        <v>0.76666666666666672</v>
      </c>
      <c r="J9" s="56">
        <f t="shared" si="1"/>
        <v>122.66666666666667</v>
      </c>
      <c r="K9" s="55">
        <f>COUNTIF('③ Billing Input'!C$4:C$103,"*"&amp;B9&amp;"*")</f>
        <v>0</v>
      </c>
      <c r="L9" s="58" t="str">
        <f>IF(C9=0,"NO TEAM",IF(I9&gt;=Settings!B13,"OVERLOADED",IF(I9&gt;=Settings!B14,"HEALTHY",IF(I9&gt;=Settings!B15,"REVIEW","UNDERUTILIZED"))))</f>
        <v>HEALTHY</v>
      </c>
      <c r="M9" s="59" t="str">
        <f t="shared" si="2"/>
        <v>Maintain</v>
      </c>
    </row>
    <row r="10" spans="1:13" ht="15" customHeight="1" x14ac:dyDescent="0.2">
      <c r="A10" s="53">
        <v>7</v>
      </c>
      <c r="B10" s="54" t="s">
        <v>202</v>
      </c>
      <c r="C10" s="55">
        <f>COUNTIF('Employee Master'!G$4:G$203,B10)+COUNTIF('Employee Master'!G$4:G$203,B10&amp;",*")</f>
        <v>7</v>
      </c>
      <c r="D10" s="56">
        <f>SUMIF('Employee Master'!G$4:G$203,B10,'Employee Master'!J$4:J$203)+SUMIF('Employee Master'!G$4:G$203,B10&amp;",*",'Employee Master'!J$4:J$203)+F10</f>
        <v>551.41999999999996</v>
      </c>
      <c r="E10" s="56">
        <f>IFERROR(SUMIFS('① Timelog Input'!I$4:I$150,'① Timelog Input'!B$4:B$150,LEFT(B10,4)&amp;"*",'① Timelog Input'!E$4:E$150,"--"),0)</f>
        <v>10.42</v>
      </c>
      <c r="F10" s="56">
        <f>IFERROR(SUMIFS('① Timelog Input'!J$4:J$150,'① Timelog Input'!B$4:B$150,LEFT(B10,4)&amp;"*",'① Timelog Input'!E$4:E$150,"--"),0)</f>
        <v>10.42</v>
      </c>
      <c r="G10" s="55">
        <f>SUMIF('Employee Master'!G$4:G$203,B10,'Employee Master'!M$4:M$203)+SUMIF('Employee Master'!G$4:G$203,B10&amp;",*",'Employee Master'!M$4:M$203)</f>
        <v>198000</v>
      </c>
      <c r="H10" s="56">
        <f t="shared" si="0"/>
        <v>359.0729389576004</v>
      </c>
      <c r="I10" s="57">
        <f>IF(C10=0,0,D10/(C10*Settings!B6))</f>
        <v>0.4923392857142857</v>
      </c>
      <c r="J10" s="56">
        <f t="shared" si="1"/>
        <v>78.77428571428571</v>
      </c>
      <c r="K10" s="55">
        <f>COUNTIF('③ Billing Input'!C$4:C$103,"*"&amp;B10&amp;"*")</f>
        <v>0</v>
      </c>
      <c r="L10" s="58" t="str">
        <f>IF(C10=0,"NO TEAM",IF(I10&gt;=Settings!B13,"OVERLOADED",IF(I10&gt;=Settings!B14,"HEALTHY",IF(I10&gt;=Settings!B15,"REVIEW","UNDERUTILIZED"))))</f>
        <v>UNDERUTILIZED</v>
      </c>
      <c r="M10" s="59" t="str">
        <f t="shared" si="2"/>
        <v>Assign more clients or reduce team</v>
      </c>
    </row>
    <row r="11" spans="1:13" ht="15" customHeight="1" x14ac:dyDescent="0.2">
      <c r="A11" s="53">
        <v>8</v>
      </c>
      <c r="B11" s="54" t="s">
        <v>269</v>
      </c>
      <c r="C11" s="55">
        <f>COUNTIF('Employee Master'!G$4:G$203,B11)+COUNTIF('Employee Master'!G$4:G$203,B11&amp;",*")</f>
        <v>6</v>
      </c>
      <c r="D11" s="56">
        <f>SUMIF('Employee Master'!G$4:G$203,B11,'Employee Master'!J$4:J$203)+SUMIF('Employee Master'!G$4:G$203,B11&amp;",*",'Employee Master'!J$4:J$203)+F11</f>
        <v>185.07</v>
      </c>
      <c r="E11" s="56">
        <f>IFERROR(SUMIFS('① Timelog Input'!I$4:I$150,'① Timelog Input'!B$4:B$150,LEFT(B11,4)&amp;"*",'① Timelog Input'!E$4:E$150,"--"),0)</f>
        <v>177.82</v>
      </c>
      <c r="F11" s="56">
        <f>IFERROR(SUMIFS('① Timelog Input'!J$4:J$150,'① Timelog Input'!B$4:B$150,LEFT(B11,4)&amp;"*",'① Timelog Input'!E$4:E$150,"--"),0)</f>
        <v>177.82</v>
      </c>
      <c r="G11" s="55">
        <f>SUMIF('Employee Master'!G$4:G$203,B11,'Employee Master'!M$4:M$203)+SUMIF('Employee Master'!G$4:G$203,B11&amp;",*",'Employee Master'!M$4:M$203)</f>
        <v>0</v>
      </c>
      <c r="H11" s="56">
        <f t="shared" si="0"/>
        <v>0</v>
      </c>
      <c r="I11" s="57">
        <f>IF(C11=0,0,D11/(C11*Settings!B6))</f>
        <v>0.19278124999999999</v>
      </c>
      <c r="J11" s="56">
        <f t="shared" si="1"/>
        <v>30.844999999999999</v>
      </c>
      <c r="K11" s="55">
        <f>COUNTIF('③ Billing Input'!C$4:C$103,"*"&amp;B11&amp;"*")</f>
        <v>11</v>
      </c>
      <c r="L11" s="58" t="str">
        <f>IF(C11=0,"NO TEAM",IF(I11&gt;=Settings!B13,"OVERLOADED",IF(I11&gt;=Settings!B14,"HEALTHY",IF(I11&gt;=Settings!B15,"REVIEW","UNDERUTILIZED"))))</f>
        <v>UNDERUTILIZED</v>
      </c>
      <c r="M11" s="59" t="str">
        <f t="shared" si="2"/>
        <v>Assign more clients or reduce team</v>
      </c>
    </row>
    <row r="12" spans="1:13" ht="15" customHeight="1" x14ac:dyDescent="0.2">
      <c r="A12" s="53">
        <v>9</v>
      </c>
      <c r="B12" s="54" t="s">
        <v>380</v>
      </c>
      <c r="C12" s="55">
        <f>COUNTIF('Employee Master'!G$4:G$203,B12)+COUNTIF('Employee Master'!G$4:G$203,B12&amp;",*")</f>
        <v>4</v>
      </c>
      <c r="D12" s="56">
        <f>SUMIF('Employee Master'!G$4:G$203,B12,'Employee Master'!J$4:J$203)+SUMIF('Employee Master'!G$4:G$203,B12&amp;",*",'Employee Master'!J$4:J$203)+F12</f>
        <v>64</v>
      </c>
      <c r="E12" s="56">
        <f>IFERROR(SUMIFS('① Timelog Input'!I$4:I$150,'① Timelog Input'!B$4:B$150,LEFT(B12,4)&amp;"*",'① Timelog Input'!E$4:E$150,"--"),0)</f>
        <v>16</v>
      </c>
      <c r="F12" s="56">
        <f>IFERROR(SUMIFS('① Timelog Input'!J$4:J$150,'① Timelog Input'!B$4:B$150,LEFT(B12,4)&amp;"*",'① Timelog Input'!E$4:E$150,"--"),0)</f>
        <v>16</v>
      </c>
      <c r="G12" s="55">
        <f>SUMIF('Employee Master'!G$4:G$203,B12,'Employee Master'!M$4:M$203)+SUMIF('Employee Master'!G$4:G$203,B12&amp;",*",'Employee Master'!M$4:M$203)</f>
        <v>0</v>
      </c>
      <c r="H12" s="56">
        <f t="shared" si="0"/>
        <v>0</v>
      </c>
      <c r="I12" s="57">
        <f>IF(C12=0,0,D12/(C12*Settings!B6))</f>
        <v>0.1</v>
      </c>
      <c r="J12" s="56">
        <f t="shared" si="1"/>
        <v>16</v>
      </c>
      <c r="K12" s="55">
        <f>COUNTIF('③ Billing Input'!C$4:C$103,"*"&amp;B12&amp;"*")</f>
        <v>0</v>
      </c>
      <c r="L12" s="58" t="str">
        <f>IF(C12=0,"NO TEAM",IF(I12&gt;=Settings!B13,"OVERLOADED",IF(I12&gt;=Settings!B14,"HEALTHY",IF(I12&gt;=Settings!B15,"REVIEW","UNDERUTILIZED"))))</f>
        <v>UNDERUTILIZED</v>
      </c>
      <c r="M12" s="59" t="str">
        <f t="shared" si="2"/>
        <v>Assign more clients or reduce team</v>
      </c>
    </row>
    <row r="13" spans="1:13" ht="15" customHeight="1" x14ac:dyDescent="0.2">
      <c r="A13" s="53">
        <v>10</v>
      </c>
      <c r="B13" s="54" t="s">
        <v>329</v>
      </c>
      <c r="C13" s="55">
        <f>COUNTIF('Employee Master'!G$4:G$203,B13)+COUNTIF('Employee Master'!G$4:G$203,B13&amp;",*")</f>
        <v>1</v>
      </c>
      <c r="D13" s="56">
        <f>SUMIF('Employee Master'!G$4:G$203,B13,'Employee Master'!J$4:J$203)+SUMIF('Employee Master'!G$4:G$203,B13&amp;",*",'Employee Master'!J$4:J$203)+F13</f>
        <v>150.27000000000001</v>
      </c>
      <c r="E13" s="56">
        <f>IFERROR(SUMIFS('① Timelog Input'!I$4:I$150,'① Timelog Input'!B$4:B$150,LEFT(B13,4)&amp;"*",'① Timelog Input'!E$4:E$150,"--"),0)</f>
        <v>0</v>
      </c>
      <c r="F13" s="56">
        <f>IFERROR(SUMIFS('① Timelog Input'!J$4:J$150,'① Timelog Input'!B$4:B$150,LEFT(B13,4)&amp;"*",'① Timelog Input'!E$4:E$150,"--"),0)</f>
        <v>0</v>
      </c>
      <c r="G13" s="55">
        <f>SUMIF('Employee Master'!G$4:G$203,B13,'Employee Master'!M$4:M$203)+SUMIF('Employee Master'!G$4:G$203,B13&amp;",*",'Employee Master'!M$4:M$203)</f>
        <v>75000</v>
      </c>
      <c r="H13" s="56">
        <f t="shared" si="0"/>
        <v>499.10161708923931</v>
      </c>
      <c r="I13" s="57">
        <f>IF(C13=0,0,D13/(C13*Settings!B6))</f>
        <v>0.93918750000000006</v>
      </c>
      <c r="J13" s="56">
        <f t="shared" si="1"/>
        <v>150.27000000000001</v>
      </c>
      <c r="K13" s="55">
        <f>COUNTIF('③ Billing Input'!C$4:C$103,"*"&amp;B13&amp;"*")</f>
        <v>0</v>
      </c>
      <c r="L13" s="58" t="str">
        <f>IF(C13=0,"NO TEAM",IF(I13&gt;=Settings!B13,"OVERLOADED",IF(I13&gt;=Settings!B14,"HEALTHY",IF(I13&gt;=Settings!B15,"REVIEW","UNDERUTILIZED"))))</f>
        <v>OVERLOADED</v>
      </c>
      <c r="M13" s="59" t="str">
        <f t="shared" si="2"/>
        <v>Hire or redistribute</v>
      </c>
    </row>
    <row r="14" spans="1:13" ht="15" customHeight="1" x14ac:dyDescent="0.2">
      <c r="A14" s="53">
        <v>11</v>
      </c>
      <c r="B14" s="54" t="s">
        <v>404</v>
      </c>
      <c r="C14" s="55">
        <f>COUNTIF('Employee Master'!G$4:G$203,B14)+COUNTIF('Employee Master'!G$4:G$203,B14&amp;",*")</f>
        <v>2</v>
      </c>
      <c r="D14" s="56">
        <f>SUMIF('Employee Master'!G$4:G$203,B14,'Employee Master'!J$4:J$203)+SUMIF('Employee Master'!G$4:G$203,B14&amp;",*",'Employee Master'!J$4:J$203)+F14</f>
        <v>188.86</v>
      </c>
      <c r="E14" s="56">
        <f>IFERROR(SUMIFS('① Timelog Input'!I$4:I$150,'① Timelog Input'!B$4:B$150,LEFT(B14,4)&amp;"*",'① Timelog Input'!E$4:E$150,"--"),0)</f>
        <v>0</v>
      </c>
      <c r="F14" s="56">
        <f>IFERROR(SUMIFS('① Timelog Input'!J$4:J$150,'① Timelog Input'!B$4:B$150,LEFT(B14,4)&amp;"*",'① Timelog Input'!E$4:E$150,"--"),0)</f>
        <v>0</v>
      </c>
      <c r="G14" s="55">
        <f>SUMIF('Employee Master'!G$4:G$203,B14,'Employee Master'!M$4:M$203)+SUMIF('Employee Master'!G$4:G$203,B14&amp;",*",'Employee Master'!M$4:M$203)</f>
        <v>0</v>
      </c>
      <c r="H14" s="56">
        <f t="shared" si="0"/>
        <v>0</v>
      </c>
      <c r="I14" s="57">
        <f>IF(C14=0,0,D14/(C14*Settings!B6))</f>
        <v>0.59018750000000009</v>
      </c>
      <c r="J14" s="56">
        <f t="shared" si="1"/>
        <v>94.43</v>
      </c>
      <c r="K14" s="55">
        <f>COUNTIF('③ Billing Input'!C$4:C$103,"*"&amp;B14&amp;"*")</f>
        <v>0</v>
      </c>
      <c r="L14" s="58" t="str">
        <f>IF(C14=0,"NO TEAM",IF(I14&gt;=Settings!B13,"OVERLOADED",IF(I14&gt;=Settings!B14,"HEALTHY",IF(I14&gt;=Settings!B15,"REVIEW","UNDERUTILIZED"))))</f>
        <v>REVIEW</v>
      </c>
      <c r="M14" s="59" t="str">
        <f t="shared" si="2"/>
        <v>Monitor weekly, cross-train</v>
      </c>
    </row>
    <row r="15" spans="1:13" ht="15" customHeight="1" x14ac:dyDescent="0.2">
      <c r="A15" s="53">
        <v>12</v>
      </c>
      <c r="B15" s="54" t="s">
        <v>412</v>
      </c>
      <c r="C15" s="55">
        <f>COUNTIF('Employee Master'!G$4:G$203,B15)+COUNTIF('Employee Master'!G$4:G$203,B15&amp;",*")</f>
        <v>1</v>
      </c>
      <c r="D15" s="56">
        <f>SUMIF('Employee Master'!G$4:G$203,B15,'Employee Master'!J$4:J$203)+SUMIF('Employee Master'!G$4:G$203,B15&amp;",*",'Employee Master'!J$4:J$203)+F15</f>
        <v>153</v>
      </c>
      <c r="E15" s="56">
        <f>IFERROR(SUMIFS('① Timelog Input'!I$4:I$150,'① Timelog Input'!B$4:B$150,LEFT(B15,4)&amp;"*",'① Timelog Input'!E$4:E$150,"--"),0)</f>
        <v>0</v>
      </c>
      <c r="F15" s="56">
        <f>IFERROR(SUMIFS('① Timelog Input'!J$4:J$150,'① Timelog Input'!B$4:B$150,LEFT(B15,4)&amp;"*",'① Timelog Input'!E$4:E$150,"--"),0)</f>
        <v>0</v>
      </c>
      <c r="G15" s="55">
        <f>SUMIF('Employee Master'!G$4:G$203,B15,'Employee Master'!M$4:M$203)+SUMIF('Employee Master'!G$4:G$203,B15&amp;",*",'Employee Master'!M$4:M$203)</f>
        <v>208333</v>
      </c>
      <c r="H15" s="56">
        <f t="shared" si="0"/>
        <v>1361.6535947712418</v>
      </c>
      <c r="I15" s="57">
        <f>IF(C15=0,0,D15/(C15*Settings!B6))</f>
        <v>0.95625000000000004</v>
      </c>
      <c r="J15" s="56">
        <f t="shared" si="1"/>
        <v>153</v>
      </c>
      <c r="K15" s="55">
        <f>COUNTIF('③ Billing Input'!C$4:C$103,"*"&amp;B15&amp;"*")</f>
        <v>0</v>
      </c>
      <c r="L15" s="58" t="str">
        <f>IF(C15=0,"NO TEAM",IF(I15&gt;=Settings!B13,"OVERLOADED",IF(I15&gt;=Settings!B14,"HEALTHY",IF(I15&gt;=Settings!B15,"REVIEW","UNDERUTILIZED"))))</f>
        <v>OVERLOADED</v>
      </c>
      <c r="M15" s="59" t="str">
        <f t="shared" si="2"/>
        <v>Hire or redistribute</v>
      </c>
    </row>
    <row r="16" spans="1:13" ht="15" customHeight="1" x14ac:dyDescent="0.2">
      <c r="A16" s="53">
        <v>13</v>
      </c>
      <c r="B16" s="54" t="s">
        <v>626</v>
      </c>
      <c r="C16" s="55">
        <f>COUNTIF('Employee Master'!G$4:G$203,B16)+COUNTIF('Employee Master'!G$4:G$203,B16&amp;",*")</f>
        <v>0</v>
      </c>
      <c r="D16" s="56">
        <f>SUMIF('Employee Master'!G$4:G$203,B16,'Employee Master'!J$4:J$203)+SUMIF('Employee Master'!G$4:G$203,B16&amp;",*",'Employee Master'!J$4:J$203)+F16</f>
        <v>0</v>
      </c>
      <c r="E16" s="56">
        <f>IFERROR(SUMIFS('① Timelog Input'!I$4:I$150,'① Timelog Input'!B$4:B$150,LEFT(B16,4)&amp;"*",'① Timelog Input'!E$4:E$150,"--"),0)</f>
        <v>0</v>
      </c>
      <c r="F16" s="56">
        <f>IFERROR(SUMIFS('① Timelog Input'!J$4:J$150,'① Timelog Input'!B$4:B$150,LEFT(B16,4)&amp;"*",'① Timelog Input'!E$4:E$150,"--"),0)</f>
        <v>0</v>
      </c>
      <c r="G16" s="55">
        <f>SUMIF('Employee Master'!G$4:G$203,B16,'Employee Master'!M$4:M$203)+SUMIF('Employee Master'!G$4:G$203,B16&amp;",*",'Employee Master'!M$4:M$203)</f>
        <v>0</v>
      </c>
      <c r="H16" s="56" t="str">
        <f t="shared" si="0"/>
        <v>-</v>
      </c>
      <c r="I16" s="57">
        <f>IF(C16=0,0,D16/(C16*Settings!B6))</f>
        <v>0</v>
      </c>
      <c r="J16" s="56">
        <f t="shared" si="1"/>
        <v>0</v>
      </c>
      <c r="K16" s="55">
        <f>COUNTIF('③ Billing Input'!C$4:C$103,"*"&amp;B16&amp;"*")</f>
        <v>0</v>
      </c>
      <c r="L16" s="58" t="str">
        <f>IF(C16=0,"NO TEAM",IF(I16&gt;=Settings!B13,"OVERLOADED",IF(I16&gt;=Settings!B14,"HEALTHY",IF(I16&gt;=Settings!B15,"REVIEW","UNDERUTILIZED"))))</f>
        <v>NO TEAM</v>
      </c>
      <c r="M16" s="59" t="str">
        <f t="shared" si="2"/>
        <v>Assign team or remove</v>
      </c>
    </row>
    <row r="17" spans="1:13" ht="15" customHeight="1" x14ac:dyDescent="0.2">
      <c r="A17" s="53">
        <v>14</v>
      </c>
      <c r="B17" s="54" t="s">
        <v>472</v>
      </c>
      <c r="C17" s="55">
        <f>COUNTIF('Employee Master'!G$4:G$203,B17)+COUNTIF('Employee Master'!G$4:G$203,B17&amp;",*")</f>
        <v>1</v>
      </c>
      <c r="D17" s="56">
        <f>SUMIF('Employee Master'!G$4:G$203,B17,'Employee Master'!J$4:J$203)+SUMIF('Employee Master'!G$4:G$203,B17&amp;",*",'Employee Master'!J$4:J$203)+F17</f>
        <v>136.63</v>
      </c>
      <c r="E17" s="56">
        <f>IFERROR(SUMIFS('① Timelog Input'!I$4:I$150,'① Timelog Input'!B$4:B$150,LEFT(B17,4)&amp;"*",'① Timelog Input'!E$4:E$150,"--"),0)</f>
        <v>0</v>
      </c>
      <c r="F17" s="56">
        <f>IFERROR(SUMIFS('① Timelog Input'!J$4:J$150,'① Timelog Input'!B$4:B$150,LEFT(B17,4)&amp;"*",'① Timelog Input'!E$4:E$150,"--"),0)</f>
        <v>0</v>
      </c>
      <c r="G17" s="55">
        <f>SUMIF('Employee Master'!G$4:G$203,B17,'Employee Master'!M$4:M$203)+SUMIF('Employee Master'!G$4:G$203,B17&amp;",*",'Employee Master'!M$4:M$203)</f>
        <v>54839</v>
      </c>
      <c r="H17" s="56">
        <f t="shared" si="0"/>
        <v>401.3686598843592</v>
      </c>
      <c r="I17" s="57">
        <f>IF(C17=0,0,D17/(C17*Settings!B6))</f>
        <v>0.85393750000000002</v>
      </c>
      <c r="J17" s="56">
        <f t="shared" si="1"/>
        <v>136.63</v>
      </c>
      <c r="K17" s="55">
        <f>COUNTIF('③ Billing Input'!C$4:C$103,"*"&amp;B17&amp;"*")</f>
        <v>0</v>
      </c>
      <c r="L17" s="58" t="str">
        <f>IF(C17=0,"NO TEAM",IF(I17&gt;=Settings!B13,"OVERLOADED",IF(I17&gt;=Settings!B14,"HEALTHY",IF(I17&gt;=Settings!B15,"REVIEW","UNDERUTILIZED"))))</f>
        <v>OVERLOADED</v>
      </c>
      <c r="M17" s="59" t="str">
        <f t="shared" si="2"/>
        <v>Hire or redistribute</v>
      </c>
    </row>
    <row r="18" spans="1:13" ht="15" customHeight="1" x14ac:dyDescent="0.2">
      <c r="A18" s="53">
        <v>15</v>
      </c>
      <c r="B18" s="54" t="s">
        <v>247</v>
      </c>
      <c r="C18" s="55">
        <f>COUNTIF('Employee Master'!G$4:G$203,B18)+COUNTIF('Employee Master'!G$4:G$203,B18&amp;",*")</f>
        <v>1</v>
      </c>
      <c r="D18" s="56">
        <f>SUMIF('Employee Master'!G$4:G$203,B18,'Employee Master'!J$4:J$203)+SUMIF('Employee Master'!G$4:G$203,B18&amp;",*",'Employee Master'!J$4:J$203)+F18</f>
        <v>0</v>
      </c>
      <c r="E18" s="56">
        <f>IFERROR(SUMIFS('① Timelog Input'!I$4:I$150,'① Timelog Input'!B$4:B$150,LEFT(B18,4)&amp;"*",'① Timelog Input'!E$4:E$150,"--"),0)</f>
        <v>0</v>
      </c>
      <c r="F18" s="56">
        <f>IFERROR(SUMIFS('① Timelog Input'!J$4:J$150,'① Timelog Input'!B$4:B$150,LEFT(B18,4)&amp;"*",'① Timelog Input'!E$4:E$150,"--"),0)</f>
        <v>0</v>
      </c>
      <c r="G18" s="55">
        <f>SUMIF('Employee Master'!G$4:G$203,B18,'Employee Master'!M$4:M$203)+SUMIF('Employee Master'!G$4:G$203,B18&amp;",*",'Employee Master'!M$4:M$203)</f>
        <v>0</v>
      </c>
      <c r="H18" s="56" t="str">
        <f t="shared" si="0"/>
        <v>-</v>
      </c>
      <c r="I18" s="57">
        <f>IF(C18=0,0,D18/(C18*Settings!B6))</f>
        <v>0</v>
      </c>
      <c r="J18" s="56">
        <f t="shared" si="1"/>
        <v>0</v>
      </c>
      <c r="K18" s="55">
        <f>COUNTIF('③ Billing Input'!C$4:C$103,"*"&amp;B18&amp;"*")</f>
        <v>0</v>
      </c>
      <c r="L18" s="58" t="str">
        <f>IF(C18=0,"NO TEAM",IF(I18&gt;=Settings!B13,"OVERLOADED",IF(I18&gt;=Settings!B14,"HEALTHY",IF(I18&gt;=Settings!B15,"REVIEW","UNDERUTILIZED"))))</f>
        <v>UNDERUTILIZED</v>
      </c>
      <c r="M18" s="59" t="str">
        <f t="shared" si="2"/>
        <v>Assign more clients or reduce team</v>
      </c>
    </row>
    <row r="19" spans="1:13" ht="55.5" customHeight="1" x14ac:dyDescent="0.2">
      <c r="A19" s="60">
        <v>16</v>
      </c>
      <c r="B19" s="61" t="s">
        <v>261</v>
      </c>
      <c r="C19" s="55">
        <f>COUNTIF('Employee Master'!G$4:G$203,B19)+COUNTIF('Employee Master'!G$4:G$203,B19&amp;",*")</f>
        <v>2</v>
      </c>
      <c r="D19" s="56">
        <f>SUMIF('Employee Master'!G$4:G$203,B19,'Employee Master'!J$4:J$203)+SUMIF('Employee Master'!G$4:G$203,B19&amp;",*",'Employee Master'!J$4:J$203)+F19</f>
        <v>142.02000000000001</v>
      </c>
      <c r="E19" s="56">
        <f>IFERROR(SUMIFS('① Timelog Input'!I$4:I$150,'① Timelog Input'!B$4:B$150,LEFT(B19,4)&amp;"*",'① Timelog Input'!E$4:E$150,"--"),0)</f>
        <v>0</v>
      </c>
      <c r="F19" s="56">
        <f>IFERROR(SUMIFS('① Timelog Input'!J$4:J$150,'① Timelog Input'!B$4:B$150,LEFT(B19,4)&amp;"*",'① Timelog Input'!E$4:E$150,"--"),0)</f>
        <v>0</v>
      </c>
      <c r="G19" s="55">
        <f>SUMIF('Employee Master'!G$4:G$203,B19,'Employee Master'!M$4:M$203)+SUMIF('Employee Master'!G$4:G$203,B19&amp;",*",'Employee Master'!M$4:M$203)</f>
        <v>47805</v>
      </c>
      <c r="H19" s="56">
        <f t="shared" si="0"/>
        <v>336.60752006759611</v>
      </c>
      <c r="I19" s="57">
        <f>IF(C19=0,0,D19/(C19*Settings!B6))</f>
        <v>0.44381250000000005</v>
      </c>
      <c r="J19" s="56">
        <f t="shared" si="1"/>
        <v>71.010000000000005</v>
      </c>
      <c r="K19" s="55">
        <f>COUNTIF('③ Billing Input'!C$4:C$103,"*"&amp;B19&amp;"*")</f>
        <v>0</v>
      </c>
      <c r="L19" s="58" t="str">
        <f>IF(C19=0,"NO TEAM",IF(I19&gt;=Settings!B13,"OVERLOADED",IF(I19&gt;=Settings!B14,"HEALTHY",IF(I19&gt;=Settings!B15,"REVIEW","UNDERUTILIZED"))))</f>
        <v>UNDERUTILIZED</v>
      </c>
      <c r="M19" s="59" t="str">
        <f t="shared" si="2"/>
        <v>Assign more clients or reduce team</v>
      </c>
    </row>
    <row r="20" spans="1:13" ht="42" x14ac:dyDescent="0.2">
      <c r="A20" s="60">
        <v>17</v>
      </c>
      <c r="B20" s="62" t="s">
        <v>873</v>
      </c>
      <c r="C20" s="63">
        <v>4</v>
      </c>
      <c r="D20" s="64">
        <f>SUM('Employee Master'!J$4:J$203)-SUM(D4:D19)</f>
        <v>88.000000000003638</v>
      </c>
      <c r="E20" s="64">
        <v>0</v>
      </c>
      <c r="F20" s="64">
        <v>0</v>
      </c>
      <c r="G20" s="65">
        <f>SUM('Employee Master'!M$4:M$203)-SUM(G4:G19)</f>
        <v>1757258</v>
      </c>
      <c r="H20" s="64">
        <f t="shared" si="0"/>
        <v>19968.840909090082</v>
      </c>
      <c r="I20" s="66">
        <v>0</v>
      </c>
      <c r="J20" s="63">
        <v>0</v>
      </c>
      <c r="K20" s="63">
        <v>0</v>
      </c>
      <c r="L20" s="63" t="s">
        <v>874</v>
      </c>
      <c r="M20" s="67" t="s">
        <v>875</v>
      </c>
    </row>
    <row r="21" spans="1:13" x14ac:dyDescent="0.2">
      <c r="A21" s="68"/>
      <c r="B21" s="69" t="s">
        <v>876</v>
      </c>
      <c r="C21" s="70">
        <f>COUNTA('Employee Master'!C$4:C$203)</f>
        <v>200</v>
      </c>
      <c r="D21" s="71">
        <f>SUM('Employee Master'!J$4:J$203)</f>
        <v>14125.920000000004</v>
      </c>
      <c r="E21" s="71">
        <f>SUM(E4:E19)</f>
        <v>606.89</v>
      </c>
      <c r="F21" s="71">
        <f>SUM(F4:F19)</f>
        <v>606.89</v>
      </c>
      <c r="G21" s="72">
        <f>SUM('Employee Master'!M$4:M$203)</f>
        <v>7579755</v>
      </c>
      <c r="H21" s="71">
        <f t="shared" si="0"/>
        <v>536.5848737639742</v>
      </c>
      <c r="I21" s="73">
        <f>IF(C21=0,0,D21/(C21*Settings!B6))</f>
        <v>0.44143500000000013</v>
      </c>
      <c r="J21" s="71">
        <f>IF(C21=0,0,D21/C21)</f>
        <v>70.629600000000025</v>
      </c>
      <c r="K21" s="72">
        <f>COUNTA('③ Billing Input'!B$4:B$103)</f>
        <v>61</v>
      </c>
      <c r="L21" s="13"/>
      <c r="M21" s="13"/>
    </row>
    <row r="22" spans="1:13" x14ac:dyDescent="0.2">
      <c r="A22" s="74"/>
      <c r="B22" s="75" t="s">
        <v>876</v>
      </c>
      <c r="C22" s="74">
        <f>COUNTA('Employee Master'!C$4:C$203)</f>
        <v>200</v>
      </c>
      <c r="D22" s="76">
        <f>SUM('Employee Master'!J$4:J$203)</f>
        <v>14125.920000000004</v>
      </c>
      <c r="E22" s="76">
        <f>SUM(E4:E20)</f>
        <v>606.89</v>
      </c>
      <c r="F22" s="76">
        <f>SUM(F4:F20)</f>
        <v>606.89</v>
      </c>
      <c r="G22" s="77">
        <f>SUM('Employee Master'!M$4:M$203)</f>
        <v>7579755</v>
      </c>
      <c r="H22" s="76">
        <f t="shared" si="0"/>
        <v>536.5848737639742</v>
      </c>
      <c r="I22" s="78">
        <f>IF(C22=0,0,D22/(C22*Settings!B6))</f>
        <v>0.44143500000000013</v>
      </c>
      <c r="J22" s="76">
        <f>IF(C22=0,0,D22/C22)</f>
        <v>70.629600000000025</v>
      </c>
      <c r="K22" s="74">
        <f>COUNTA('③ Billing Input'!B$4:B$103)</f>
        <v>61</v>
      </c>
      <c r="L22" s="74"/>
      <c r="M22" s="75"/>
    </row>
    <row r="23" spans="1:13" x14ac:dyDescent="0.2">
      <c r="A23" s="68"/>
      <c r="B23" s="79" t="s">
        <v>877</v>
      </c>
      <c r="C23" s="68"/>
      <c r="D23" s="80">
        <f>D22-SUM(D4:D20)</f>
        <v>0</v>
      </c>
      <c r="E23" s="68"/>
      <c r="F23" s="68"/>
      <c r="G23" s="68"/>
      <c r="H23" s="68"/>
      <c r="I23" s="68"/>
      <c r="J23" s="68"/>
      <c r="K23" s="68"/>
      <c r="L23" s="68"/>
      <c r="M23" s="68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808080"/>
  </sheetPr>
  <dimension ref="A1:Q110"/>
  <sheetViews>
    <sheetView topLeftCell="A85" zoomScaleNormal="100" workbookViewId="0">
      <selection activeCell="D95" sqref="D95"/>
    </sheetView>
  </sheetViews>
  <sheetFormatPr baseColWidth="10" defaultColWidth="8.6640625" defaultRowHeight="15" customHeight="1" x14ac:dyDescent="0.2"/>
  <cols>
    <col min="1" max="1" width="39.33203125" customWidth="1"/>
    <col min="2" max="2" width="22" customWidth="1"/>
    <col min="3" max="3" width="16" customWidth="1"/>
    <col min="4" max="5" width="14" customWidth="1"/>
    <col min="6" max="6" width="25" customWidth="1"/>
    <col min="7" max="7" width="22" customWidth="1"/>
    <col min="8" max="15" width="14" customWidth="1"/>
    <col min="16" max="16" width="16" customWidth="1"/>
    <col min="17" max="17" width="14" customWidth="1"/>
  </cols>
  <sheetData>
    <row r="1" spans="1:17" ht="18" x14ac:dyDescent="0.2">
      <c r="A1" s="149" t="s">
        <v>878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17" x14ac:dyDescent="0.2">
      <c r="A2" s="150" t="s">
        <v>879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</row>
    <row r="4" spans="1:17" x14ac:dyDescent="0.2">
      <c r="A4" s="148" t="s">
        <v>880</v>
      </c>
      <c r="B4" s="148"/>
      <c r="C4" s="148"/>
      <c r="D4" s="148"/>
      <c r="E4" s="148"/>
    </row>
    <row r="5" spans="1:17" x14ac:dyDescent="0.2">
      <c r="A5" s="81" t="s">
        <v>852</v>
      </c>
      <c r="B5" s="81" t="s">
        <v>853</v>
      </c>
      <c r="C5" s="81" t="s">
        <v>175</v>
      </c>
      <c r="D5" s="81" t="s">
        <v>42</v>
      </c>
    </row>
    <row r="6" spans="1:17" x14ac:dyDescent="0.2">
      <c r="A6" s="61" t="s">
        <v>881</v>
      </c>
      <c r="B6" s="82">
        <f>COUNTIF(D$17:D$350,"In-house")</f>
        <v>36</v>
      </c>
      <c r="C6" s="82">
        <f>COUNTIF(D$17:D$350,"Retainer")</f>
        <v>3</v>
      </c>
      <c r="D6" s="83">
        <f t="shared" ref="D6:D11" si="0">B6+C6</f>
        <v>39</v>
      </c>
    </row>
    <row r="7" spans="1:17" x14ac:dyDescent="0.2">
      <c r="A7" s="61" t="s">
        <v>882</v>
      </c>
      <c r="B7" s="82">
        <f>SUMIF(D$17:D$350,"In-house",H$17:H$350)</f>
        <v>5760</v>
      </c>
      <c r="C7" s="82">
        <f>SUMIF(D$17:D$350,"Retainer",H$17:H$350)</f>
        <v>480</v>
      </c>
      <c r="D7" s="83">
        <f t="shared" si="0"/>
        <v>6240</v>
      </c>
    </row>
    <row r="8" spans="1:17" x14ac:dyDescent="0.2">
      <c r="A8" s="61" t="s">
        <v>883</v>
      </c>
      <c r="B8" s="84">
        <f>SUMIF(D$17:D$350,"In-house",I$17:I$350)</f>
        <v>4134.32</v>
      </c>
      <c r="C8" s="84">
        <f>SUMIF(D$17:D$350,"Retainer",I$17:I$350)</f>
        <v>452.41999999999996</v>
      </c>
      <c r="D8" s="85">
        <f t="shared" si="0"/>
        <v>4586.74</v>
      </c>
    </row>
    <row r="9" spans="1:17" x14ac:dyDescent="0.2">
      <c r="A9" s="61" t="s">
        <v>71</v>
      </c>
      <c r="B9" s="84">
        <f>SUMIF(D$17:D$350,"In-house",J$17:J$350)</f>
        <v>3988.5499999999997</v>
      </c>
      <c r="C9" s="84">
        <f>SUMIF(D$17:D$350,"Retainer",J$17:J$350)</f>
        <v>452.41999999999996</v>
      </c>
      <c r="D9" s="85">
        <f t="shared" si="0"/>
        <v>4440.9699999999993</v>
      </c>
    </row>
    <row r="10" spans="1:17" x14ac:dyDescent="0.2">
      <c r="A10" s="61" t="s">
        <v>884</v>
      </c>
      <c r="B10" s="84">
        <f>SUMIF(D$17:D$350,"In-house",K$17:K$350)</f>
        <v>145.77000000000001</v>
      </c>
      <c r="C10" s="84">
        <f>SUMIF(D$17:D$350,"Retainer",K$17:K$350)</f>
        <v>0</v>
      </c>
      <c r="D10" s="85">
        <f t="shared" si="0"/>
        <v>145.77000000000001</v>
      </c>
    </row>
    <row r="11" spans="1:17" x14ac:dyDescent="0.2">
      <c r="A11" s="61" t="s">
        <v>885</v>
      </c>
      <c r="B11" s="84">
        <f>SUMIF(D$17:D$350,"In-house",L$17:L$350)</f>
        <v>1625.6799999999998</v>
      </c>
      <c r="C11" s="84">
        <f>SUMIF(D$17:D$350,"Retainer",L$17:L$350)</f>
        <v>27.580000000000013</v>
      </c>
      <c r="D11" s="85">
        <f t="shared" si="0"/>
        <v>1653.2599999999998</v>
      </c>
    </row>
    <row r="12" spans="1:17" x14ac:dyDescent="0.2">
      <c r="A12" s="61" t="s">
        <v>886</v>
      </c>
      <c r="B12" s="86">
        <f>IF(B7=0,0,B8/B7)</f>
        <v>0.71776388888888887</v>
      </c>
      <c r="C12" s="86">
        <f>IF(C7=0,0,C8/C7)</f>
        <v>0.94254166666666661</v>
      </c>
      <c r="D12" s="87">
        <f>IF(D7=0,0,D8/D7)</f>
        <v>0.73505448717948718</v>
      </c>
    </row>
    <row r="13" spans="1:17" x14ac:dyDescent="0.2">
      <c r="A13" s="61" t="s">
        <v>887</v>
      </c>
      <c r="B13" s="86">
        <f>IF(B7=0,0,B9/B7)</f>
        <v>0.69245659722222219</v>
      </c>
      <c r="C13" s="86">
        <f>IF(C7=0,0,C9/C7)</f>
        <v>0.94254166666666661</v>
      </c>
      <c r="D13" s="87">
        <f>IF(D7=0,0,D9/D7)</f>
        <v>0.71169391025641016</v>
      </c>
    </row>
    <row r="14" spans="1:17" x14ac:dyDescent="0.2">
      <c r="A14" s="61" t="s">
        <v>888</v>
      </c>
      <c r="B14" s="82">
        <f>SUMIF(D$17:D$350,"In-house",M$17:M$350)</f>
        <v>3408008</v>
      </c>
      <c r="C14" s="82">
        <f>SUMIF(D$17:D$350,"Retainer",M$17:M$350)</f>
        <v>242000</v>
      </c>
      <c r="D14" s="83">
        <f>B14+C14</f>
        <v>3650008</v>
      </c>
    </row>
    <row r="15" spans="1:17" ht="15" customHeight="1" x14ac:dyDescent="0.2">
      <c r="A15" s="151" t="s">
        <v>889</v>
      </c>
      <c r="B15" s="151"/>
      <c r="C15" s="151"/>
      <c r="D15" s="151"/>
      <c r="E15" s="151"/>
    </row>
    <row r="16" spans="1:17" ht="28" x14ac:dyDescent="0.2">
      <c r="A16" s="81" t="s">
        <v>694</v>
      </c>
      <c r="B16" s="81" t="s">
        <v>63</v>
      </c>
      <c r="C16" s="81" t="s">
        <v>64</v>
      </c>
      <c r="D16" s="81" t="s">
        <v>67</v>
      </c>
      <c r="E16" s="81" t="s">
        <v>69</v>
      </c>
      <c r="F16" s="81" t="s">
        <v>68</v>
      </c>
      <c r="G16" s="81" t="s">
        <v>66</v>
      </c>
      <c r="H16" s="81" t="s">
        <v>890</v>
      </c>
      <c r="I16" s="81" t="s">
        <v>891</v>
      </c>
      <c r="J16" s="81" t="s">
        <v>892</v>
      </c>
      <c r="K16" s="81" t="s">
        <v>893</v>
      </c>
      <c r="L16" s="81" t="s">
        <v>894</v>
      </c>
      <c r="M16" s="81" t="s">
        <v>838</v>
      </c>
      <c r="N16" s="81" t="s">
        <v>895</v>
      </c>
      <c r="O16" s="81" t="s">
        <v>896</v>
      </c>
      <c r="P16" s="81" t="s">
        <v>897</v>
      </c>
      <c r="Q16" s="81" t="s">
        <v>800</v>
      </c>
    </row>
    <row r="17" spans="1:17" x14ac:dyDescent="0.2">
      <c r="A17" s="60">
        <v>1</v>
      </c>
      <c r="B17" s="61" t="str">
        <f>'① Timelog Input'!B4</f>
        <v>Ankit</v>
      </c>
      <c r="C17" s="60" t="str">
        <f>'① Timelog Input'!C4</f>
        <v>CAS-IH_1070</v>
      </c>
      <c r="D17" s="60" t="str">
        <f>'① Timelog Input'!F4</f>
        <v>In-house</v>
      </c>
      <c r="E17" s="61" t="str">
        <f>'① Timelog Input'!H4</f>
        <v>Accounting</v>
      </c>
      <c r="F17" s="61" t="str">
        <f>'① Timelog Input'!G4</f>
        <v>Associate</v>
      </c>
      <c r="G17" s="61" t="str">
        <f>'① Timelog Input'!E4</f>
        <v>Jasleen.D</v>
      </c>
      <c r="H17" s="82">
        <f>Settings!B6</f>
        <v>160</v>
      </c>
      <c r="I17" s="84">
        <f>IF('① Timelog Input'!I4="",0,'① Timelog Input'!I4)</f>
        <v>113.42</v>
      </c>
      <c r="J17" s="84">
        <f>IF('① Timelog Input'!J4="",0,'① Timelog Input'!J4)</f>
        <v>113.42</v>
      </c>
      <c r="K17" s="84">
        <f t="shared" ref="K17:K48" si="1">I17-J17</f>
        <v>0</v>
      </c>
      <c r="L17" s="84">
        <f t="shared" ref="L17:L48" si="2">H17-I17</f>
        <v>46.58</v>
      </c>
      <c r="M17" s="82">
        <f>IFERROR(VLOOKUP(C17,'② Salary Input'!A$4:V$200,14,FALSE()),0)</f>
        <v>60000</v>
      </c>
      <c r="N17" s="86">
        <f t="shared" ref="N17:N48" si="3">IF(H17=0,0,I17/H17)</f>
        <v>0.70887500000000003</v>
      </c>
      <c r="O17" s="86">
        <f t="shared" ref="O17:O48" si="4">IF(H17=0,0,J17/H17)</f>
        <v>0.70887500000000003</v>
      </c>
      <c r="P17" s="84">
        <f t="shared" ref="P17:P48" si="5">IF(H17=0,0,M17/H17)</f>
        <v>375</v>
      </c>
      <c r="Q17" s="60" t="str">
        <f t="shared" ref="Q17:Q48" si="6">IF(N17&gt;=0.85,"OVERLOADED",IF(N17&gt;=0.65,"OPTIMAL",IF(N17&gt;=0.4,"UNDERUTILIZED",IF(N17&gt;0,"LOW ACTIVITY","IDLE"))))</f>
        <v>OPTIMAL</v>
      </c>
    </row>
    <row r="18" spans="1:17" x14ac:dyDescent="0.2">
      <c r="A18" s="60">
        <v>2</v>
      </c>
      <c r="B18" s="61" t="str">
        <f>'① Timelog Input'!B5</f>
        <v>Astha.D</v>
      </c>
      <c r="C18" s="60" t="str">
        <f>'① Timelog Input'!C5</f>
        <v>CAS-IH_1092</v>
      </c>
      <c r="D18" s="60" t="str">
        <f>'① Timelog Input'!F5</f>
        <v>In-house</v>
      </c>
      <c r="E18" s="61" t="str">
        <f>'① Timelog Input'!H5</f>
        <v>Accounting</v>
      </c>
      <c r="F18" s="61" t="str">
        <f>'① Timelog Input'!G5</f>
        <v>Associate</v>
      </c>
      <c r="G18" s="61" t="str">
        <f>'① Timelog Input'!E5</f>
        <v>Jasleen.D</v>
      </c>
      <c r="H18" s="82">
        <f>Settings!B6</f>
        <v>160</v>
      </c>
      <c r="I18" s="84">
        <f>IF('① Timelog Input'!I5="",0,'① Timelog Input'!I5)</f>
        <v>156.75</v>
      </c>
      <c r="J18" s="84">
        <f>IF('① Timelog Input'!J5="",0,'① Timelog Input'!J5)</f>
        <v>156.75</v>
      </c>
      <c r="K18" s="84">
        <f t="shared" si="1"/>
        <v>0</v>
      </c>
      <c r="L18" s="84">
        <f t="shared" si="2"/>
        <v>3.25</v>
      </c>
      <c r="M18" s="82">
        <f>IFERROR(VLOOKUP(C18,'② Salary Input'!A$4:V$200,14,FALSE()),0)</f>
        <v>45000</v>
      </c>
      <c r="N18" s="86">
        <f t="shared" si="3"/>
        <v>0.97968750000000004</v>
      </c>
      <c r="O18" s="86">
        <f t="shared" si="4"/>
        <v>0.97968750000000004</v>
      </c>
      <c r="P18" s="84">
        <f t="shared" si="5"/>
        <v>281.25</v>
      </c>
      <c r="Q18" s="60" t="str">
        <f t="shared" si="6"/>
        <v>OVERLOADED</v>
      </c>
    </row>
    <row r="19" spans="1:17" x14ac:dyDescent="0.2">
      <c r="A19" s="60">
        <v>3</v>
      </c>
      <c r="B19" s="61" t="str">
        <f>'① Timelog Input'!B6</f>
        <v>Pragati.S</v>
      </c>
      <c r="C19" s="60" t="str">
        <f>'① Timelog Input'!C6</f>
        <v>CAS-IH_1105</v>
      </c>
      <c r="D19" s="60" t="str">
        <f>'① Timelog Input'!F6</f>
        <v>In-house</v>
      </c>
      <c r="E19" s="61" t="str">
        <f>'① Timelog Input'!H6</f>
        <v>Accounting</v>
      </c>
      <c r="F19" s="61" t="str">
        <f>'① Timelog Input'!G6</f>
        <v>Asst. Team Lead</v>
      </c>
      <c r="G19" s="61" t="str">
        <f>'① Timelog Input'!E6</f>
        <v>Jasleen.D</v>
      </c>
      <c r="H19" s="82">
        <f>Settings!B6</f>
        <v>160</v>
      </c>
      <c r="I19" s="84">
        <f>IF('① Timelog Input'!I6="",0,'① Timelog Input'!I6)</f>
        <v>125.58</v>
      </c>
      <c r="J19" s="84">
        <f>IF('① Timelog Input'!J6="",0,'① Timelog Input'!J6)</f>
        <v>125.58</v>
      </c>
      <c r="K19" s="84">
        <f t="shared" si="1"/>
        <v>0</v>
      </c>
      <c r="L19" s="84">
        <f t="shared" si="2"/>
        <v>34.42</v>
      </c>
      <c r="M19" s="82">
        <f>IFERROR(VLOOKUP(C19,'② Salary Input'!A$4:V$200,14,FALSE()),0)</f>
        <v>65000</v>
      </c>
      <c r="N19" s="86">
        <f t="shared" si="3"/>
        <v>0.78487499999999999</v>
      </c>
      <c r="O19" s="86">
        <f t="shared" si="4"/>
        <v>0.78487499999999999</v>
      </c>
      <c r="P19" s="84">
        <f t="shared" si="5"/>
        <v>406.25</v>
      </c>
      <c r="Q19" s="60" t="str">
        <f t="shared" si="6"/>
        <v>OPTIMAL</v>
      </c>
    </row>
    <row r="20" spans="1:17" x14ac:dyDescent="0.2">
      <c r="A20" s="60">
        <v>4</v>
      </c>
      <c r="B20" s="61" t="str">
        <f>'① Timelog Input'!B7</f>
        <v>Anshul.O</v>
      </c>
      <c r="C20" s="60" t="str">
        <f>'① Timelog Input'!C7</f>
        <v>CAS-IH_1109</v>
      </c>
      <c r="D20" s="60" t="str">
        <f>'① Timelog Input'!F7</f>
        <v>In-house</v>
      </c>
      <c r="E20" s="61" t="str">
        <f>'① Timelog Input'!H7</f>
        <v>Accounting</v>
      </c>
      <c r="F20" s="61" t="str">
        <f>'① Timelog Input'!G7</f>
        <v>Team Lead</v>
      </c>
      <c r="G20" s="61" t="str">
        <f>'① Timelog Input'!E7</f>
        <v>Jasleen.D</v>
      </c>
      <c r="H20" s="82">
        <f>Settings!B6</f>
        <v>160</v>
      </c>
      <c r="I20" s="84">
        <f>IF('① Timelog Input'!I7="",0,'① Timelog Input'!I7)</f>
        <v>157.41999999999999</v>
      </c>
      <c r="J20" s="84">
        <f>IF('① Timelog Input'!J7="",0,'① Timelog Input'!J7)</f>
        <v>157.41999999999999</v>
      </c>
      <c r="K20" s="84">
        <f t="shared" si="1"/>
        <v>0</v>
      </c>
      <c r="L20" s="84">
        <f t="shared" si="2"/>
        <v>2.5800000000000125</v>
      </c>
      <c r="M20" s="82">
        <f>IFERROR(VLOOKUP(C20,'② Salary Input'!A$4:V$200,14,FALSE()),0)</f>
        <v>84000</v>
      </c>
      <c r="N20" s="86">
        <f t="shared" si="3"/>
        <v>0.98387499999999994</v>
      </c>
      <c r="O20" s="86">
        <f t="shared" si="4"/>
        <v>0.98387499999999994</v>
      </c>
      <c r="P20" s="84">
        <f t="shared" si="5"/>
        <v>525</v>
      </c>
      <c r="Q20" s="60" t="str">
        <f t="shared" si="6"/>
        <v>OVERLOADED</v>
      </c>
    </row>
    <row r="21" spans="1:17" x14ac:dyDescent="0.2">
      <c r="A21" s="60">
        <v>5</v>
      </c>
      <c r="B21" s="61" t="str">
        <f>'① Timelog Input'!B8</f>
        <v>Shefali.B</v>
      </c>
      <c r="C21" s="60" t="str">
        <f>'① Timelog Input'!C8</f>
        <v>CAS-IH_1122</v>
      </c>
      <c r="D21" s="60" t="str">
        <f>'① Timelog Input'!F8</f>
        <v>In-house</v>
      </c>
      <c r="E21" s="61" t="str">
        <f>'① Timelog Input'!H8</f>
        <v>Accounting</v>
      </c>
      <c r="F21" s="61" t="str">
        <f>'① Timelog Input'!G8</f>
        <v>Associate</v>
      </c>
      <c r="G21" s="61" t="str">
        <f>'① Timelog Input'!E8</f>
        <v>Jasleen.D</v>
      </c>
      <c r="H21" s="82">
        <f>Settings!B6</f>
        <v>160</v>
      </c>
      <c r="I21" s="84">
        <f>IF('① Timelog Input'!I8="",0,'① Timelog Input'!I8)</f>
        <v>147.41</v>
      </c>
      <c r="J21" s="84">
        <f>IF('① Timelog Input'!J8="",0,'① Timelog Input'!J8)</f>
        <v>147.41</v>
      </c>
      <c r="K21" s="84">
        <f t="shared" si="1"/>
        <v>0</v>
      </c>
      <c r="L21" s="84">
        <f t="shared" si="2"/>
        <v>12.590000000000003</v>
      </c>
      <c r="M21" s="82">
        <f>IFERROR(VLOOKUP(C21,'② Salary Input'!A$4:V$200,14,FALSE()),0)</f>
        <v>45000</v>
      </c>
      <c r="N21" s="86">
        <f t="shared" si="3"/>
        <v>0.92131249999999998</v>
      </c>
      <c r="O21" s="86">
        <f t="shared" si="4"/>
        <v>0.92131249999999998</v>
      </c>
      <c r="P21" s="84">
        <f t="shared" si="5"/>
        <v>281.25</v>
      </c>
      <c r="Q21" s="60" t="str">
        <f t="shared" si="6"/>
        <v>OVERLOADED</v>
      </c>
    </row>
    <row r="22" spans="1:17" x14ac:dyDescent="0.2">
      <c r="A22" s="60">
        <v>6</v>
      </c>
      <c r="B22" s="61" t="str">
        <f>'① Timelog Input'!B9</f>
        <v>Sandesh.H</v>
      </c>
      <c r="C22" s="60" t="str">
        <f>'① Timelog Input'!C9</f>
        <v>CAS-IH_1149</v>
      </c>
      <c r="D22" s="60" t="str">
        <f>'① Timelog Input'!F9</f>
        <v>In-house</v>
      </c>
      <c r="E22" s="61" t="str">
        <f>'① Timelog Input'!H9</f>
        <v>Accounting</v>
      </c>
      <c r="F22" s="61" t="str">
        <f>'① Timelog Input'!G9</f>
        <v>Associate</v>
      </c>
      <c r="G22" s="61" t="str">
        <f>'① Timelog Input'!E9</f>
        <v>Jasleen.D</v>
      </c>
      <c r="H22" s="82">
        <f>Settings!B6</f>
        <v>160</v>
      </c>
      <c r="I22" s="84">
        <f>IF('① Timelog Input'!I9="",0,'① Timelog Input'!I9)</f>
        <v>166</v>
      </c>
      <c r="J22" s="84">
        <f>IF('① Timelog Input'!J9="",0,'① Timelog Input'!J9)</f>
        <v>166</v>
      </c>
      <c r="K22" s="84">
        <f t="shared" si="1"/>
        <v>0</v>
      </c>
      <c r="L22" s="84">
        <f t="shared" si="2"/>
        <v>-6</v>
      </c>
      <c r="M22" s="82">
        <f>IFERROR(VLOOKUP(C22,'② Salary Input'!A$4:V$200,14,FALSE()),0)</f>
        <v>40000</v>
      </c>
      <c r="N22" s="86">
        <f t="shared" si="3"/>
        <v>1.0375000000000001</v>
      </c>
      <c r="O22" s="86">
        <f t="shared" si="4"/>
        <v>1.0375000000000001</v>
      </c>
      <c r="P22" s="84">
        <f t="shared" si="5"/>
        <v>250</v>
      </c>
      <c r="Q22" s="60" t="str">
        <f t="shared" si="6"/>
        <v>OVERLOADED</v>
      </c>
    </row>
    <row r="23" spans="1:17" x14ac:dyDescent="0.2">
      <c r="A23" s="60">
        <v>7</v>
      </c>
      <c r="B23" s="61" t="str">
        <f>'① Timelog Input'!B12</f>
        <v>Somya.B</v>
      </c>
      <c r="C23" s="60" t="str">
        <f>'① Timelog Input'!C12</f>
        <v>CAS-IH_1169</v>
      </c>
      <c r="D23" s="60" t="str">
        <f>'① Timelog Input'!F12</f>
        <v>Retainer</v>
      </c>
      <c r="E23" s="61" t="str">
        <f>'① Timelog Input'!H12</f>
        <v>Accounting</v>
      </c>
      <c r="F23" s="61" t="str">
        <f>'① Timelog Input'!G12</f>
        <v>Sr. Associate</v>
      </c>
      <c r="G23" s="61" t="str">
        <f>'① Timelog Input'!E12</f>
        <v>Jasleen.D</v>
      </c>
      <c r="H23" s="82">
        <f>Settings!B6</f>
        <v>160</v>
      </c>
      <c r="I23" s="84">
        <f>IF('① Timelog Input'!I12="",0,'① Timelog Input'!I12)</f>
        <v>146.75</v>
      </c>
      <c r="J23" s="84">
        <f>IF('① Timelog Input'!J12="",0,'① Timelog Input'!J12)</f>
        <v>146.75</v>
      </c>
      <c r="K23" s="84">
        <f t="shared" si="1"/>
        <v>0</v>
      </c>
      <c r="L23" s="84">
        <f t="shared" si="2"/>
        <v>13.25</v>
      </c>
      <c r="M23" s="82">
        <f>IFERROR(VLOOKUP(C23,'② Salary Input'!A$4:V$200,14,FALSE()),0)</f>
        <v>50000</v>
      </c>
      <c r="N23" s="86">
        <f t="shared" si="3"/>
        <v>0.91718750000000004</v>
      </c>
      <c r="O23" s="86">
        <f t="shared" si="4"/>
        <v>0.91718750000000004</v>
      </c>
      <c r="P23" s="84">
        <f t="shared" si="5"/>
        <v>312.5</v>
      </c>
      <c r="Q23" s="60" t="str">
        <f t="shared" si="6"/>
        <v>OVERLOADED</v>
      </c>
    </row>
    <row r="24" spans="1:17" x14ac:dyDescent="0.2">
      <c r="A24" s="60">
        <v>8</v>
      </c>
      <c r="B24" s="61" t="str">
        <f>'① Timelog Input'!B13</f>
        <v>Jasleen.D</v>
      </c>
      <c r="C24" s="60" t="str">
        <f>'① Timelog Input'!C13</f>
        <v>CAS-IH_1069</v>
      </c>
      <c r="D24" s="60" t="str">
        <f>'① Timelog Input'!F13</f>
        <v>In-house</v>
      </c>
      <c r="E24" s="61" t="str">
        <f>'① Timelog Input'!H13</f>
        <v>Accounting</v>
      </c>
      <c r="F24" s="61" t="str">
        <f>'① Timelog Input'!G13</f>
        <v>Controller</v>
      </c>
      <c r="G24" s="61" t="str">
        <f>'① Timelog Input'!E13</f>
        <v>--</v>
      </c>
      <c r="H24" s="82">
        <f>Settings!B6</f>
        <v>160</v>
      </c>
      <c r="I24" s="84">
        <f>IF('① Timelog Input'!I13="",0,'① Timelog Input'!I13)</f>
        <v>107</v>
      </c>
      <c r="J24" s="84">
        <f>IF('① Timelog Input'!J13="",0,'① Timelog Input'!J13)</f>
        <v>107</v>
      </c>
      <c r="K24" s="84">
        <f t="shared" si="1"/>
        <v>0</v>
      </c>
      <c r="L24" s="84">
        <f t="shared" si="2"/>
        <v>53</v>
      </c>
      <c r="M24" s="82">
        <f>IFERROR(VLOOKUP(C24,'② Salary Input'!A$4:V$200,14,FALSE()),0)</f>
        <v>245000</v>
      </c>
      <c r="N24" s="86">
        <f t="shared" si="3"/>
        <v>0.66874999999999996</v>
      </c>
      <c r="O24" s="86">
        <f t="shared" si="4"/>
        <v>0.66874999999999996</v>
      </c>
      <c r="P24" s="84">
        <f t="shared" si="5"/>
        <v>1531.25</v>
      </c>
      <c r="Q24" s="60" t="str">
        <f t="shared" si="6"/>
        <v>OPTIMAL</v>
      </c>
    </row>
    <row r="25" spans="1:17" ht="42" x14ac:dyDescent="0.2">
      <c r="A25" s="60">
        <v>9</v>
      </c>
      <c r="B25" s="61" t="str">
        <f>'① Timelog Input'!B14</f>
        <v>Jyoti</v>
      </c>
      <c r="C25" s="60" t="str">
        <f>'① Timelog Input'!C14</f>
        <v>CAS-IH_1037</v>
      </c>
      <c r="D25" s="60" t="str">
        <f>'① Timelog Input'!F14</f>
        <v>In-house</v>
      </c>
      <c r="E25" s="61" t="str">
        <f>'① Timelog Input'!H14</f>
        <v>Accounting, Business Tax, VA</v>
      </c>
      <c r="F25" s="61" t="str">
        <f>'① Timelog Input'!G14</f>
        <v>Controller</v>
      </c>
      <c r="G25" s="61" t="str">
        <f>'① Timelog Input'!E14</f>
        <v>--</v>
      </c>
      <c r="H25" s="82">
        <f>Settings!B6</f>
        <v>160</v>
      </c>
      <c r="I25" s="84">
        <f>IF('① Timelog Input'!I14="",0,'① Timelog Input'!I14)</f>
        <v>151.9</v>
      </c>
      <c r="J25" s="84">
        <f>IF('① Timelog Input'!J14="",0,'① Timelog Input'!J14)</f>
        <v>151.9</v>
      </c>
      <c r="K25" s="84">
        <f t="shared" si="1"/>
        <v>0</v>
      </c>
      <c r="L25" s="84">
        <f t="shared" si="2"/>
        <v>8.0999999999999943</v>
      </c>
      <c r="M25" s="82">
        <f>IFERROR(VLOOKUP(C25,'② Salary Input'!A$4:V$200,14,FALSE()),0)</f>
        <v>0</v>
      </c>
      <c r="N25" s="86">
        <f t="shared" si="3"/>
        <v>0.94937500000000008</v>
      </c>
      <c r="O25" s="86">
        <f t="shared" si="4"/>
        <v>0.94937500000000008</v>
      </c>
      <c r="P25" s="84">
        <f t="shared" si="5"/>
        <v>0</v>
      </c>
      <c r="Q25" s="60" t="str">
        <f t="shared" si="6"/>
        <v>OVERLOADED</v>
      </c>
    </row>
    <row r="26" spans="1:17" x14ac:dyDescent="0.2">
      <c r="A26" s="60">
        <v>10</v>
      </c>
      <c r="B26" s="61" t="str">
        <f>'① Timelog Input'!B15</f>
        <v>Vini</v>
      </c>
      <c r="C26" s="60" t="str">
        <f>'① Timelog Input'!C15</f>
        <v>CAS-IH_1018</v>
      </c>
      <c r="D26" s="60" t="str">
        <f>'① Timelog Input'!F15</f>
        <v>In-house</v>
      </c>
      <c r="E26" s="61" t="str">
        <f>'① Timelog Input'!H15</f>
        <v>HR</v>
      </c>
      <c r="F26" s="61" t="str">
        <f>'① Timelog Input'!G15</f>
        <v>Controller</v>
      </c>
      <c r="G26" s="61" t="str">
        <f>'① Timelog Input'!E15</f>
        <v>--</v>
      </c>
      <c r="H26" s="82">
        <f>Settings!B6</f>
        <v>160</v>
      </c>
      <c r="I26" s="84">
        <f>IF('① Timelog Input'!I15="",0,'① Timelog Input'!I15)</f>
        <v>10.42</v>
      </c>
      <c r="J26" s="84">
        <f>IF('① Timelog Input'!J15="",0,'① Timelog Input'!J15)</f>
        <v>10.42</v>
      </c>
      <c r="K26" s="84">
        <f t="shared" si="1"/>
        <v>0</v>
      </c>
      <c r="L26" s="84">
        <f t="shared" si="2"/>
        <v>149.58000000000001</v>
      </c>
      <c r="M26" s="82">
        <f>IFERROR(VLOOKUP(C26,'② Salary Input'!A$4:V$200,14,FALSE()),0)</f>
        <v>175000</v>
      </c>
      <c r="N26" s="86">
        <f t="shared" si="3"/>
        <v>6.5125000000000002E-2</v>
      </c>
      <c r="O26" s="86">
        <f t="shared" si="4"/>
        <v>6.5125000000000002E-2</v>
      </c>
      <c r="P26" s="84">
        <f t="shared" si="5"/>
        <v>1093.75</v>
      </c>
      <c r="Q26" s="60" t="str">
        <f t="shared" si="6"/>
        <v>LOW ACTIVITY</v>
      </c>
    </row>
    <row r="27" spans="1:17" ht="28" x14ac:dyDescent="0.2">
      <c r="A27" s="60">
        <v>11</v>
      </c>
      <c r="B27" s="61" t="str">
        <f>'① Timelog Input'!B16</f>
        <v>Asmita</v>
      </c>
      <c r="C27" s="60" t="str">
        <f>'① Timelog Input'!C16</f>
        <v>CAS-IH_1049</v>
      </c>
      <c r="D27" s="60" t="str">
        <f>'① Timelog Input'!F16</f>
        <v>In-house</v>
      </c>
      <c r="E27" s="61" t="str">
        <f>'① Timelog Input'!H16</f>
        <v>Accounting, Business Tax</v>
      </c>
      <c r="F27" s="61" t="str">
        <f>'① Timelog Input'!G16</f>
        <v>Sr. Associate</v>
      </c>
      <c r="G27" s="61" t="str">
        <f>'① Timelog Input'!E16</f>
        <v>Jyoti</v>
      </c>
      <c r="H27" s="82">
        <f>Settings!B6</f>
        <v>160</v>
      </c>
      <c r="I27" s="84">
        <f>IF('① Timelog Input'!I16="",0,'① Timelog Input'!I16)</f>
        <v>115.67</v>
      </c>
      <c r="J27" s="84">
        <f>IF('① Timelog Input'!J16="",0,'① Timelog Input'!J16)</f>
        <v>115.67</v>
      </c>
      <c r="K27" s="84">
        <f t="shared" si="1"/>
        <v>0</v>
      </c>
      <c r="L27" s="84">
        <f t="shared" si="2"/>
        <v>44.33</v>
      </c>
      <c r="M27" s="82">
        <f>IFERROR(VLOOKUP(C27,'② Salary Input'!A$4:V$200,14,FALSE()),0)</f>
        <v>62500</v>
      </c>
      <c r="N27" s="86">
        <f t="shared" si="3"/>
        <v>0.72293750000000001</v>
      </c>
      <c r="O27" s="86">
        <f t="shared" si="4"/>
        <v>0.72293750000000001</v>
      </c>
      <c r="P27" s="84">
        <f t="shared" si="5"/>
        <v>390.625</v>
      </c>
      <c r="Q27" s="60" t="str">
        <f t="shared" si="6"/>
        <v>OPTIMAL</v>
      </c>
    </row>
    <row r="28" spans="1:17" ht="42" x14ac:dyDescent="0.2">
      <c r="A28" s="60">
        <v>12</v>
      </c>
      <c r="B28" s="61" t="str">
        <f>'① Timelog Input'!B17</f>
        <v>Nikita</v>
      </c>
      <c r="C28" s="60" t="str">
        <f>'① Timelog Input'!C17</f>
        <v>CAS-IH_1041</v>
      </c>
      <c r="D28" s="60" t="str">
        <f>'① Timelog Input'!F17</f>
        <v>In-house</v>
      </c>
      <c r="E28" s="61" t="str">
        <f>'① Timelog Input'!H17</f>
        <v>Accounting, Business Tax, VA, L&amp;D</v>
      </c>
      <c r="F28" s="61" t="str">
        <f>'① Timelog Input'!G17</f>
        <v>Controller</v>
      </c>
      <c r="G28" s="61" t="str">
        <f>'① Timelog Input'!E17</f>
        <v>--</v>
      </c>
      <c r="H28" s="82">
        <f>Settings!B6</f>
        <v>160</v>
      </c>
      <c r="I28" s="84">
        <f>IF('① Timelog Input'!I17="",0,'① Timelog Input'!I17)</f>
        <v>101</v>
      </c>
      <c r="J28" s="84">
        <f>IF('① Timelog Input'!J17="",0,'① Timelog Input'!J17)</f>
        <v>101</v>
      </c>
      <c r="K28" s="84">
        <f t="shared" si="1"/>
        <v>0</v>
      </c>
      <c r="L28" s="84">
        <f t="shared" si="2"/>
        <v>59</v>
      </c>
      <c r="M28" s="82">
        <f>IFERROR(VLOOKUP(C28,'② Salary Input'!A$4:V$200,14,FALSE()),0)</f>
        <v>280000</v>
      </c>
      <c r="N28" s="86">
        <f t="shared" si="3"/>
        <v>0.63124999999999998</v>
      </c>
      <c r="O28" s="86">
        <f t="shared" si="4"/>
        <v>0.63124999999999998</v>
      </c>
      <c r="P28" s="84">
        <f t="shared" si="5"/>
        <v>1750</v>
      </c>
      <c r="Q28" s="60" t="str">
        <f t="shared" si="6"/>
        <v>UNDERUTILIZED</v>
      </c>
    </row>
    <row r="29" spans="1:17" ht="28" x14ac:dyDescent="0.2">
      <c r="A29" s="60">
        <v>13</v>
      </c>
      <c r="B29" s="61" t="str">
        <f>'① Timelog Input'!B18</f>
        <v>Ayushi</v>
      </c>
      <c r="C29" s="60" t="str">
        <f>'① Timelog Input'!C18</f>
        <v>CAS-IH_1051</v>
      </c>
      <c r="D29" s="60" t="str">
        <f>'① Timelog Input'!F18</f>
        <v>In-house</v>
      </c>
      <c r="E29" s="61" t="str">
        <f>'① Timelog Input'!H18</f>
        <v>Accounting, Business Tax</v>
      </c>
      <c r="F29" s="61" t="str">
        <f>'① Timelog Input'!G18</f>
        <v>Asst. Controller</v>
      </c>
      <c r="G29" s="61" t="str">
        <f>'① Timelog Input'!E18</f>
        <v>--</v>
      </c>
      <c r="H29" s="82">
        <f>Settings!B6</f>
        <v>160</v>
      </c>
      <c r="I29" s="84">
        <f>IF('① Timelog Input'!I18="",0,'① Timelog Input'!I18)</f>
        <v>0</v>
      </c>
      <c r="J29" s="84">
        <f>IF('① Timelog Input'!J18="",0,'① Timelog Input'!J18)</f>
        <v>0</v>
      </c>
      <c r="K29" s="84">
        <f t="shared" si="1"/>
        <v>0</v>
      </c>
      <c r="L29" s="84">
        <f t="shared" si="2"/>
        <v>160</v>
      </c>
      <c r="M29" s="82">
        <f>IFERROR(VLOOKUP(C29,'② Salary Input'!A$4:V$200,14,FALSE()),0)</f>
        <v>145000</v>
      </c>
      <c r="N29" s="86">
        <f t="shared" si="3"/>
        <v>0</v>
      </c>
      <c r="O29" s="86">
        <f t="shared" si="4"/>
        <v>0</v>
      </c>
      <c r="P29" s="84">
        <f t="shared" si="5"/>
        <v>906.25</v>
      </c>
      <c r="Q29" s="60" t="str">
        <f t="shared" si="6"/>
        <v>IDLE</v>
      </c>
    </row>
    <row r="30" spans="1:17" x14ac:dyDescent="0.2">
      <c r="A30" s="60">
        <v>14</v>
      </c>
      <c r="B30" s="61" t="str">
        <f>'① Timelog Input'!B19</f>
        <v>Shefali</v>
      </c>
      <c r="C30" s="60" t="str">
        <f>'① Timelog Input'!C19</f>
        <v>CAS-IH_1065</v>
      </c>
      <c r="D30" s="60" t="str">
        <f>'① Timelog Input'!F19</f>
        <v>In-house</v>
      </c>
      <c r="E30" s="61" t="str">
        <f>'① Timelog Input'!H19</f>
        <v>Accounting</v>
      </c>
      <c r="F30" s="61" t="str">
        <f>'① Timelog Input'!G19</f>
        <v>Team Lead</v>
      </c>
      <c r="G30" s="61" t="str">
        <f>'① Timelog Input'!E19</f>
        <v>Nikita Shah</v>
      </c>
      <c r="H30" s="82">
        <f>Settings!B6</f>
        <v>160</v>
      </c>
      <c r="I30" s="84">
        <f>IF('① Timelog Input'!I19="",0,'① Timelog Input'!I19)</f>
        <v>144.35</v>
      </c>
      <c r="J30" s="84">
        <f>IF('① Timelog Input'!J19="",0,'① Timelog Input'!J19)</f>
        <v>144.35</v>
      </c>
      <c r="K30" s="84">
        <f t="shared" si="1"/>
        <v>0</v>
      </c>
      <c r="L30" s="84">
        <f t="shared" si="2"/>
        <v>15.650000000000006</v>
      </c>
      <c r="M30" s="82">
        <f>IFERROR(VLOOKUP(C30,'② Salary Input'!A$4:V$200,14,FALSE()),0)</f>
        <v>135000</v>
      </c>
      <c r="N30" s="86">
        <f t="shared" si="3"/>
        <v>0.90218749999999992</v>
      </c>
      <c r="O30" s="86">
        <f t="shared" si="4"/>
        <v>0.90218749999999992</v>
      </c>
      <c r="P30" s="84">
        <f t="shared" si="5"/>
        <v>843.75</v>
      </c>
      <c r="Q30" s="60" t="str">
        <f t="shared" si="6"/>
        <v>OVERLOADED</v>
      </c>
    </row>
    <row r="31" spans="1:17" x14ac:dyDescent="0.2">
      <c r="A31" s="60">
        <v>15</v>
      </c>
      <c r="B31" s="61" t="str">
        <f>'① Timelog Input'!B20</f>
        <v>Rashi</v>
      </c>
      <c r="C31" s="60" t="str">
        <f>'① Timelog Input'!C20</f>
        <v>CAS-IH_1077</v>
      </c>
      <c r="D31" s="60" t="str">
        <f>'① Timelog Input'!F20</f>
        <v>In-house</v>
      </c>
      <c r="E31" s="61" t="str">
        <f>'① Timelog Input'!H20</f>
        <v>HR</v>
      </c>
      <c r="F31" s="61" t="str">
        <f>'① Timelog Input'!G20</f>
        <v>Asst. Manager</v>
      </c>
      <c r="G31" s="61" t="str">
        <f>'① Timelog Input'!E20</f>
        <v>Vinita Dagar</v>
      </c>
      <c r="H31" s="82">
        <f>Settings!B6</f>
        <v>160</v>
      </c>
      <c r="I31" s="84">
        <f>IF('① Timelog Input'!I20="",0,'① Timelog Input'!I20)</f>
        <v>0</v>
      </c>
      <c r="J31" s="84">
        <f>IF('① Timelog Input'!J20="",0,'① Timelog Input'!J20)</f>
        <v>0</v>
      </c>
      <c r="K31" s="84">
        <f t="shared" si="1"/>
        <v>0</v>
      </c>
      <c r="L31" s="84">
        <f t="shared" si="2"/>
        <v>160</v>
      </c>
      <c r="M31" s="82">
        <f>IFERROR(VLOOKUP(C31,'② Salary Input'!A$4:V$200,14,FALSE()),0)</f>
        <v>70000</v>
      </c>
      <c r="N31" s="86">
        <f t="shared" si="3"/>
        <v>0</v>
      </c>
      <c r="O31" s="86">
        <f t="shared" si="4"/>
        <v>0</v>
      </c>
      <c r="P31" s="84">
        <f t="shared" si="5"/>
        <v>437.5</v>
      </c>
      <c r="Q31" s="60" t="str">
        <f t="shared" si="6"/>
        <v>IDLE</v>
      </c>
    </row>
    <row r="32" spans="1:17" ht="28" x14ac:dyDescent="0.2">
      <c r="A32" s="60">
        <v>16</v>
      </c>
      <c r="B32" s="61" t="str">
        <f>'① Timelog Input'!B21</f>
        <v>Gaganjot</v>
      </c>
      <c r="C32" s="60" t="str">
        <f>'① Timelog Input'!C21</f>
        <v>CAS-IH_1159</v>
      </c>
      <c r="D32" s="60" t="str">
        <f>'① Timelog Input'!F21</f>
        <v>In-house</v>
      </c>
      <c r="E32" s="61" t="str">
        <f>'① Timelog Input'!H21</f>
        <v>Accounting, Business Tax</v>
      </c>
      <c r="F32" s="61" t="str">
        <f>'① Timelog Input'!G21</f>
        <v>Asst. Team Lead</v>
      </c>
      <c r="G32" s="61" t="str">
        <f>'① Timelog Input'!E21</f>
        <v>Nikita Shah</v>
      </c>
      <c r="H32" s="82">
        <f>Settings!B6</f>
        <v>160</v>
      </c>
      <c r="I32" s="84">
        <f>IF('① Timelog Input'!I21="",0,'① Timelog Input'!I21)</f>
        <v>0</v>
      </c>
      <c r="J32" s="84">
        <f>IF('① Timelog Input'!J21="",0,'① Timelog Input'!J21)</f>
        <v>0</v>
      </c>
      <c r="K32" s="84">
        <f t="shared" si="1"/>
        <v>0</v>
      </c>
      <c r="L32" s="84">
        <f t="shared" si="2"/>
        <v>160</v>
      </c>
      <c r="M32" s="82">
        <f>IFERROR(VLOOKUP(C32,'② Salary Input'!A$4:V$200,14,FALSE()),0)</f>
        <v>70000</v>
      </c>
      <c r="N32" s="86">
        <f t="shared" si="3"/>
        <v>0</v>
      </c>
      <c r="O32" s="86">
        <f t="shared" si="4"/>
        <v>0</v>
      </c>
      <c r="P32" s="84">
        <f t="shared" si="5"/>
        <v>437.5</v>
      </c>
      <c r="Q32" s="60" t="str">
        <f t="shared" si="6"/>
        <v>IDLE</v>
      </c>
    </row>
    <row r="33" spans="1:17" x14ac:dyDescent="0.2">
      <c r="A33" s="60">
        <v>17</v>
      </c>
      <c r="B33" s="61" t="str">
        <f>'① Timelog Input'!B22</f>
        <v>Robin</v>
      </c>
      <c r="C33" s="60" t="str">
        <f>'① Timelog Input'!C22</f>
        <v>CAS-IH_1005</v>
      </c>
      <c r="D33" s="60" t="str">
        <f>'① Timelog Input'!F22</f>
        <v>In-house</v>
      </c>
      <c r="E33" s="61" t="str">
        <f>'① Timelog Input'!H22</f>
        <v>Accounting</v>
      </c>
      <c r="F33" s="61" t="str">
        <f>'① Timelog Input'!G22</f>
        <v>Sr. Associate</v>
      </c>
      <c r="G33" s="61" t="str">
        <f>'① Timelog Input'!E22</f>
        <v>Jyoti</v>
      </c>
      <c r="H33" s="82">
        <f>Settings!B6</f>
        <v>160</v>
      </c>
      <c r="I33" s="84">
        <f>IF('① Timelog Input'!I22="",0,'① Timelog Input'!I22)</f>
        <v>165.25</v>
      </c>
      <c r="J33" s="84">
        <f>IF('① Timelog Input'!J22="",0,'① Timelog Input'!J22)</f>
        <v>162.25</v>
      </c>
      <c r="K33" s="84">
        <f t="shared" si="1"/>
        <v>3</v>
      </c>
      <c r="L33" s="84">
        <f t="shared" si="2"/>
        <v>-5.25</v>
      </c>
      <c r="M33" s="82">
        <f>IFERROR(VLOOKUP(C33,'② Salary Input'!A$4:V$200,14,FALSE()),0)</f>
        <v>70000</v>
      </c>
      <c r="N33" s="86">
        <f t="shared" si="3"/>
        <v>1.0328124999999999</v>
      </c>
      <c r="O33" s="86">
        <f t="shared" si="4"/>
        <v>1.0140625000000001</v>
      </c>
      <c r="P33" s="84">
        <f t="shared" si="5"/>
        <v>437.5</v>
      </c>
      <c r="Q33" s="60" t="str">
        <f t="shared" si="6"/>
        <v>OVERLOADED</v>
      </c>
    </row>
    <row r="34" spans="1:17" ht="28" hidden="1" x14ac:dyDescent="0.2">
      <c r="A34" s="60">
        <v>18</v>
      </c>
      <c r="B34" s="61" t="str">
        <f>'① Timelog Input'!B24</f>
        <v>Pinky</v>
      </c>
      <c r="C34" s="60" t="str">
        <f>'① Timelog Input'!C24</f>
        <v>CAS-RT_2045</v>
      </c>
      <c r="D34" s="60" t="str">
        <f>'① Timelog Input'!F24</f>
        <v>Remote</v>
      </c>
      <c r="E34" s="61" t="str">
        <f>'① Timelog Input'!H24</f>
        <v>Accounting</v>
      </c>
      <c r="F34" s="61" t="str">
        <f>'① Timelog Input'!G24</f>
        <v>Manager</v>
      </c>
      <c r="G34" s="61" t="str">
        <f>'① Timelog Input'!E24</f>
        <v>Nikita Shah</v>
      </c>
      <c r="H34" s="82">
        <f>Settings!B6</f>
        <v>160</v>
      </c>
      <c r="I34" s="84">
        <f>IF('① Timelog Input'!I24="",0,'① Timelog Input'!I24)</f>
        <v>64.27</v>
      </c>
      <c r="J34" s="84">
        <f>IF('① Timelog Input'!J24="",0,'① Timelog Input'!J24)</f>
        <v>64.27</v>
      </c>
      <c r="K34" s="84">
        <f t="shared" si="1"/>
        <v>0</v>
      </c>
      <c r="L34" s="84">
        <f t="shared" si="2"/>
        <v>95.73</v>
      </c>
      <c r="M34" s="82">
        <f>IFERROR(VLOOKUP(C34,'② Salary Input'!A$4:V$200,14,FALSE()),0)</f>
        <v>68640</v>
      </c>
      <c r="N34" s="86">
        <f t="shared" si="3"/>
        <v>0.40168749999999998</v>
      </c>
      <c r="O34" s="86">
        <f t="shared" si="4"/>
        <v>0.40168749999999998</v>
      </c>
      <c r="P34" s="84">
        <f t="shared" si="5"/>
        <v>429</v>
      </c>
      <c r="Q34" s="60" t="str">
        <f t="shared" si="6"/>
        <v>UNDERUTILIZED</v>
      </c>
    </row>
    <row r="35" spans="1:17" hidden="1" x14ac:dyDescent="0.2">
      <c r="A35" s="60">
        <v>19</v>
      </c>
      <c r="B35" s="61" t="str">
        <f>'① Timelog Input'!B26</f>
        <v>Urvashi</v>
      </c>
      <c r="C35" s="60" t="str">
        <f>'① Timelog Input'!C26</f>
        <v>CAS-RT_2063</v>
      </c>
      <c r="D35" s="60" t="str">
        <f>'① Timelog Input'!F26</f>
        <v>Remote</v>
      </c>
      <c r="E35" s="61" t="str">
        <f>'① Timelog Input'!H26</f>
        <v>Accounting</v>
      </c>
      <c r="F35" s="61" t="str">
        <f>'① Timelog Input'!G26</f>
        <v>Associate</v>
      </c>
      <c r="G35" s="61" t="str">
        <f>'① Timelog Input'!E26</f>
        <v>Nikita Shah</v>
      </c>
      <c r="H35" s="82">
        <f>Settings!B6</f>
        <v>160</v>
      </c>
      <c r="I35" s="84">
        <f>IF('① Timelog Input'!I26="",0,'① Timelog Input'!I26)</f>
        <v>104.09</v>
      </c>
      <c r="J35" s="84">
        <f>IF('① Timelog Input'!J26="",0,'① Timelog Input'!J26)</f>
        <v>104.09</v>
      </c>
      <c r="K35" s="84">
        <f t="shared" si="1"/>
        <v>0</v>
      </c>
      <c r="L35" s="84">
        <f t="shared" si="2"/>
        <v>55.91</v>
      </c>
      <c r="M35" s="82">
        <f>IFERROR(VLOOKUP(C35,'② Salary Input'!A$4:V$200,14,FALSE()),0)</f>
        <v>25375</v>
      </c>
      <c r="N35" s="86">
        <f t="shared" si="3"/>
        <v>0.65056250000000004</v>
      </c>
      <c r="O35" s="86">
        <f t="shared" si="4"/>
        <v>0.65056250000000004</v>
      </c>
      <c r="P35" s="84">
        <f t="shared" si="5"/>
        <v>158.59375</v>
      </c>
      <c r="Q35" s="60" t="str">
        <f t="shared" si="6"/>
        <v>OPTIMAL</v>
      </c>
    </row>
    <row r="36" spans="1:17" x14ac:dyDescent="0.2">
      <c r="A36" s="60">
        <v>20</v>
      </c>
      <c r="B36" s="61" t="str">
        <f>'① Timelog Input'!B27</f>
        <v>Melita</v>
      </c>
      <c r="C36" s="60" t="str">
        <f>'① Timelog Input'!C27</f>
        <v>CAS-IH_1046</v>
      </c>
      <c r="D36" s="60" t="str">
        <f>'① Timelog Input'!F27</f>
        <v>In-house</v>
      </c>
      <c r="E36" s="61" t="str">
        <f>'① Timelog Input'!H27</f>
        <v>Individual Tax</v>
      </c>
      <c r="F36" s="61" t="str">
        <f>'① Timelog Input'!G27</f>
        <v>Team Lead</v>
      </c>
      <c r="G36" s="61" t="str">
        <f>'① Timelog Input'!E27</f>
        <v>Smriti Shah</v>
      </c>
      <c r="H36" s="82">
        <f>Settings!B6</f>
        <v>160</v>
      </c>
      <c r="I36" s="84">
        <f>IF('① Timelog Input'!I27="",0,'① Timelog Input'!I27)</f>
        <v>178.09</v>
      </c>
      <c r="J36" s="84">
        <f>IF('① Timelog Input'!J27="",0,'① Timelog Input'!J27)</f>
        <v>178.09</v>
      </c>
      <c r="K36" s="84">
        <f t="shared" si="1"/>
        <v>0</v>
      </c>
      <c r="L36" s="84">
        <f t="shared" si="2"/>
        <v>-18.090000000000003</v>
      </c>
      <c r="M36" s="82">
        <f>IFERROR(VLOOKUP(C36,'② Salary Input'!A$4:V$200,14,FALSE()),0)</f>
        <v>135000</v>
      </c>
      <c r="N36" s="86">
        <f t="shared" si="3"/>
        <v>1.1130625000000001</v>
      </c>
      <c r="O36" s="86">
        <f t="shared" si="4"/>
        <v>1.1130625000000001</v>
      </c>
      <c r="P36" s="84">
        <f t="shared" si="5"/>
        <v>843.75</v>
      </c>
      <c r="Q36" s="60" t="str">
        <f t="shared" si="6"/>
        <v>OVERLOADED</v>
      </c>
    </row>
    <row r="37" spans="1:17" ht="28" hidden="1" x14ac:dyDescent="0.2">
      <c r="A37" s="60">
        <v>21</v>
      </c>
      <c r="B37" s="61" t="str">
        <f>'① Timelog Input'!B32</f>
        <v>Divya.M</v>
      </c>
      <c r="C37" s="60" t="str">
        <f>'① Timelog Input'!C32</f>
        <v>CAS-RT_2113</v>
      </c>
      <c r="D37" s="60" t="str">
        <f>'① Timelog Input'!F32</f>
        <v>Remote</v>
      </c>
      <c r="E37" s="61" t="str">
        <f>'① Timelog Input'!H32</f>
        <v>Accounting</v>
      </c>
      <c r="F37" s="61" t="str">
        <f>'① Timelog Input'!G32</f>
        <v>Manager</v>
      </c>
      <c r="G37" s="61" t="str">
        <f>'① Timelog Input'!E32</f>
        <v>Nikita Shah</v>
      </c>
      <c r="H37" s="82">
        <f>Settings!B6</f>
        <v>160</v>
      </c>
      <c r="I37" s="84">
        <f>IF('① Timelog Input'!I32="",0,'① Timelog Input'!I32)</f>
        <v>82.67</v>
      </c>
      <c r="J37" s="84">
        <f>IF('① Timelog Input'!J32="",0,'① Timelog Input'!J32)</f>
        <v>82.67</v>
      </c>
      <c r="K37" s="84">
        <f t="shared" si="1"/>
        <v>0</v>
      </c>
      <c r="L37" s="84">
        <f t="shared" si="2"/>
        <v>77.33</v>
      </c>
      <c r="M37" s="82">
        <f>IFERROR(VLOOKUP(C37,'② Salary Input'!A$4:V$200,14,FALSE()),0)</f>
        <v>34300</v>
      </c>
      <c r="N37" s="86">
        <f t="shared" si="3"/>
        <v>0.51668749999999997</v>
      </c>
      <c r="O37" s="86">
        <f t="shared" si="4"/>
        <v>0.51668749999999997</v>
      </c>
      <c r="P37" s="84">
        <f t="shared" si="5"/>
        <v>214.375</v>
      </c>
      <c r="Q37" s="60" t="str">
        <f t="shared" si="6"/>
        <v>UNDERUTILIZED</v>
      </c>
    </row>
    <row r="38" spans="1:17" x14ac:dyDescent="0.2">
      <c r="A38" s="60">
        <v>22</v>
      </c>
      <c r="B38" s="61" t="str">
        <f>'① Timelog Input'!B33</f>
        <v>Kritika</v>
      </c>
      <c r="C38" s="60" t="str">
        <f>'① Timelog Input'!C33</f>
        <v>CAS-IH_1102</v>
      </c>
      <c r="D38" s="60" t="str">
        <f>'① Timelog Input'!F33</f>
        <v>In-house</v>
      </c>
      <c r="E38" s="61" t="str">
        <f>'① Timelog Input'!H33</f>
        <v>FP&amp;A</v>
      </c>
      <c r="F38" s="61" t="str">
        <f>'① Timelog Input'!G33</f>
        <v>Manager</v>
      </c>
      <c r="G38" s="61" t="str">
        <f>'① Timelog Input'!E33</f>
        <v>Sachi Mazumdar</v>
      </c>
      <c r="H38" s="82">
        <f>Settings!B6</f>
        <v>160</v>
      </c>
      <c r="I38" s="84">
        <f>IF('① Timelog Input'!I33="",0,'① Timelog Input'!I33)</f>
        <v>163</v>
      </c>
      <c r="J38" s="84">
        <f>IF('① Timelog Input'!J33="",0,'① Timelog Input'!J33)</f>
        <v>139</v>
      </c>
      <c r="K38" s="84">
        <f t="shared" si="1"/>
        <v>24</v>
      </c>
      <c r="L38" s="84">
        <f t="shared" si="2"/>
        <v>-3</v>
      </c>
      <c r="M38" s="82">
        <f>IFERROR(VLOOKUP(C38,'② Salary Input'!A$4:V$200,14,FALSE()),0)</f>
        <v>158334</v>
      </c>
      <c r="N38" s="86">
        <f t="shared" si="3"/>
        <v>1.01875</v>
      </c>
      <c r="O38" s="86">
        <f t="shared" si="4"/>
        <v>0.86875000000000002</v>
      </c>
      <c r="P38" s="84">
        <f t="shared" si="5"/>
        <v>989.58749999999998</v>
      </c>
      <c r="Q38" s="60" t="str">
        <f t="shared" si="6"/>
        <v>OVERLOADED</v>
      </c>
    </row>
    <row r="39" spans="1:17" ht="28" x14ac:dyDescent="0.2">
      <c r="A39" s="60">
        <v>23</v>
      </c>
      <c r="B39" s="61" t="str">
        <f>'① Timelog Input'!B34</f>
        <v>Abhilash</v>
      </c>
      <c r="C39" s="60" t="str">
        <f>'① Timelog Input'!C34</f>
        <v>CAS-IH_1061</v>
      </c>
      <c r="D39" s="60" t="str">
        <f>'① Timelog Input'!F34</f>
        <v>In-house</v>
      </c>
      <c r="E39" s="61" t="str">
        <f>'① Timelog Input'!H34</f>
        <v>Individual Tax</v>
      </c>
      <c r="F39" s="61" t="str">
        <f>'① Timelog Input'!G34</f>
        <v>Sr. Associate</v>
      </c>
      <c r="G39" s="61" t="str">
        <f>'① Timelog Input'!E34</f>
        <v>Smriti Shah</v>
      </c>
      <c r="H39" s="82">
        <f>Settings!B6</f>
        <v>160</v>
      </c>
      <c r="I39" s="84">
        <f>IF('① Timelog Input'!I34="",0,'① Timelog Input'!I34)</f>
        <v>99.34</v>
      </c>
      <c r="J39" s="84">
        <f>IF('① Timelog Input'!J34="",0,'① Timelog Input'!J34)</f>
        <v>99.34</v>
      </c>
      <c r="K39" s="84">
        <f t="shared" si="1"/>
        <v>0</v>
      </c>
      <c r="L39" s="84">
        <f t="shared" si="2"/>
        <v>60.66</v>
      </c>
      <c r="M39" s="82">
        <f>IFERROR(VLOOKUP(C39,'② Salary Input'!A$4:V$200,14,FALSE()),0)</f>
        <v>100000</v>
      </c>
      <c r="N39" s="86">
        <f t="shared" si="3"/>
        <v>0.62087500000000007</v>
      </c>
      <c r="O39" s="86">
        <f t="shared" si="4"/>
        <v>0.62087500000000007</v>
      </c>
      <c r="P39" s="84">
        <f t="shared" si="5"/>
        <v>625</v>
      </c>
      <c r="Q39" s="60" t="str">
        <f t="shared" si="6"/>
        <v>UNDERUTILIZED</v>
      </c>
    </row>
    <row r="40" spans="1:17" x14ac:dyDescent="0.2">
      <c r="A40" s="60">
        <v>24</v>
      </c>
      <c r="B40" s="61" t="str">
        <f>'① Timelog Input'!B35</f>
        <v>Kavita</v>
      </c>
      <c r="C40" s="60" t="str">
        <f>'① Timelog Input'!C35</f>
        <v>CAS-IH_1108</v>
      </c>
      <c r="D40" s="60" t="str">
        <f>'① Timelog Input'!F35</f>
        <v>In-house</v>
      </c>
      <c r="E40" s="61" t="str">
        <f>'① Timelog Input'!H35</f>
        <v>FP&amp;A</v>
      </c>
      <c r="F40" s="61" t="str">
        <f>'① Timelog Input'!G35</f>
        <v>Manager</v>
      </c>
      <c r="G40" s="61" t="str">
        <f>'① Timelog Input'!E35</f>
        <v>Sachi Mazumdar</v>
      </c>
      <c r="H40" s="82">
        <f>Settings!B6</f>
        <v>160</v>
      </c>
      <c r="I40" s="84">
        <f>IF('① Timelog Input'!I35="",0,'① Timelog Input'!I35)</f>
        <v>132</v>
      </c>
      <c r="J40" s="84">
        <f>IF('① Timelog Input'!J35="",0,'① Timelog Input'!J35)</f>
        <v>132</v>
      </c>
      <c r="K40" s="84">
        <f t="shared" si="1"/>
        <v>0</v>
      </c>
      <c r="L40" s="84">
        <f t="shared" si="2"/>
        <v>28</v>
      </c>
      <c r="M40" s="82">
        <f>IFERROR(VLOOKUP(C40,'② Salary Input'!A$4:V$200,14,FALSE()),0)</f>
        <v>208333</v>
      </c>
      <c r="N40" s="86">
        <f t="shared" si="3"/>
        <v>0.82499999999999996</v>
      </c>
      <c r="O40" s="86">
        <f t="shared" si="4"/>
        <v>0.82499999999999996</v>
      </c>
      <c r="P40" s="84">
        <f t="shared" si="5"/>
        <v>1302.08125</v>
      </c>
      <c r="Q40" s="60" t="str">
        <f t="shared" si="6"/>
        <v>OPTIMAL</v>
      </c>
    </row>
    <row r="41" spans="1:17" x14ac:dyDescent="0.2">
      <c r="A41" s="60">
        <v>25</v>
      </c>
      <c r="B41" s="61" t="str">
        <f>'① Timelog Input'!B36</f>
        <v>Sakshi</v>
      </c>
      <c r="C41" s="60" t="str">
        <f>'① Timelog Input'!C36</f>
        <v>CAS-IH_1078</v>
      </c>
      <c r="D41" s="60" t="str">
        <f>'① Timelog Input'!F36</f>
        <v>In-house</v>
      </c>
      <c r="E41" s="61" t="str">
        <f>'① Timelog Input'!H36</f>
        <v>Accounting</v>
      </c>
      <c r="F41" s="61" t="str">
        <f>'① Timelog Input'!G36</f>
        <v>Associate</v>
      </c>
      <c r="G41" s="61" t="str">
        <f>'① Timelog Input'!E36</f>
        <v>Nikita Shah</v>
      </c>
      <c r="H41" s="82">
        <f>Settings!B6</f>
        <v>160</v>
      </c>
      <c r="I41" s="84">
        <f>IF('① Timelog Input'!I36="",0,'① Timelog Input'!I36)</f>
        <v>114.48</v>
      </c>
      <c r="J41" s="84">
        <f>IF('① Timelog Input'!J36="",0,'① Timelog Input'!J36)</f>
        <v>114.48</v>
      </c>
      <c r="K41" s="84">
        <f t="shared" si="1"/>
        <v>0</v>
      </c>
      <c r="L41" s="84">
        <f t="shared" si="2"/>
        <v>45.519999999999996</v>
      </c>
      <c r="M41" s="82">
        <f>IFERROR(VLOOKUP(C41,'② Salary Input'!A$4:V$200,14,FALSE()),0)</f>
        <v>55000</v>
      </c>
      <c r="N41" s="86">
        <f t="shared" si="3"/>
        <v>0.71550000000000002</v>
      </c>
      <c r="O41" s="86">
        <f t="shared" si="4"/>
        <v>0.71550000000000002</v>
      </c>
      <c r="P41" s="84">
        <f t="shared" si="5"/>
        <v>343.75</v>
      </c>
      <c r="Q41" s="60" t="str">
        <f t="shared" si="6"/>
        <v>OPTIMAL</v>
      </c>
    </row>
    <row r="42" spans="1:17" x14ac:dyDescent="0.2">
      <c r="A42" s="60">
        <v>26</v>
      </c>
      <c r="B42" s="61" t="str">
        <f>'① Timelog Input'!B37</f>
        <v>Suhani</v>
      </c>
      <c r="C42" s="60" t="str">
        <f>'① Timelog Input'!C37</f>
        <v>CAS-RR_2370</v>
      </c>
      <c r="D42" s="60" t="str">
        <f>'① Timelog Input'!F37</f>
        <v>Retainer</v>
      </c>
      <c r="E42" s="61" t="str">
        <f>'① Timelog Input'!H37</f>
        <v>Accounting</v>
      </c>
      <c r="F42" s="61" t="str">
        <f>'① Timelog Input'!G37</f>
        <v>Team Lead</v>
      </c>
      <c r="G42" s="61" t="str">
        <f>'① Timelog Input'!E37</f>
        <v>Ayushi</v>
      </c>
      <c r="H42" s="82">
        <f>Settings!B6</f>
        <v>160</v>
      </c>
      <c r="I42" s="84">
        <f>IF('① Timelog Input'!I37="",0,'① Timelog Input'!I37)</f>
        <v>136.75</v>
      </c>
      <c r="J42" s="84">
        <f>IF('① Timelog Input'!J37="",0,'① Timelog Input'!J37)</f>
        <v>136.75</v>
      </c>
      <c r="K42" s="84">
        <f t="shared" si="1"/>
        <v>0</v>
      </c>
      <c r="L42" s="84">
        <f t="shared" si="2"/>
        <v>23.25</v>
      </c>
      <c r="M42" s="82">
        <f>IFERROR(VLOOKUP(C42,'② Salary Input'!A$4:V$200,14,FALSE()),0)</f>
        <v>90000</v>
      </c>
      <c r="N42" s="86">
        <f t="shared" si="3"/>
        <v>0.85468750000000004</v>
      </c>
      <c r="O42" s="86">
        <f t="shared" si="4"/>
        <v>0.85468750000000004</v>
      </c>
      <c r="P42" s="84">
        <f t="shared" si="5"/>
        <v>562.5</v>
      </c>
      <c r="Q42" s="60" t="str">
        <f t="shared" si="6"/>
        <v>OVERLOADED</v>
      </c>
    </row>
    <row r="43" spans="1:17" x14ac:dyDescent="0.2">
      <c r="A43" s="60">
        <v>27</v>
      </c>
      <c r="B43" s="61" t="str">
        <f>'① Timelog Input'!B38</f>
        <v>Shradha</v>
      </c>
      <c r="C43" s="60" t="str">
        <f>'① Timelog Input'!C38</f>
        <v>CAS-IH_1082</v>
      </c>
      <c r="D43" s="60" t="str">
        <f>'① Timelog Input'!F38</f>
        <v>In-house</v>
      </c>
      <c r="E43" s="61" t="str">
        <f>'① Timelog Input'!H38</f>
        <v>Accounting</v>
      </c>
      <c r="F43" s="61" t="str">
        <f>'① Timelog Input'!G38</f>
        <v>Sr. Associate</v>
      </c>
      <c r="G43" s="61" t="str">
        <f>'① Timelog Input'!E38</f>
        <v>Jyoti</v>
      </c>
      <c r="H43" s="82">
        <f>Settings!B6</f>
        <v>160</v>
      </c>
      <c r="I43" s="84">
        <f>IF('① Timelog Input'!I38="",0,'① Timelog Input'!I38)</f>
        <v>158.66999999999999</v>
      </c>
      <c r="J43" s="84">
        <f>IF('① Timelog Input'!J38="",0,'① Timelog Input'!J38)</f>
        <v>154.16999999999999</v>
      </c>
      <c r="K43" s="84">
        <f t="shared" si="1"/>
        <v>4.5</v>
      </c>
      <c r="L43" s="84">
        <f t="shared" si="2"/>
        <v>1.3300000000000125</v>
      </c>
      <c r="M43" s="82">
        <f>IFERROR(VLOOKUP(C43,'② Salary Input'!A$4:V$200,14,FALSE()),0)</f>
        <v>51000</v>
      </c>
      <c r="N43" s="86">
        <f t="shared" si="3"/>
        <v>0.99168749999999994</v>
      </c>
      <c r="O43" s="86">
        <f t="shared" si="4"/>
        <v>0.96356249999999988</v>
      </c>
      <c r="P43" s="84">
        <f t="shared" si="5"/>
        <v>318.75</v>
      </c>
      <c r="Q43" s="60" t="str">
        <f t="shared" si="6"/>
        <v>OVERLOADED</v>
      </c>
    </row>
    <row r="44" spans="1:17" ht="28" x14ac:dyDescent="0.2">
      <c r="A44" s="60">
        <v>28</v>
      </c>
      <c r="B44" s="61" t="str">
        <f>'① Timelog Input'!B39</f>
        <v>Ridhi.G</v>
      </c>
      <c r="C44" s="60" t="str">
        <f>'① Timelog Input'!C39</f>
        <v>CAS-IH_1146</v>
      </c>
      <c r="D44" s="60" t="str">
        <f>'① Timelog Input'!F39</f>
        <v>In-house</v>
      </c>
      <c r="E44" s="61" t="str">
        <f>'① Timelog Input'!H39</f>
        <v>Accounting, Business Tax</v>
      </c>
      <c r="F44" s="61" t="str">
        <f>'① Timelog Input'!G39</f>
        <v>Asst. Team Lead</v>
      </c>
      <c r="G44" s="61" t="str">
        <f>'① Timelog Input'!E39</f>
        <v>Nikita Shah</v>
      </c>
      <c r="H44" s="82">
        <f>Settings!B6</f>
        <v>160</v>
      </c>
      <c r="I44" s="84">
        <f>IF('① Timelog Input'!I39="",0,'① Timelog Input'!I39)</f>
        <v>115.74</v>
      </c>
      <c r="J44" s="84">
        <f>IF('① Timelog Input'!J39="",0,'① Timelog Input'!J39)</f>
        <v>115.74</v>
      </c>
      <c r="K44" s="84">
        <f t="shared" si="1"/>
        <v>0</v>
      </c>
      <c r="L44" s="84">
        <f t="shared" si="2"/>
        <v>44.260000000000005</v>
      </c>
      <c r="M44" s="82">
        <f>IFERROR(VLOOKUP(C44,'② Salary Input'!A$4:V$200,14,FALSE()),0)</f>
        <v>63000</v>
      </c>
      <c r="N44" s="86">
        <f t="shared" si="3"/>
        <v>0.72337499999999999</v>
      </c>
      <c r="O44" s="86">
        <f t="shared" si="4"/>
        <v>0.72337499999999999</v>
      </c>
      <c r="P44" s="84">
        <f t="shared" si="5"/>
        <v>393.75</v>
      </c>
      <c r="Q44" s="60" t="str">
        <f t="shared" si="6"/>
        <v>OPTIMAL</v>
      </c>
    </row>
    <row r="45" spans="1:17" x14ac:dyDescent="0.2">
      <c r="A45" s="60">
        <v>29</v>
      </c>
      <c r="B45" s="61" t="str">
        <f>'① Timelog Input'!B40</f>
        <v>Bhairavi.M</v>
      </c>
      <c r="C45" s="60" t="str">
        <f>'① Timelog Input'!C40</f>
        <v>CAS-IH_1160</v>
      </c>
      <c r="D45" s="60" t="str">
        <f>'① Timelog Input'!F40</f>
        <v>In-house</v>
      </c>
      <c r="E45" s="61" t="str">
        <f>'① Timelog Input'!H40</f>
        <v>Accounting</v>
      </c>
      <c r="F45" s="61" t="str">
        <f>'① Timelog Input'!G40</f>
        <v>Associate</v>
      </c>
      <c r="G45" s="61" t="str">
        <f>'① Timelog Input'!E40</f>
        <v>Ayushi</v>
      </c>
      <c r="H45" s="82">
        <f>Settings!B6</f>
        <v>160</v>
      </c>
      <c r="I45" s="84">
        <f>IF('① Timelog Input'!I40="",0,'① Timelog Input'!I40)</f>
        <v>165</v>
      </c>
      <c r="J45" s="84">
        <f>IF('① Timelog Input'!J40="",0,'① Timelog Input'!J40)</f>
        <v>149</v>
      </c>
      <c r="K45" s="84">
        <f t="shared" si="1"/>
        <v>16</v>
      </c>
      <c r="L45" s="84">
        <f t="shared" si="2"/>
        <v>-5</v>
      </c>
      <c r="M45" s="82">
        <f>IFERROR(VLOOKUP(C45,'② Salary Input'!A$4:V$200,14,FALSE()),0)</f>
        <v>40000</v>
      </c>
      <c r="N45" s="86">
        <f t="shared" si="3"/>
        <v>1.03125</v>
      </c>
      <c r="O45" s="86">
        <f t="shared" si="4"/>
        <v>0.93125000000000002</v>
      </c>
      <c r="P45" s="84">
        <f t="shared" si="5"/>
        <v>250</v>
      </c>
      <c r="Q45" s="60" t="str">
        <f t="shared" si="6"/>
        <v>OVERLOADED</v>
      </c>
    </row>
    <row r="46" spans="1:17" ht="28" x14ac:dyDescent="0.2">
      <c r="A46" s="60">
        <v>30</v>
      </c>
      <c r="B46" s="61" t="str">
        <f>'① Timelog Input'!B41</f>
        <v>Ujjwal.J</v>
      </c>
      <c r="C46" s="60" t="str">
        <f>'① Timelog Input'!C41</f>
        <v>CAS-IH_1150</v>
      </c>
      <c r="D46" s="60" t="str">
        <f>'① Timelog Input'!F41</f>
        <v>In-house</v>
      </c>
      <c r="E46" s="61" t="str">
        <f>'① Timelog Input'!H41</f>
        <v>Accounting, Business Tax</v>
      </c>
      <c r="F46" s="61" t="str">
        <f>'① Timelog Input'!G41</f>
        <v>Associate</v>
      </c>
      <c r="G46" s="61" t="str">
        <f>'① Timelog Input'!E41</f>
        <v>Nikita Shah</v>
      </c>
      <c r="H46" s="82">
        <f>Settings!B6</f>
        <v>160</v>
      </c>
      <c r="I46" s="84">
        <f>IF('① Timelog Input'!I41="",0,'① Timelog Input'!I41)</f>
        <v>127.16</v>
      </c>
      <c r="J46" s="84">
        <f>IF('① Timelog Input'!J41="",0,'① Timelog Input'!J41)</f>
        <v>125.91</v>
      </c>
      <c r="K46" s="84">
        <f t="shared" si="1"/>
        <v>1.25</v>
      </c>
      <c r="L46" s="84">
        <f t="shared" si="2"/>
        <v>32.840000000000003</v>
      </c>
      <c r="M46" s="82">
        <f>IFERROR(VLOOKUP(C46,'② Salary Input'!A$4:V$200,14,FALSE()),0)</f>
        <v>50000</v>
      </c>
      <c r="N46" s="86">
        <f t="shared" si="3"/>
        <v>0.79474999999999996</v>
      </c>
      <c r="O46" s="86">
        <f t="shared" si="4"/>
        <v>0.78693749999999996</v>
      </c>
      <c r="P46" s="84">
        <f t="shared" si="5"/>
        <v>312.5</v>
      </c>
      <c r="Q46" s="60" t="str">
        <f t="shared" si="6"/>
        <v>OPTIMAL</v>
      </c>
    </row>
    <row r="47" spans="1:17" x14ac:dyDescent="0.2">
      <c r="A47" s="60">
        <v>31</v>
      </c>
      <c r="B47" s="61" t="str">
        <f>'① Timelog Input'!B42</f>
        <v>Sukhmeen.K</v>
      </c>
      <c r="C47" s="60" t="str">
        <f>'① Timelog Input'!C42</f>
        <v>CAS-RR_2253</v>
      </c>
      <c r="D47" s="60" t="str">
        <f>'① Timelog Input'!F42</f>
        <v>Retainer</v>
      </c>
      <c r="E47" s="61" t="str">
        <f>'① Timelog Input'!H42</f>
        <v>Accounting</v>
      </c>
      <c r="F47" s="61" t="str">
        <f>'① Timelog Input'!G42</f>
        <v>Manager</v>
      </c>
      <c r="G47" s="61" t="str">
        <f>'① Timelog Input'!E42</f>
        <v>Ayushi</v>
      </c>
      <c r="H47" s="82">
        <f>Settings!B6</f>
        <v>160</v>
      </c>
      <c r="I47" s="84">
        <f>IF('① Timelog Input'!I42="",0,'① Timelog Input'!I42)</f>
        <v>168.92</v>
      </c>
      <c r="J47" s="84">
        <f>IF('① Timelog Input'!J42="",0,'① Timelog Input'!J42)</f>
        <v>168.92</v>
      </c>
      <c r="K47" s="84">
        <f t="shared" si="1"/>
        <v>0</v>
      </c>
      <c r="L47" s="84">
        <f t="shared" si="2"/>
        <v>-8.9199999999999875</v>
      </c>
      <c r="M47" s="82">
        <f>IFERROR(VLOOKUP(C47,'② Salary Input'!A$4:V$200,14,FALSE()),0)</f>
        <v>102000</v>
      </c>
      <c r="N47" s="86">
        <f t="shared" si="3"/>
        <v>1.05575</v>
      </c>
      <c r="O47" s="86">
        <f t="shared" si="4"/>
        <v>1.05575</v>
      </c>
      <c r="P47" s="84">
        <f t="shared" si="5"/>
        <v>637.5</v>
      </c>
      <c r="Q47" s="60" t="str">
        <f t="shared" si="6"/>
        <v>OVERLOADED</v>
      </c>
    </row>
    <row r="48" spans="1:17" x14ac:dyDescent="0.2">
      <c r="A48" s="60">
        <v>32</v>
      </c>
      <c r="B48" s="61" t="str">
        <f>'① Timelog Input'!B43</f>
        <v>Tanisha.J</v>
      </c>
      <c r="C48" s="60" t="str">
        <f>'① Timelog Input'!C43</f>
        <v>CAS-IH_1111</v>
      </c>
      <c r="D48" s="60" t="str">
        <f>'① Timelog Input'!F43</f>
        <v>In-house</v>
      </c>
      <c r="E48" s="61" t="str">
        <f>'① Timelog Input'!H43</f>
        <v>HR</v>
      </c>
      <c r="F48" s="61" t="str">
        <f>'① Timelog Input'!G43</f>
        <v>Associate</v>
      </c>
      <c r="G48" s="61" t="str">
        <f>'① Timelog Input'!E43</f>
        <v>Vinita Dagar</v>
      </c>
      <c r="H48" s="82">
        <f>Settings!B6</f>
        <v>160</v>
      </c>
      <c r="I48" s="84">
        <f>IF('① Timelog Input'!I43="",0,'① Timelog Input'!I43)</f>
        <v>109</v>
      </c>
      <c r="J48" s="84">
        <f>IF('① Timelog Input'!J43="",0,'① Timelog Input'!J43)</f>
        <v>109</v>
      </c>
      <c r="K48" s="84">
        <f t="shared" si="1"/>
        <v>0</v>
      </c>
      <c r="L48" s="84">
        <f t="shared" si="2"/>
        <v>51</v>
      </c>
      <c r="M48" s="82">
        <f>IFERROR(VLOOKUP(C48,'② Salary Input'!A$4:V$200,14,FALSE()),0)</f>
        <v>43000</v>
      </c>
      <c r="N48" s="86">
        <f t="shared" si="3"/>
        <v>0.68125000000000002</v>
      </c>
      <c r="O48" s="86">
        <f t="shared" si="4"/>
        <v>0.68125000000000002</v>
      </c>
      <c r="P48" s="84">
        <f t="shared" si="5"/>
        <v>268.75</v>
      </c>
      <c r="Q48" s="60" t="str">
        <f t="shared" si="6"/>
        <v>OPTIMAL</v>
      </c>
    </row>
    <row r="49" spans="1:17" x14ac:dyDescent="0.2">
      <c r="A49" s="60">
        <v>33</v>
      </c>
      <c r="B49" s="61" t="str">
        <f>'① Timelog Input'!B44</f>
        <v>Disha.M</v>
      </c>
      <c r="C49" s="60" t="str">
        <f>'① Timelog Input'!C44</f>
        <v>CAS-IH_1113</v>
      </c>
      <c r="D49" s="60" t="str">
        <f>'① Timelog Input'!F44</f>
        <v>In-house</v>
      </c>
      <c r="E49" s="61" t="str">
        <f>'① Timelog Input'!H44</f>
        <v>HR</v>
      </c>
      <c r="F49" s="61" t="str">
        <f>'① Timelog Input'!G44</f>
        <v>Associate</v>
      </c>
      <c r="G49" s="61" t="str">
        <f>'① Timelog Input'!E44</f>
        <v>Vinita Dagar</v>
      </c>
      <c r="H49" s="82">
        <f>Settings!B6</f>
        <v>160</v>
      </c>
      <c r="I49" s="84">
        <f>IF('① Timelog Input'!I44="",0,'① Timelog Input'!I44)</f>
        <v>51</v>
      </c>
      <c r="J49" s="84">
        <f>IF('① Timelog Input'!J44="",0,'① Timelog Input'!J44)</f>
        <v>51</v>
      </c>
      <c r="K49" s="84">
        <f t="shared" ref="K49:K75" si="7">I49-J49</f>
        <v>0</v>
      </c>
      <c r="L49" s="84">
        <f t="shared" ref="L49:L75" si="8">H49-I49</f>
        <v>109</v>
      </c>
      <c r="M49" s="82">
        <f>IFERROR(VLOOKUP(C49,'② Salary Input'!A$4:V$200,14,FALSE()),0)</f>
        <v>50000</v>
      </c>
      <c r="N49" s="86">
        <f t="shared" ref="N49:N76" si="9">IF(H49=0,0,I49/H49)</f>
        <v>0.31874999999999998</v>
      </c>
      <c r="O49" s="86">
        <f t="shared" ref="O49:O76" si="10">IF(H49=0,0,J49/H49)</f>
        <v>0.31874999999999998</v>
      </c>
      <c r="P49" s="84">
        <f t="shared" ref="P49:P76" si="11">IF(H49=0,0,M49/H49)</f>
        <v>312.5</v>
      </c>
      <c r="Q49" s="60" t="str">
        <f t="shared" ref="Q49:Q75" si="12">IF(N49&gt;=0.85,"OVERLOADED",IF(N49&gt;=0.65,"OPTIMAL",IF(N49&gt;=0.4,"UNDERUTILIZED",IF(N49&gt;0,"LOW ACTIVITY","IDLE"))))</f>
        <v>LOW ACTIVITY</v>
      </c>
    </row>
    <row r="50" spans="1:17" hidden="1" x14ac:dyDescent="0.2">
      <c r="A50" s="60">
        <v>34</v>
      </c>
      <c r="B50" s="61" t="str">
        <f>'① Timelog Input'!B47</f>
        <v>Farheen.K</v>
      </c>
      <c r="C50" s="60" t="str">
        <f>'① Timelog Input'!C47</f>
        <v>CAS-RT_2296</v>
      </c>
      <c r="D50" s="60" t="str">
        <f>'① Timelog Input'!F47</f>
        <v>Remote</v>
      </c>
      <c r="E50" s="61" t="str">
        <f>'① Timelog Input'!H47</f>
        <v>Accounting</v>
      </c>
      <c r="F50" s="61" t="str">
        <f>'① Timelog Input'!G47</f>
        <v>Asst. Team Lead</v>
      </c>
      <c r="G50" s="61" t="str">
        <f>'① Timelog Input'!E47</f>
        <v>Sukhmeen.K</v>
      </c>
      <c r="H50" s="82">
        <f>Settings!B6</f>
        <v>160</v>
      </c>
      <c r="I50" s="84">
        <f>IF('① Timelog Input'!I47="",0,'① Timelog Input'!I47)</f>
        <v>166.37</v>
      </c>
      <c r="J50" s="84">
        <f>IF('① Timelog Input'!J47="",0,'① Timelog Input'!J47)</f>
        <v>142.02000000000001</v>
      </c>
      <c r="K50" s="84">
        <f t="shared" si="7"/>
        <v>24.349999999999994</v>
      </c>
      <c r="L50" s="84">
        <f t="shared" si="8"/>
        <v>-6.3700000000000045</v>
      </c>
      <c r="M50" s="82">
        <f>IFERROR(VLOOKUP(C50,'② Salary Input'!A$4:V$200,14,FALSE()),0)</f>
        <v>47805</v>
      </c>
      <c r="N50" s="86">
        <f t="shared" si="9"/>
        <v>1.0398125</v>
      </c>
      <c r="O50" s="86">
        <f t="shared" si="10"/>
        <v>0.88762500000000011</v>
      </c>
      <c r="P50" s="84">
        <f t="shared" si="11"/>
        <v>298.78125</v>
      </c>
      <c r="Q50" s="60" t="str">
        <f t="shared" si="12"/>
        <v>OVERLOADED</v>
      </c>
    </row>
    <row r="51" spans="1:17" x14ac:dyDescent="0.2">
      <c r="A51" s="60">
        <v>35</v>
      </c>
      <c r="B51" s="61" t="str">
        <f>'① Timelog Input'!B48</f>
        <v>Vaibhav.A</v>
      </c>
      <c r="C51" s="60" t="str">
        <f>'① Timelog Input'!C48</f>
        <v>CAS-IH_1120</v>
      </c>
      <c r="D51" s="60" t="str">
        <f>'① Timelog Input'!F48</f>
        <v>In-house</v>
      </c>
      <c r="E51" s="61" t="str">
        <f>'① Timelog Input'!H48</f>
        <v>FP&amp;A</v>
      </c>
      <c r="F51" s="61" t="str">
        <f>'① Timelog Input'!G48</f>
        <v>Manager</v>
      </c>
      <c r="G51" s="61" t="str">
        <f>'① Timelog Input'!E48</f>
        <v>Sachi Mazumdar</v>
      </c>
      <c r="H51" s="82">
        <f>Settings!B6</f>
        <v>160</v>
      </c>
      <c r="I51" s="84">
        <f>IF('① Timelog Input'!I48="",0,'① Timelog Input'!I48)</f>
        <v>200</v>
      </c>
      <c r="J51" s="84">
        <f>IF('① Timelog Input'!J48="",0,'① Timelog Input'!J48)</f>
        <v>180</v>
      </c>
      <c r="K51" s="84">
        <f t="shared" si="7"/>
        <v>20</v>
      </c>
      <c r="L51" s="84">
        <f t="shared" si="8"/>
        <v>-40</v>
      </c>
      <c r="M51" s="82">
        <f>IFERROR(VLOOKUP(C51,'② Salary Input'!A$4:V$200,14,FALSE()),0)</f>
        <v>175000</v>
      </c>
      <c r="N51" s="86">
        <f t="shared" si="9"/>
        <v>1.25</v>
      </c>
      <c r="O51" s="86">
        <f t="shared" si="10"/>
        <v>1.125</v>
      </c>
      <c r="P51" s="84">
        <f t="shared" si="11"/>
        <v>1093.75</v>
      </c>
      <c r="Q51" s="60" t="str">
        <f t="shared" si="12"/>
        <v>OVERLOADED</v>
      </c>
    </row>
    <row r="52" spans="1:17" x14ac:dyDescent="0.2">
      <c r="A52" s="60">
        <v>36</v>
      </c>
      <c r="B52" s="61" t="str">
        <f>'① Timelog Input'!B49</f>
        <v>Shikha.A</v>
      </c>
      <c r="C52" s="60" t="str">
        <f>'① Timelog Input'!C49</f>
        <v>CAS-IH_1123</v>
      </c>
      <c r="D52" s="60" t="str">
        <f>'① Timelog Input'!F49</f>
        <v>In-house</v>
      </c>
      <c r="E52" s="61" t="str">
        <f>'① Timelog Input'!H49</f>
        <v>Individual Tax</v>
      </c>
      <c r="F52" s="61" t="str">
        <f>'① Timelog Input'!G49</f>
        <v>Asst. Team Lead</v>
      </c>
      <c r="G52" s="61" t="str">
        <f>'① Timelog Input'!E49</f>
        <v>Smriti Shah</v>
      </c>
      <c r="H52" s="82">
        <f>Settings!B6</f>
        <v>160</v>
      </c>
      <c r="I52" s="84">
        <f>IF('① Timelog Input'!I49="",0,'① Timelog Input'!I49)</f>
        <v>160.5</v>
      </c>
      <c r="J52" s="84">
        <f>IF('① Timelog Input'!J49="",0,'① Timelog Input'!J49)</f>
        <v>160.5</v>
      </c>
      <c r="K52" s="84">
        <f t="shared" si="7"/>
        <v>0</v>
      </c>
      <c r="L52" s="84">
        <f t="shared" si="8"/>
        <v>-0.5</v>
      </c>
      <c r="M52" s="82">
        <f>IFERROR(VLOOKUP(C52,'② Salary Input'!A$4:V$200,14,FALSE()),0)</f>
        <v>155334</v>
      </c>
      <c r="N52" s="86">
        <f t="shared" si="9"/>
        <v>1.003125</v>
      </c>
      <c r="O52" s="86">
        <f t="shared" si="10"/>
        <v>1.003125</v>
      </c>
      <c r="P52" s="84">
        <f t="shared" si="11"/>
        <v>970.83749999999998</v>
      </c>
      <c r="Q52" s="60" t="str">
        <f t="shared" si="12"/>
        <v>OVERLOADED</v>
      </c>
    </row>
    <row r="53" spans="1:17" x14ac:dyDescent="0.2">
      <c r="A53" s="60">
        <v>37</v>
      </c>
      <c r="B53" s="61" t="str">
        <f>'① Timelog Input'!B50</f>
        <v>Rupesh.A</v>
      </c>
      <c r="C53" s="60" t="str">
        <f>'① Timelog Input'!C50</f>
        <v>CAS-IH_1124</v>
      </c>
      <c r="D53" s="60" t="str">
        <f>'① Timelog Input'!F50</f>
        <v>In-house</v>
      </c>
      <c r="E53" s="61" t="str">
        <f>'① Timelog Input'!H50</f>
        <v>FP&amp;A</v>
      </c>
      <c r="F53" s="61" t="str">
        <f>'① Timelog Input'!G50</f>
        <v>Sr. Manager</v>
      </c>
      <c r="G53" s="61" t="str">
        <f>'① Timelog Input'!E50</f>
        <v>Sachi Mazumdar</v>
      </c>
      <c r="H53" s="82">
        <f>Settings!B6</f>
        <v>160</v>
      </c>
      <c r="I53" s="84">
        <f>IF('① Timelog Input'!I50="",0,'① Timelog Input'!I50)</f>
        <v>0</v>
      </c>
      <c r="J53" s="84">
        <f>IF('① Timelog Input'!J50="",0,'① Timelog Input'!J50)</f>
        <v>0</v>
      </c>
      <c r="K53" s="84">
        <f t="shared" si="7"/>
        <v>0</v>
      </c>
      <c r="L53" s="84">
        <f t="shared" si="8"/>
        <v>160</v>
      </c>
      <c r="M53" s="82">
        <f>IFERROR(VLOOKUP(C53,'② Salary Input'!A$4:V$200,14,FALSE()),0)</f>
        <v>233334</v>
      </c>
      <c r="N53" s="86">
        <f t="shared" si="9"/>
        <v>0</v>
      </c>
      <c r="O53" s="86">
        <f t="shared" si="10"/>
        <v>0</v>
      </c>
      <c r="P53" s="84">
        <f t="shared" si="11"/>
        <v>1458.3375000000001</v>
      </c>
      <c r="Q53" s="60" t="str">
        <f t="shared" si="12"/>
        <v>IDLE</v>
      </c>
    </row>
    <row r="54" spans="1:17" x14ac:dyDescent="0.2">
      <c r="A54" s="60">
        <v>38</v>
      </c>
      <c r="B54" s="61" t="str">
        <f>'① Timelog Input'!B51</f>
        <v>Deepika.B</v>
      </c>
      <c r="C54" s="60" t="str">
        <f>'① Timelog Input'!C51</f>
        <v>CAS-IH_1126</v>
      </c>
      <c r="D54" s="60" t="str">
        <f>'① Timelog Input'!F51</f>
        <v>In-house</v>
      </c>
      <c r="E54" s="61" t="str">
        <f>'① Timelog Input'!H51</f>
        <v>Individual Tax</v>
      </c>
      <c r="F54" s="61" t="str">
        <f>'① Timelog Input'!G51</f>
        <v>Associate</v>
      </c>
      <c r="G54" s="61" t="str">
        <f>'① Timelog Input'!E51</f>
        <v>Smriti Shah</v>
      </c>
      <c r="H54" s="82">
        <f>Settings!B6</f>
        <v>160</v>
      </c>
      <c r="I54" s="84">
        <f>IF('① Timelog Input'!I51="",0,'① Timelog Input'!I51)</f>
        <v>153.6</v>
      </c>
      <c r="J54" s="84">
        <f>IF('① Timelog Input'!J51="",0,'① Timelog Input'!J51)</f>
        <v>153.6</v>
      </c>
      <c r="K54" s="84">
        <f t="shared" si="7"/>
        <v>0</v>
      </c>
      <c r="L54" s="84">
        <f t="shared" si="8"/>
        <v>6.4000000000000057</v>
      </c>
      <c r="M54" s="82">
        <f>IFERROR(VLOOKUP(C54,'② Salary Input'!A$4:V$200,14,FALSE()),0)</f>
        <v>36000</v>
      </c>
      <c r="N54" s="86">
        <f t="shared" si="9"/>
        <v>0.96</v>
      </c>
      <c r="O54" s="86">
        <f t="shared" si="10"/>
        <v>0.96</v>
      </c>
      <c r="P54" s="84">
        <f t="shared" si="11"/>
        <v>225</v>
      </c>
      <c r="Q54" s="60" t="str">
        <f t="shared" si="12"/>
        <v>OVERLOADED</v>
      </c>
    </row>
    <row r="55" spans="1:17" hidden="1" x14ac:dyDescent="0.2">
      <c r="A55" s="60">
        <v>39</v>
      </c>
      <c r="B55" s="61" t="str">
        <f>'① Timelog Input'!B57</f>
        <v>Kanica.P</v>
      </c>
      <c r="C55" s="60" t="str">
        <f>'① Timelog Input'!C57</f>
        <v>CAS-RT_2340</v>
      </c>
      <c r="D55" s="60" t="str">
        <f>'① Timelog Input'!F57</f>
        <v>Remote</v>
      </c>
      <c r="E55" s="61" t="str">
        <f>'① Timelog Input'!H57</f>
        <v>Accounting</v>
      </c>
      <c r="F55" s="61" t="str">
        <f>'① Timelog Input'!G57</f>
        <v>Sr. Associate</v>
      </c>
      <c r="G55" s="61" t="str">
        <f>'① Timelog Input'!E57</f>
        <v>Nikita Shah</v>
      </c>
      <c r="H55" s="82">
        <f>Settings!B6</f>
        <v>160</v>
      </c>
      <c r="I55" s="84">
        <f>IF('① Timelog Input'!I57="",0,'① Timelog Input'!I57)</f>
        <v>160</v>
      </c>
      <c r="J55" s="84">
        <f>IF('① Timelog Input'!J57="",0,'① Timelog Input'!J57)</f>
        <v>160</v>
      </c>
      <c r="K55" s="84">
        <f t="shared" si="7"/>
        <v>0</v>
      </c>
      <c r="L55" s="84">
        <f t="shared" si="8"/>
        <v>0</v>
      </c>
      <c r="M55" s="82">
        <f>IFERROR(VLOOKUP(C55,'② Salary Input'!A$4:V$200,14,FALSE()),0)</f>
        <v>36600</v>
      </c>
      <c r="N55" s="86">
        <f t="shared" si="9"/>
        <v>1</v>
      </c>
      <c r="O55" s="86">
        <f t="shared" si="10"/>
        <v>1</v>
      </c>
      <c r="P55" s="84">
        <f t="shared" si="11"/>
        <v>228.75</v>
      </c>
      <c r="Q55" s="60" t="str">
        <f t="shared" si="12"/>
        <v>OVERLOADED</v>
      </c>
    </row>
    <row r="56" spans="1:17" hidden="1" x14ac:dyDescent="0.2">
      <c r="A56" s="60">
        <v>40</v>
      </c>
      <c r="B56" s="61" t="str">
        <f>'① Timelog Input'!B61</f>
        <v>Rutu.G</v>
      </c>
      <c r="C56" s="60" t="str">
        <f>'① Timelog Input'!C61</f>
        <v>CAS-RT_2359</v>
      </c>
      <c r="D56" s="60" t="str">
        <f>'① Timelog Input'!F61</f>
        <v>Remote</v>
      </c>
      <c r="E56" s="61" t="str">
        <f>'① Timelog Input'!H61</f>
        <v>Accounting</v>
      </c>
      <c r="F56" s="61" t="str">
        <f>'① Timelog Input'!G61</f>
        <v>Associate</v>
      </c>
      <c r="G56" s="61" t="str">
        <f>'① Timelog Input'!E61</f>
        <v>Nikita Shah</v>
      </c>
      <c r="H56" s="82">
        <f>Settings!B6</f>
        <v>160</v>
      </c>
      <c r="I56" s="84">
        <f>IF('① Timelog Input'!I61="",0,'① Timelog Input'!I61)</f>
        <v>117.87</v>
      </c>
      <c r="J56" s="84">
        <f>IF('① Timelog Input'!J61="",0,'① Timelog Input'!J61)</f>
        <v>112.78</v>
      </c>
      <c r="K56" s="84">
        <f t="shared" si="7"/>
        <v>5.0900000000000034</v>
      </c>
      <c r="L56" s="84">
        <f t="shared" si="8"/>
        <v>42.129999999999995</v>
      </c>
      <c r="M56" s="82">
        <f>IFERROR(VLOOKUP(C56,'② Salary Input'!A$4:V$200,14,FALSE()),0)</f>
        <v>31433</v>
      </c>
      <c r="N56" s="86">
        <f t="shared" si="9"/>
        <v>0.73668750000000005</v>
      </c>
      <c r="O56" s="86">
        <f t="shared" si="10"/>
        <v>0.70487500000000003</v>
      </c>
      <c r="P56" s="84">
        <f t="shared" si="11"/>
        <v>196.45625000000001</v>
      </c>
      <c r="Q56" s="60" t="str">
        <f t="shared" si="12"/>
        <v>OPTIMAL</v>
      </c>
    </row>
    <row r="57" spans="1:17" hidden="1" x14ac:dyDescent="0.2">
      <c r="A57" s="60">
        <v>41</v>
      </c>
      <c r="B57" s="61" t="str">
        <f>'① Timelog Input'!B65</f>
        <v>Priyam.B</v>
      </c>
      <c r="C57" s="60" t="str">
        <f>'① Timelog Input'!C65</f>
        <v>CAS-RT_2361</v>
      </c>
      <c r="D57" s="60" t="str">
        <f>'① Timelog Input'!F65</f>
        <v>Remote</v>
      </c>
      <c r="E57" s="61" t="str">
        <f>'① Timelog Input'!H65</f>
        <v>Accounting</v>
      </c>
      <c r="F57" s="61" t="str">
        <f>'① Timelog Input'!G65</f>
        <v>Asst. Team Lead</v>
      </c>
      <c r="G57" s="61" t="str">
        <f>'① Timelog Input'!E65</f>
        <v>Nikita Shah</v>
      </c>
      <c r="H57" s="82">
        <f>Settings!B6</f>
        <v>160</v>
      </c>
      <c r="I57" s="84">
        <f>IF('① Timelog Input'!I65="",0,'① Timelog Input'!I65)</f>
        <v>0</v>
      </c>
      <c r="J57" s="84">
        <f>IF('① Timelog Input'!J65="",0,'① Timelog Input'!J65)</f>
        <v>0</v>
      </c>
      <c r="K57" s="84">
        <f t="shared" si="7"/>
        <v>0</v>
      </c>
      <c r="L57" s="84">
        <f t="shared" si="8"/>
        <v>160</v>
      </c>
      <c r="M57" s="82">
        <f>IFERROR(VLOOKUP(C57,'② Salary Input'!A$4:V$200,14,FALSE()),0)</f>
        <v>24000</v>
      </c>
      <c r="N57" s="86">
        <f t="shared" si="9"/>
        <v>0</v>
      </c>
      <c r="O57" s="86">
        <f t="shared" si="10"/>
        <v>0</v>
      </c>
      <c r="P57" s="84">
        <f t="shared" si="11"/>
        <v>150</v>
      </c>
      <c r="Q57" s="60" t="str">
        <f t="shared" si="12"/>
        <v>IDLE</v>
      </c>
    </row>
    <row r="58" spans="1:17" hidden="1" x14ac:dyDescent="0.2">
      <c r="A58" s="60">
        <v>42</v>
      </c>
      <c r="B58" s="61" t="str">
        <f>'① Timelog Input'!B67</f>
        <v>Ayushi.B</v>
      </c>
      <c r="C58" s="60" t="str">
        <f>'① Timelog Input'!C67</f>
        <v>CAS-RT_2369</v>
      </c>
      <c r="D58" s="60" t="str">
        <f>'① Timelog Input'!F67</f>
        <v>Remote</v>
      </c>
      <c r="E58" s="61" t="str">
        <f>'① Timelog Input'!H67</f>
        <v>Accounting</v>
      </c>
      <c r="F58" s="61" t="str">
        <f>'① Timelog Input'!G67</f>
        <v>Associate</v>
      </c>
      <c r="G58" s="61" t="str">
        <f>'① Timelog Input'!E67</f>
        <v>Jyoti</v>
      </c>
      <c r="H58" s="82">
        <f>Settings!B6</f>
        <v>160</v>
      </c>
      <c r="I58" s="84">
        <f>IF('① Timelog Input'!I67="",0,'① Timelog Input'!I67)</f>
        <v>145.74</v>
      </c>
      <c r="J58" s="84">
        <f>IF('① Timelog Input'!J67="",0,'① Timelog Input'!J67)</f>
        <v>136.24</v>
      </c>
      <c r="K58" s="84">
        <f t="shared" si="7"/>
        <v>9.5</v>
      </c>
      <c r="L58" s="84">
        <f t="shared" si="8"/>
        <v>14.259999999999991</v>
      </c>
      <c r="M58" s="82">
        <f>IFERROR(VLOOKUP(C58,'② Salary Input'!A$4:V$200,14,FALSE()),0)</f>
        <v>32613</v>
      </c>
      <c r="N58" s="86">
        <f t="shared" si="9"/>
        <v>0.9108750000000001</v>
      </c>
      <c r="O58" s="86">
        <f t="shared" si="10"/>
        <v>0.85150000000000003</v>
      </c>
      <c r="P58" s="84">
        <f t="shared" si="11"/>
        <v>203.83125000000001</v>
      </c>
      <c r="Q58" s="60" t="str">
        <f t="shared" si="12"/>
        <v>OVERLOADED</v>
      </c>
    </row>
    <row r="59" spans="1:17" hidden="1" x14ac:dyDescent="0.2">
      <c r="A59" s="60">
        <v>43</v>
      </c>
      <c r="B59" s="61" t="str">
        <f>'① Timelog Input'!B71</f>
        <v>Scarlett.C</v>
      </c>
      <c r="C59" s="60" t="str">
        <f>'① Timelog Input'!C71</f>
        <v>CAS-RT_2374</v>
      </c>
      <c r="D59" s="60" t="str">
        <f>'① Timelog Input'!F71</f>
        <v>Remote</v>
      </c>
      <c r="E59" s="61" t="str">
        <f>'① Timelog Input'!H71</f>
        <v>Accounting</v>
      </c>
      <c r="F59" s="61" t="str">
        <f>'① Timelog Input'!G71</f>
        <v>Sr. Associate</v>
      </c>
      <c r="G59" s="61" t="str">
        <f>'① Timelog Input'!E71</f>
        <v>Jasleen.D</v>
      </c>
      <c r="H59" s="82">
        <f>Settings!B6</f>
        <v>160</v>
      </c>
      <c r="I59" s="84">
        <f>IF('① Timelog Input'!I71="",0,'① Timelog Input'!I71)</f>
        <v>178.012</v>
      </c>
      <c r="J59" s="84">
        <f>IF('① Timelog Input'!J71="",0,'① Timelog Input'!J71)</f>
        <v>178</v>
      </c>
      <c r="K59" s="84">
        <f t="shared" si="7"/>
        <v>1.2000000000000455E-2</v>
      </c>
      <c r="L59" s="84">
        <f t="shared" si="8"/>
        <v>-18.012</v>
      </c>
      <c r="M59" s="82">
        <f>IFERROR(VLOOKUP(C59,'② Salary Input'!A$4:V$200,14,FALSE()),0)</f>
        <v>45050</v>
      </c>
      <c r="N59" s="86">
        <f t="shared" si="9"/>
        <v>1.1125750000000001</v>
      </c>
      <c r="O59" s="86">
        <f t="shared" si="10"/>
        <v>1.1125</v>
      </c>
      <c r="P59" s="84">
        <f t="shared" si="11"/>
        <v>281.5625</v>
      </c>
      <c r="Q59" s="60" t="str">
        <f t="shared" si="12"/>
        <v>OVERLOADED</v>
      </c>
    </row>
    <row r="60" spans="1:17" ht="28" hidden="1" x14ac:dyDescent="0.2">
      <c r="A60" s="60">
        <v>44</v>
      </c>
      <c r="B60" s="61" t="str">
        <f>'① Timelog Input'!B74</f>
        <v>Megha.J</v>
      </c>
      <c r="C60" s="60" t="str">
        <f>'① Timelog Input'!C74</f>
        <v>CAS-RT_2376</v>
      </c>
      <c r="D60" s="60" t="str">
        <f>'① Timelog Input'!F74</f>
        <v>Remote</v>
      </c>
      <c r="E60" s="61" t="str">
        <f>'① Timelog Input'!H74</f>
        <v>Accounting</v>
      </c>
      <c r="F60" s="61" t="str">
        <f>'① Timelog Input'!G74</f>
        <v>Associate</v>
      </c>
      <c r="G60" s="61" t="str">
        <f>'① Timelog Input'!E74</f>
        <v>Jasleen.D</v>
      </c>
      <c r="H60" s="82">
        <f>Settings!B6</f>
        <v>160</v>
      </c>
      <c r="I60" s="84">
        <f>IF('① Timelog Input'!I74="",0,'① Timelog Input'!I74)</f>
        <v>97.16</v>
      </c>
      <c r="J60" s="84">
        <f>IF('① Timelog Input'!J74="",0,'① Timelog Input'!J74)</f>
        <v>97.16</v>
      </c>
      <c r="K60" s="84">
        <f t="shared" si="7"/>
        <v>0</v>
      </c>
      <c r="L60" s="84">
        <f t="shared" si="8"/>
        <v>62.84</v>
      </c>
      <c r="M60" s="82">
        <f>IFERROR(VLOOKUP(C60,'② Salary Input'!A$4:V$200,14,FALSE()),0)</f>
        <v>45288</v>
      </c>
      <c r="N60" s="86">
        <f t="shared" si="9"/>
        <v>0.60724999999999996</v>
      </c>
      <c r="O60" s="86">
        <f t="shared" si="10"/>
        <v>0.60724999999999996</v>
      </c>
      <c r="P60" s="84">
        <f t="shared" si="11"/>
        <v>283.05</v>
      </c>
      <c r="Q60" s="60" t="str">
        <f t="shared" si="12"/>
        <v>UNDERUTILIZED</v>
      </c>
    </row>
    <row r="61" spans="1:17" hidden="1" x14ac:dyDescent="0.2">
      <c r="A61" s="60">
        <v>45</v>
      </c>
      <c r="B61" s="61" t="str">
        <f>'① Timelog Input'!B81</f>
        <v>Surbhi.A</v>
      </c>
      <c r="C61" s="60" t="str">
        <f>'① Timelog Input'!C81</f>
        <v>CAS-RT_2390</v>
      </c>
      <c r="D61" s="60" t="str">
        <f>'① Timelog Input'!F81</f>
        <v>Remote</v>
      </c>
      <c r="E61" s="61" t="str">
        <f>'① Timelog Input'!H81</f>
        <v>Accounting</v>
      </c>
      <c r="F61" s="61" t="str">
        <f>'① Timelog Input'!G81</f>
        <v>Asst. Team Lead</v>
      </c>
      <c r="G61" s="61" t="str">
        <f>'① Timelog Input'!E81</f>
        <v>Jasleen.D</v>
      </c>
      <c r="H61" s="82">
        <f>Settings!B6</f>
        <v>160</v>
      </c>
      <c r="I61" s="84">
        <f>IF('① Timelog Input'!I81="",0,'① Timelog Input'!I81)</f>
        <v>146.58000000000001</v>
      </c>
      <c r="J61" s="84">
        <f>IF('① Timelog Input'!J81="",0,'① Timelog Input'!J81)</f>
        <v>146.58000000000001</v>
      </c>
      <c r="K61" s="84">
        <f t="shared" si="7"/>
        <v>0</v>
      </c>
      <c r="L61" s="84">
        <f t="shared" si="8"/>
        <v>13.419999999999987</v>
      </c>
      <c r="M61" s="82">
        <f>IFERROR(VLOOKUP(C61,'② Salary Input'!A$4:V$200,14,FALSE()),0)</f>
        <v>55475</v>
      </c>
      <c r="N61" s="86">
        <f t="shared" si="9"/>
        <v>0.91612500000000008</v>
      </c>
      <c r="O61" s="86">
        <f t="shared" si="10"/>
        <v>0.91612500000000008</v>
      </c>
      <c r="P61" s="84">
        <f t="shared" si="11"/>
        <v>346.71875</v>
      </c>
      <c r="Q61" s="60" t="str">
        <f t="shared" si="12"/>
        <v>OVERLOADED</v>
      </c>
    </row>
    <row r="62" spans="1:17" x14ac:dyDescent="0.2">
      <c r="A62" s="60">
        <v>46</v>
      </c>
      <c r="B62" s="61" t="str">
        <f>'① Timelog Input'!B82</f>
        <v>Jatin.S</v>
      </c>
      <c r="C62" s="60" t="str">
        <f>'① Timelog Input'!C82</f>
        <v>CAS-IH_1165</v>
      </c>
      <c r="D62" s="60" t="str">
        <f>'① Timelog Input'!F82</f>
        <v>In-house</v>
      </c>
      <c r="E62" s="61" t="str">
        <f>'① Timelog Input'!H82</f>
        <v>FP&amp;A</v>
      </c>
      <c r="F62" s="61" t="str">
        <f>'① Timelog Input'!G82</f>
        <v>Sr. Manager</v>
      </c>
      <c r="G62" s="61" t="str">
        <f>'① Timelog Input'!E82</f>
        <v>Sachi Mazumdar</v>
      </c>
      <c r="H62" s="82">
        <f>Settings!B6</f>
        <v>160</v>
      </c>
      <c r="I62" s="84">
        <f>IF('① Timelog Input'!I82="",0,'① Timelog Input'!I82)</f>
        <v>186</v>
      </c>
      <c r="J62" s="84">
        <f>IF('① Timelog Input'!J82="",0,'① Timelog Input'!J82)</f>
        <v>139</v>
      </c>
      <c r="K62" s="84">
        <f t="shared" si="7"/>
        <v>47</v>
      </c>
      <c r="L62" s="84">
        <f t="shared" si="8"/>
        <v>-26</v>
      </c>
      <c r="M62" s="82">
        <f>IFERROR(VLOOKUP(C62,'② Salary Input'!A$4:V$200,14,FALSE()),0)</f>
        <v>208334</v>
      </c>
      <c r="N62" s="86">
        <f t="shared" si="9"/>
        <v>1.1625000000000001</v>
      </c>
      <c r="O62" s="86">
        <f t="shared" si="10"/>
        <v>0.86875000000000002</v>
      </c>
      <c r="P62" s="84">
        <f t="shared" si="11"/>
        <v>1302.0875000000001</v>
      </c>
      <c r="Q62" s="60" t="str">
        <f t="shared" si="12"/>
        <v>OVERLOADED</v>
      </c>
    </row>
    <row r="63" spans="1:17" hidden="1" x14ac:dyDescent="0.2">
      <c r="A63" s="60">
        <v>47</v>
      </c>
      <c r="B63" s="61" t="str">
        <f>'① Timelog Input'!B84</f>
        <v>Harsh.G</v>
      </c>
      <c r="C63" s="60" t="str">
        <f>'① Timelog Input'!C84</f>
        <v>CAS-RT_2392</v>
      </c>
      <c r="D63" s="60" t="str">
        <f>'① Timelog Input'!F84</f>
        <v>Remote</v>
      </c>
      <c r="E63" s="61" t="str">
        <f>'① Timelog Input'!H84</f>
        <v>Accounting</v>
      </c>
      <c r="F63" s="61" t="str">
        <f>'① Timelog Input'!G84</f>
        <v>Sr. Associate</v>
      </c>
      <c r="G63" s="61" t="str">
        <f>'① Timelog Input'!E84</f>
        <v>Ayushi</v>
      </c>
      <c r="H63" s="82">
        <f>Settings!B6</f>
        <v>160</v>
      </c>
      <c r="I63" s="84">
        <f>IF('① Timelog Input'!I84="",0,'① Timelog Input'!I84)</f>
        <v>0</v>
      </c>
      <c r="J63" s="84">
        <f>IF('① Timelog Input'!J84="",0,'① Timelog Input'!J84)</f>
        <v>0</v>
      </c>
      <c r="K63" s="84">
        <f t="shared" si="7"/>
        <v>0</v>
      </c>
      <c r="L63" s="84">
        <f t="shared" si="8"/>
        <v>160</v>
      </c>
      <c r="M63" s="82">
        <f>IFERROR(VLOOKUP(C63,'② Salary Input'!A$4:V$200,14,FALSE()),0)</f>
        <v>14988</v>
      </c>
      <c r="N63" s="86">
        <f t="shared" si="9"/>
        <v>0</v>
      </c>
      <c r="O63" s="86">
        <f t="shared" si="10"/>
        <v>0</v>
      </c>
      <c r="P63" s="84">
        <f t="shared" si="11"/>
        <v>93.674999999999997</v>
      </c>
      <c r="Q63" s="60" t="str">
        <f t="shared" si="12"/>
        <v>IDLE</v>
      </c>
    </row>
    <row r="64" spans="1:17" hidden="1" x14ac:dyDescent="0.2">
      <c r="A64" s="60">
        <v>48</v>
      </c>
      <c r="B64" s="61" t="str">
        <f>'① Timelog Input'!B89</f>
        <v>Ash</v>
      </c>
      <c r="C64" s="60">
        <f>'① Timelog Input'!C89</f>
        <v>209</v>
      </c>
      <c r="D64" s="60" t="str">
        <f>'① Timelog Input'!F89</f>
        <v>Remote</v>
      </c>
      <c r="E64" s="61" t="str">
        <f>'① Timelog Input'!H89</f>
        <v>IT</v>
      </c>
      <c r="F64" s="61" t="str">
        <f>'① Timelog Input'!G89</f>
        <v>Controller</v>
      </c>
      <c r="G64" s="61" t="str">
        <f>'① Timelog Input'!E89</f>
        <v>--</v>
      </c>
      <c r="H64" s="82">
        <f>Settings!B6</f>
        <v>160</v>
      </c>
      <c r="I64" s="84">
        <f>IF('① Timelog Input'!I89="",0,'① Timelog Input'!I89)</f>
        <v>0</v>
      </c>
      <c r="J64" s="84">
        <f>IF('① Timelog Input'!J89="",0,'① Timelog Input'!J89)</f>
        <v>0</v>
      </c>
      <c r="K64" s="84">
        <f t="shared" si="7"/>
        <v>0</v>
      </c>
      <c r="L64" s="84">
        <f t="shared" si="8"/>
        <v>160</v>
      </c>
      <c r="M64" s="82">
        <f>IFERROR(VLOOKUP(C64,'② Salary Input'!A$4:V$200,14,FALSE()),0)</f>
        <v>0</v>
      </c>
      <c r="N64" s="86">
        <f t="shared" si="9"/>
        <v>0</v>
      </c>
      <c r="O64" s="86">
        <f t="shared" si="10"/>
        <v>0</v>
      </c>
      <c r="P64" s="84">
        <f t="shared" si="11"/>
        <v>0</v>
      </c>
      <c r="Q64" s="60" t="str">
        <f t="shared" si="12"/>
        <v>IDLE</v>
      </c>
    </row>
    <row r="65" spans="1:17" x14ac:dyDescent="0.2">
      <c r="A65" s="60">
        <v>49</v>
      </c>
      <c r="B65" s="61" t="str">
        <f>'① Timelog Input'!B90</f>
        <v>Anshika.B</v>
      </c>
      <c r="C65" s="60" t="str">
        <f>'① Timelog Input'!C90</f>
        <v>CASCFO-IH-004</v>
      </c>
      <c r="D65" s="60" t="str">
        <f>'① Timelog Input'!F90</f>
        <v>In-house</v>
      </c>
      <c r="E65" s="61" t="str">
        <f>'① Timelog Input'!H90</f>
        <v>HR</v>
      </c>
      <c r="F65" s="61" t="str">
        <f>'① Timelog Input'!G90</f>
        <v>Associate</v>
      </c>
      <c r="G65" s="61" t="str">
        <f>'① Timelog Input'!E90</f>
        <v>Vinita Dagar</v>
      </c>
      <c r="H65" s="82">
        <f>Settings!B6</f>
        <v>160</v>
      </c>
      <c r="I65" s="84">
        <f>IF('① Timelog Input'!I90="",0,'① Timelog Input'!I90)</f>
        <v>159</v>
      </c>
      <c r="J65" s="84">
        <f>IF('① Timelog Input'!J90="",0,'① Timelog Input'!J90)</f>
        <v>151</v>
      </c>
      <c r="K65" s="84">
        <f t="shared" si="7"/>
        <v>8</v>
      </c>
      <c r="L65" s="84">
        <f t="shared" si="8"/>
        <v>1</v>
      </c>
      <c r="M65" s="82">
        <f>IFERROR(VLOOKUP(C65,'② Salary Input'!A$4:V$200,14,FALSE()),0)</f>
        <v>0</v>
      </c>
      <c r="N65" s="86">
        <f t="shared" si="9"/>
        <v>0.99375000000000002</v>
      </c>
      <c r="O65" s="86">
        <f t="shared" si="10"/>
        <v>0.94374999999999998</v>
      </c>
      <c r="P65" s="84">
        <f t="shared" si="11"/>
        <v>0</v>
      </c>
      <c r="Q65" s="60" t="str">
        <f t="shared" si="12"/>
        <v>OVERLOADED</v>
      </c>
    </row>
    <row r="66" spans="1:17" ht="56" hidden="1" x14ac:dyDescent="0.2">
      <c r="A66" s="60">
        <v>50</v>
      </c>
      <c r="B66" s="61" t="str">
        <f>'① Timelog Input'!B95</f>
        <v>Tracey.G</v>
      </c>
      <c r="C66" s="60" t="str">
        <f>'① Timelog Input'!C95</f>
        <v>CASCFO****</v>
      </c>
      <c r="D66" s="60" t="str">
        <f>'① Timelog Input'!F95</f>
        <v>Remote</v>
      </c>
      <c r="E66" s="61" t="str">
        <f>'① Timelog Input'!H95</f>
        <v>Accounting, Individual Tax, Business Tax, VA</v>
      </c>
      <c r="F66" s="61" t="str">
        <f>'① Timelog Input'!G95</f>
        <v>Coo</v>
      </c>
      <c r="G66" s="61" t="str">
        <f>'① Timelog Input'!E95</f>
        <v>--</v>
      </c>
      <c r="H66" s="82">
        <f>Settings!B6</f>
        <v>160</v>
      </c>
      <c r="I66" s="84">
        <f>IF('① Timelog Input'!I95="",0,'① Timelog Input'!I95)</f>
        <v>0</v>
      </c>
      <c r="J66" s="84">
        <f>IF('① Timelog Input'!J95="",0,'① Timelog Input'!J95)</f>
        <v>0</v>
      </c>
      <c r="K66" s="84">
        <f t="shared" si="7"/>
        <v>0</v>
      </c>
      <c r="L66" s="84">
        <f t="shared" si="8"/>
        <v>160</v>
      </c>
      <c r="M66" s="82">
        <f>IFERROR(VLOOKUP(C66,'② Salary Input'!A$4:V$200,14,FALSE()),0)</f>
        <v>0</v>
      </c>
      <c r="N66" s="86">
        <f t="shared" si="9"/>
        <v>0</v>
      </c>
      <c r="O66" s="86">
        <f t="shared" si="10"/>
        <v>0</v>
      </c>
      <c r="P66" s="84">
        <f t="shared" si="11"/>
        <v>0</v>
      </c>
      <c r="Q66" s="60" t="str">
        <f t="shared" si="12"/>
        <v>IDLE</v>
      </c>
    </row>
    <row r="67" spans="1:17" hidden="1" x14ac:dyDescent="0.2">
      <c r="A67" s="60">
        <v>51</v>
      </c>
      <c r="B67" s="61" t="str">
        <f>'① Timelog Input'!B97</f>
        <v>Prerna.G</v>
      </c>
      <c r="C67" s="60" t="str">
        <f>'① Timelog Input'!C97</f>
        <v>CAS-RT_2402</v>
      </c>
      <c r="D67" s="60" t="str">
        <f>'① Timelog Input'!F97</f>
        <v>Remote</v>
      </c>
      <c r="E67" s="61" t="str">
        <f>'① Timelog Input'!H97</f>
        <v>Accounting</v>
      </c>
      <c r="F67" s="61" t="str">
        <f>'① Timelog Input'!G97</f>
        <v>Manager</v>
      </c>
      <c r="G67" s="61" t="str">
        <f>'① Timelog Input'!E97</f>
        <v>Ayushi</v>
      </c>
      <c r="H67" s="82">
        <f>Settings!B6</f>
        <v>160</v>
      </c>
      <c r="I67" s="84">
        <f>IF('① Timelog Input'!I97="",0,'① Timelog Input'!I97)</f>
        <v>157.46</v>
      </c>
      <c r="J67" s="84">
        <f>IF('① Timelog Input'!J97="",0,'① Timelog Input'!J97)</f>
        <v>117.89</v>
      </c>
      <c r="K67" s="84">
        <f t="shared" si="7"/>
        <v>39.570000000000007</v>
      </c>
      <c r="L67" s="84">
        <f t="shared" si="8"/>
        <v>2.539999999999992</v>
      </c>
      <c r="M67" s="82">
        <f>IFERROR(VLOOKUP(C67,'② Salary Input'!A$4:V$200,14,FALSE()),0)</f>
        <v>69507</v>
      </c>
      <c r="N67" s="86">
        <f t="shared" si="9"/>
        <v>0.98412500000000003</v>
      </c>
      <c r="O67" s="86">
        <f t="shared" si="10"/>
        <v>0.73681249999999998</v>
      </c>
      <c r="P67" s="84">
        <f t="shared" si="11"/>
        <v>434.41874999999999</v>
      </c>
      <c r="Q67" s="60" t="str">
        <f t="shared" si="12"/>
        <v>OVERLOADED</v>
      </c>
    </row>
    <row r="68" spans="1:17" hidden="1" x14ac:dyDescent="0.2">
      <c r="A68" s="60">
        <v>52</v>
      </c>
      <c r="B68" s="61" t="str">
        <f>'① Timelog Input'!B116</f>
        <v>Jinali.S</v>
      </c>
      <c r="C68" s="60" t="str">
        <f>'① Timelog Input'!C116</f>
        <v>CAS-RT_2419</v>
      </c>
      <c r="D68" s="60" t="str">
        <f>'① Timelog Input'!F116</f>
        <v>Remote</v>
      </c>
      <c r="E68" s="61" t="str">
        <f>'① Timelog Input'!H116</f>
        <v>Individual Tax</v>
      </c>
      <c r="F68" s="61" t="str">
        <f>'① Timelog Input'!G116</f>
        <v>Sr. Associate</v>
      </c>
      <c r="G68" s="61" t="str">
        <f>'① Timelog Input'!E116</f>
        <v>Smriti Shah</v>
      </c>
      <c r="H68" s="82">
        <f>Settings!B6</f>
        <v>160</v>
      </c>
      <c r="I68" s="84">
        <f>IF('① Timelog Input'!I116="",0,'① Timelog Input'!I116)</f>
        <v>30.08</v>
      </c>
      <c r="J68" s="84">
        <f>IF('① Timelog Input'!J116="",0,'① Timelog Input'!J116)</f>
        <v>30.08</v>
      </c>
      <c r="K68" s="84">
        <f t="shared" si="7"/>
        <v>0</v>
      </c>
      <c r="L68" s="84">
        <f t="shared" si="8"/>
        <v>129.92000000000002</v>
      </c>
      <c r="M68" s="82">
        <f>IFERROR(VLOOKUP(C68,'② Salary Input'!A$4:V$200,14,FALSE()),0)</f>
        <v>0</v>
      </c>
      <c r="N68" s="86">
        <f t="shared" si="9"/>
        <v>0.188</v>
      </c>
      <c r="O68" s="86">
        <f t="shared" si="10"/>
        <v>0.188</v>
      </c>
      <c r="P68" s="84">
        <f t="shared" si="11"/>
        <v>0</v>
      </c>
      <c r="Q68" s="60" t="str">
        <f t="shared" si="12"/>
        <v>LOW ACTIVITY</v>
      </c>
    </row>
    <row r="69" spans="1:17" x14ac:dyDescent="0.2">
      <c r="A69" s="60">
        <v>53</v>
      </c>
      <c r="B69" s="61" t="str">
        <f>'① Timelog Input'!B117</f>
        <v>Snehal</v>
      </c>
      <c r="C69" s="60" t="str">
        <f>'① Timelog Input'!C117</f>
        <v>CAS-IH_1177</v>
      </c>
      <c r="D69" s="60" t="str">
        <f>'① Timelog Input'!F117</f>
        <v>In-house</v>
      </c>
      <c r="E69" s="61" t="str">
        <f>'① Timelog Input'!H117</f>
        <v>FP&amp;A</v>
      </c>
      <c r="F69" s="61" t="str">
        <f>'① Timelog Input'!G117</f>
        <v>Team Lead</v>
      </c>
      <c r="G69" s="61" t="str">
        <f>'① Timelog Input'!E117</f>
        <v>Tithi Gandhi</v>
      </c>
      <c r="H69" s="82">
        <f>Settings!B6</f>
        <v>160</v>
      </c>
      <c r="I69" s="84">
        <f>IF('① Timelog Input'!I117="",0,'① Timelog Input'!I117)</f>
        <v>158.65</v>
      </c>
      <c r="J69" s="84">
        <f>IF('① Timelog Input'!J117="",0,'① Timelog Input'!J117)</f>
        <v>136.63</v>
      </c>
      <c r="K69" s="84">
        <f t="shared" si="7"/>
        <v>22.02000000000001</v>
      </c>
      <c r="L69" s="84">
        <f t="shared" si="8"/>
        <v>1.3499999999999943</v>
      </c>
      <c r="M69" s="82">
        <f>IFERROR(VLOOKUP(C69,'② Salary Input'!A$4:V$200,14,FALSE()),0)</f>
        <v>54839</v>
      </c>
      <c r="N69" s="86">
        <f t="shared" si="9"/>
        <v>0.99156250000000001</v>
      </c>
      <c r="O69" s="86">
        <f t="shared" si="10"/>
        <v>0.85393750000000002</v>
      </c>
      <c r="P69" s="84">
        <f t="shared" si="11"/>
        <v>342.74374999999998</v>
      </c>
      <c r="Q69" s="60" t="str">
        <f t="shared" si="12"/>
        <v>OVERLOADED</v>
      </c>
    </row>
    <row r="70" spans="1:17" ht="28" hidden="1" x14ac:dyDescent="0.2">
      <c r="A70" s="60">
        <v>54</v>
      </c>
      <c r="B70" s="61" t="str">
        <f>'① Timelog Input'!B126</f>
        <v>Hema.S</v>
      </c>
      <c r="C70" s="60" t="str">
        <f>'① Timelog Input'!C126</f>
        <v>CAS-RT_2427</v>
      </c>
      <c r="D70" s="60" t="str">
        <f>'① Timelog Input'!F126</f>
        <v>Remote</v>
      </c>
      <c r="E70" s="61" t="str">
        <f>'① Timelog Input'!H126</f>
        <v>Accounting</v>
      </c>
      <c r="F70" s="61" t="str">
        <f>'① Timelog Input'!G126</f>
        <v>Sr. Associate</v>
      </c>
      <c r="G70" s="61" t="str">
        <f>'① Timelog Input'!E126</f>
        <v>Ayushi</v>
      </c>
      <c r="H70" s="82">
        <f>Settings!B6</f>
        <v>160</v>
      </c>
      <c r="I70" s="84">
        <f>IF('① Timelog Input'!I126="",0,'① Timelog Input'!I126)</f>
        <v>85.09</v>
      </c>
      <c r="J70" s="84">
        <f>IF('① Timelog Input'!J126="",0,'① Timelog Input'!J126)</f>
        <v>81.59</v>
      </c>
      <c r="K70" s="84">
        <f t="shared" si="7"/>
        <v>3.5</v>
      </c>
      <c r="L70" s="84">
        <f t="shared" si="8"/>
        <v>74.91</v>
      </c>
      <c r="M70" s="82">
        <f>IFERROR(VLOOKUP(C70,'② Salary Input'!A$4:V$200,14,FALSE()),0)</f>
        <v>0</v>
      </c>
      <c r="N70" s="86">
        <f t="shared" si="9"/>
        <v>0.53181250000000002</v>
      </c>
      <c r="O70" s="86">
        <f t="shared" si="10"/>
        <v>0.50993750000000004</v>
      </c>
      <c r="P70" s="84">
        <f t="shared" si="11"/>
        <v>0</v>
      </c>
      <c r="Q70" s="60" t="str">
        <f t="shared" si="12"/>
        <v>UNDERUTILIZED</v>
      </c>
    </row>
    <row r="71" spans="1:17" x14ac:dyDescent="0.2">
      <c r="A71" s="60">
        <v>55</v>
      </c>
      <c r="B71" s="61" t="str">
        <f>'① Timelog Input'!B127</f>
        <v>Binny.S</v>
      </c>
      <c r="C71" s="60" t="str">
        <f>'① Timelog Input'!C127</f>
        <v>CAS-IH_1181</v>
      </c>
      <c r="D71" s="60" t="str">
        <f>'① Timelog Input'!F127</f>
        <v>In-house</v>
      </c>
      <c r="E71" s="61" t="str">
        <f>'① Timelog Input'!H127</f>
        <v>Accounting</v>
      </c>
      <c r="F71" s="61" t="str">
        <f>'① Timelog Input'!G127</f>
        <v>Asst. Team Lead</v>
      </c>
      <c r="G71" s="61" t="str">
        <f>'① Timelog Input'!E127</f>
        <v>Nikita Shah</v>
      </c>
      <c r="H71" s="82">
        <f>Settings!B6</f>
        <v>160</v>
      </c>
      <c r="I71" s="84">
        <f>IF('① Timelog Input'!I127="",0,'① Timelog Input'!I127)</f>
        <v>40.92</v>
      </c>
      <c r="J71" s="84">
        <f>IF('① Timelog Input'!J127="",0,'① Timelog Input'!J127)</f>
        <v>40.92</v>
      </c>
      <c r="K71" s="84">
        <f t="shared" si="7"/>
        <v>0</v>
      </c>
      <c r="L71" s="84">
        <f t="shared" si="8"/>
        <v>119.08</v>
      </c>
      <c r="M71" s="82">
        <f>IFERROR(VLOOKUP(C71,'② Salary Input'!A$4:V$200,14,FALSE()),0)</f>
        <v>0</v>
      </c>
      <c r="N71" s="86">
        <f t="shared" si="9"/>
        <v>0.25575000000000003</v>
      </c>
      <c r="O71" s="86">
        <f t="shared" si="10"/>
        <v>0.25575000000000003</v>
      </c>
      <c r="P71" s="84">
        <f t="shared" si="11"/>
        <v>0</v>
      </c>
      <c r="Q71" s="60" t="str">
        <f t="shared" si="12"/>
        <v>LOW ACTIVITY</v>
      </c>
    </row>
    <row r="72" spans="1:17" hidden="1" x14ac:dyDescent="0.2">
      <c r="A72" s="60">
        <v>56</v>
      </c>
      <c r="B72" s="61" t="str">
        <f>'① Timelog Input'!B132</f>
        <v>Lithika.B</v>
      </c>
      <c r="C72" s="60" t="str">
        <f>'① Timelog Input'!C132</f>
        <v>CAS-RT_2430</v>
      </c>
      <c r="D72" s="60" t="str">
        <f>'① Timelog Input'!F132</f>
        <v>Remote</v>
      </c>
      <c r="E72" s="61" t="str">
        <f>'① Timelog Input'!H132</f>
        <v>Accounting</v>
      </c>
      <c r="F72" s="61" t="str">
        <f>'① Timelog Input'!G132</f>
        <v>Sr. Associate</v>
      </c>
      <c r="G72" s="61" t="str">
        <f>'① Timelog Input'!E132</f>
        <v>Ayushi</v>
      </c>
      <c r="H72" s="82">
        <f>Settings!B6</f>
        <v>160</v>
      </c>
      <c r="I72" s="84">
        <f>IF('① Timelog Input'!I132="",0,'① Timelog Input'!I132)</f>
        <v>113.88</v>
      </c>
      <c r="J72" s="84">
        <f>IF('① Timelog Input'!J132="",0,'① Timelog Input'!J132)</f>
        <v>98.47</v>
      </c>
      <c r="K72" s="84">
        <f t="shared" si="7"/>
        <v>15.409999999999997</v>
      </c>
      <c r="L72" s="84">
        <f t="shared" si="8"/>
        <v>46.120000000000005</v>
      </c>
      <c r="M72" s="82">
        <f>IFERROR(VLOOKUP(C72,'② Salary Input'!A$4:V$200,14,FALSE()),0)</f>
        <v>0</v>
      </c>
      <c r="N72" s="86">
        <f t="shared" si="9"/>
        <v>0.71174999999999999</v>
      </c>
      <c r="O72" s="86">
        <f t="shared" si="10"/>
        <v>0.61543749999999997</v>
      </c>
      <c r="P72" s="84">
        <f t="shared" si="11"/>
        <v>0</v>
      </c>
      <c r="Q72" s="60" t="str">
        <f t="shared" si="12"/>
        <v>OPTIMAL</v>
      </c>
    </row>
    <row r="73" spans="1:17" hidden="1" x14ac:dyDescent="0.2">
      <c r="A73" s="60">
        <v>57</v>
      </c>
      <c r="B73" s="61" t="str">
        <f>'① Timelog Input'!B138</f>
        <v>Biswajit.D</v>
      </c>
      <c r="C73" s="60" t="str">
        <f>'① Timelog Input'!C138</f>
        <v>CAS-RT_2435</v>
      </c>
      <c r="D73" s="60" t="str">
        <f>'① Timelog Input'!F138</f>
        <v>Remote</v>
      </c>
      <c r="E73" s="61" t="str">
        <f>'① Timelog Input'!H138</f>
        <v>Individual Tax</v>
      </c>
      <c r="F73" s="61" t="str">
        <f>'① Timelog Input'!G138</f>
        <v>Sr. Associate</v>
      </c>
      <c r="G73" s="61" t="str">
        <f>'① Timelog Input'!E138</f>
        <v>Ammie</v>
      </c>
      <c r="H73" s="82">
        <f>Settings!B6</f>
        <v>160</v>
      </c>
      <c r="I73" s="84">
        <f>IF('① Timelog Input'!I138="",0,'① Timelog Input'!I138)</f>
        <v>0</v>
      </c>
      <c r="J73" s="84">
        <f>IF('① Timelog Input'!J138="",0,'① Timelog Input'!J138)</f>
        <v>0</v>
      </c>
      <c r="K73" s="84">
        <f t="shared" si="7"/>
        <v>0</v>
      </c>
      <c r="L73" s="84">
        <f t="shared" si="8"/>
        <v>160</v>
      </c>
      <c r="M73" s="82">
        <f>IFERROR(VLOOKUP(C73,'② Salary Input'!A$4:V$200,14,FALSE()),0)</f>
        <v>0</v>
      </c>
      <c r="N73" s="86">
        <f t="shared" si="9"/>
        <v>0</v>
      </c>
      <c r="O73" s="86">
        <f t="shared" si="10"/>
        <v>0</v>
      </c>
      <c r="P73" s="84">
        <f t="shared" si="11"/>
        <v>0</v>
      </c>
      <c r="Q73" s="60" t="str">
        <f t="shared" si="12"/>
        <v>IDLE</v>
      </c>
    </row>
    <row r="74" spans="1:17" hidden="1" x14ac:dyDescent="0.2">
      <c r="A74" s="60">
        <v>58</v>
      </c>
      <c r="B74" s="61" t="str">
        <f>'① Timelog Input'!B143</f>
        <v>Keily.S</v>
      </c>
      <c r="C74" s="60" t="str">
        <f>'① Timelog Input'!C143</f>
        <v>CASUS-IH_006</v>
      </c>
      <c r="D74" s="60" t="str">
        <f>'① Timelog Input'!F143</f>
        <v>Remote</v>
      </c>
      <c r="E74" s="61" t="str">
        <f>'① Timelog Input'!H143</f>
        <v>Marketing</v>
      </c>
      <c r="F74" s="61" t="str">
        <f>'① Timelog Input'!G143</f>
        <v>Associate</v>
      </c>
      <c r="G74" s="61" t="str">
        <f>'① Timelog Input'!E143</f>
        <v>Angela</v>
      </c>
      <c r="H74" s="82">
        <f>Settings!B6</f>
        <v>160</v>
      </c>
      <c r="I74" s="84">
        <f>IF('① Timelog Input'!I143="",0,'① Timelog Input'!I143)</f>
        <v>32</v>
      </c>
      <c r="J74" s="84">
        <f>IF('① Timelog Input'!J143="",0,'① Timelog Input'!J143)</f>
        <v>24</v>
      </c>
      <c r="K74" s="84">
        <f t="shared" si="7"/>
        <v>8</v>
      </c>
      <c r="L74" s="84">
        <f t="shared" si="8"/>
        <v>128</v>
      </c>
      <c r="M74" s="82">
        <f>IFERROR(VLOOKUP(C74,'② Salary Input'!A$4:V$200,14,FALSE()),0)</f>
        <v>0</v>
      </c>
      <c r="N74" s="86">
        <f t="shared" si="9"/>
        <v>0.2</v>
      </c>
      <c r="O74" s="86">
        <f t="shared" si="10"/>
        <v>0.15</v>
      </c>
      <c r="P74" s="84">
        <f t="shared" si="11"/>
        <v>0</v>
      </c>
      <c r="Q74" s="60" t="str">
        <f t="shared" si="12"/>
        <v>LOW ACTIVITY</v>
      </c>
    </row>
    <row r="75" spans="1:17" x14ac:dyDescent="0.2">
      <c r="A75" s="60">
        <v>59</v>
      </c>
      <c r="B75" s="61" t="str">
        <f>'① Timelog Input'!B144</f>
        <v>Bhavana.T</v>
      </c>
      <c r="C75" s="60" t="str">
        <f>'① Timelog Input'!C144</f>
        <v>CAS-IH_1188</v>
      </c>
      <c r="D75" s="60" t="str">
        <f>'① Timelog Input'!F144</f>
        <v>In-house</v>
      </c>
      <c r="E75" s="61" t="str">
        <f>'① Timelog Input'!H144</f>
        <v>Accounting</v>
      </c>
      <c r="F75" s="61" t="str">
        <f>'① Timelog Input'!G144</f>
        <v>Asst. Team Lead</v>
      </c>
      <c r="G75" s="61" t="str">
        <f>'① Timelog Input'!E144</f>
        <v>Sukhmeen.K</v>
      </c>
      <c r="H75" s="82">
        <f>Settings!B6</f>
        <v>160</v>
      </c>
      <c r="I75" s="84">
        <f>IF('① Timelog Input'!I144="",0,'① Timelog Input'!I144)</f>
        <v>0</v>
      </c>
      <c r="J75" s="84">
        <f>IF('① Timelog Input'!J144="",0,'① Timelog Input'!J144)</f>
        <v>0</v>
      </c>
      <c r="K75" s="84">
        <f t="shared" si="7"/>
        <v>0</v>
      </c>
      <c r="L75" s="84">
        <f t="shared" si="8"/>
        <v>160</v>
      </c>
      <c r="M75" s="82">
        <f>IFERROR(VLOOKUP(C75,'② Salary Input'!A$4:V$200,14,FALSE()),0)</f>
        <v>0</v>
      </c>
      <c r="N75" s="86">
        <f t="shared" si="9"/>
        <v>0</v>
      </c>
      <c r="O75" s="86">
        <f t="shared" si="10"/>
        <v>0</v>
      </c>
      <c r="P75" s="84">
        <f t="shared" si="11"/>
        <v>0</v>
      </c>
      <c r="Q75" s="60" t="str">
        <f t="shared" si="12"/>
        <v>IDLE</v>
      </c>
    </row>
    <row r="76" spans="1:17" hidden="1" x14ac:dyDescent="0.2">
      <c r="A76" s="74"/>
      <c r="B76" s="75" t="s">
        <v>544</v>
      </c>
      <c r="C76" s="74">
        <f>59</f>
        <v>59</v>
      </c>
      <c r="D76" s="74"/>
      <c r="E76" s="74"/>
      <c r="F76" s="74"/>
      <c r="G76" s="74"/>
      <c r="H76" s="77">
        <f t="shared" ref="H76:M76" si="13">SUM(H17:H75)</f>
        <v>9440</v>
      </c>
      <c r="I76" s="76">
        <f t="shared" si="13"/>
        <v>6268.0119999999988</v>
      </c>
      <c r="J76" s="76">
        <f t="shared" si="13"/>
        <v>6016.81</v>
      </c>
      <c r="K76" s="76">
        <f t="shared" si="13"/>
        <v>251.202</v>
      </c>
      <c r="L76" s="76">
        <f t="shared" si="13"/>
        <v>3171.9879999999998</v>
      </c>
      <c r="M76" s="77">
        <f t="shared" si="13"/>
        <v>4181082</v>
      </c>
      <c r="N76" s="78">
        <f t="shared" si="9"/>
        <v>0.66398432203389823</v>
      </c>
      <c r="O76" s="78">
        <f t="shared" si="10"/>
        <v>0.63737394067796616</v>
      </c>
      <c r="P76" s="76">
        <f t="shared" si="11"/>
        <v>442.91122881355932</v>
      </c>
      <c r="Q76" s="74"/>
    </row>
    <row r="79" spans="1:17" x14ac:dyDescent="0.2">
      <c r="A79" s="148" t="s">
        <v>898</v>
      </c>
      <c r="B79" s="148"/>
      <c r="C79" s="148"/>
      <c r="D79" s="148"/>
      <c r="E79" s="148"/>
      <c r="F79" s="148"/>
      <c r="G79" s="148"/>
    </row>
    <row r="80" spans="1:17" x14ac:dyDescent="0.2">
      <c r="A80" s="81" t="s">
        <v>69</v>
      </c>
      <c r="B80" s="81" t="s">
        <v>899</v>
      </c>
      <c r="C80" s="81" t="s">
        <v>890</v>
      </c>
      <c r="D80" s="81" t="s">
        <v>900</v>
      </c>
      <c r="E80" s="81" t="s">
        <v>892</v>
      </c>
      <c r="F80" s="81" t="s">
        <v>894</v>
      </c>
      <c r="G80" s="81" t="s">
        <v>895</v>
      </c>
      <c r="H80" s="81" t="s">
        <v>896</v>
      </c>
    </row>
    <row r="81" spans="1:8" x14ac:dyDescent="0.2">
      <c r="A81" s="61" t="s">
        <v>148</v>
      </c>
      <c r="B81" s="60">
        <f>COUNTIF(E$17:E$75,"*Accounting*")</f>
        <v>40</v>
      </c>
      <c r="C81" s="82">
        <f>SUMIF(E$17:E$75,"*Accounting*",H$17:H$75)</f>
        <v>6400</v>
      </c>
      <c r="D81" s="84">
        <f>SUMIF(E$17:E$75,"*Accounting*",I$17:I$75)</f>
        <v>4445.3319999999994</v>
      </c>
      <c r="E81" s="84">
        <f>SUMIF(E$17:E$75,"*Accounting*",J$17:J$75)</f>
        <v>4323.1500000000005</v>
      </c>
      <c r="F81" s="84">
        <f>SUMIF(E$17:E$75,"*Accounting*",L$17:L$75)</f>
        <v>1954.6680000000001</v>
      </c>
      <c r="G81" s="86">
        <f t="shared" ref="G81:G93" si="14">IF(C81=0,0,D81/C81)</f>
        <v>0.69458312499999986</v>
      </c>
      <c r="H81" s="86">
        <f t="shared" ref="H81:H93" si="15">IF(C81=0,0,E81/C81)</f>
        <v>0.67549218750000006</v>
      </c>
    </row>
    <row r="82" spans="1:8" x14ac:dyDescent="0.2">
      <c r="A82" s="61" t="s">
        <v>188</v>
      </c>
      <c r="B82" s="60">
        <f>COUNTIF(E$17:E$75,"*Accounting, Business Tax*")</f>
        <v>7</v>
      </c>
      <c r="C82" s="82">
        <f>SUMIF(E$17:E$75,"*Accounting, Business Tax*",H$17:H$75)</f>
        <v>1120</v>
      </c>
      <c r="D82" s="84">
        <f>SUMIF(E$17:E$75,"*Accounting, Business Tax*",I$17:I$75)</f>
        <v>611.47</v>
      </c>
      <c r="E82" s="84">
        <f>SUMIF(E$17:E$75,"*Accounting, Business Tax*",J$17:J$75)</f>
        <v>610.22</v>
      </c>
      <c r="F82" s="84">
        <f>SUMIF(E$17:E$75,"*Accounting, Business Tax*",L$17:L$75)</f>
        <v>508.53</v>
      </c>
      <c r="G82" s="86">
        <f t="shared" si="14"/>
        <v>0.54595535714285715</v>
      </c>
      <c r="H82" s="86">
        <f t="shared" si="15"/>
        <v>0.54483928571428575</v>
      </c>
    </row>
    <row r="83" spans="1:8" x14ac:dyDescent="0.2">
      <c r="A83" s="61" t="s">
        <v>180</v>
      </c>
      <c r="B83" s="60">
        <f>COUNTIF(E$17:E$75,"*Accounting, Business Tax, VA*")</f>
        <v>2</v>
      </c>
      <c r="C83" s="82">
        <f>SUMIF(E$17:E$75,"*Accounting, Business Tax, VA*",H$17:H$75)</f>
        <v>320</v>
      </c>
      <c r="D83" s="84">
        <f>SUMIF(E$17:E$75,"*Accounting, Business Tax, VA*",I$17:I$75)</f>
        <v>252.9</v>
      </c>
      <c r="E83" s="84">
        <f>SUMIF(E$17:E$75,"*Accounting, Business Tax, VA*",J$17:J$75)</f>
        <v>252.9</v>
      </c>
      <c r="F83" s="84">
        <f>SUMIF(E$17:E$75,"*Accounting, Business Tax, VA*",L$17:L$75)</f>
        <v>67.099999999999994</v>
      </c>
      <c r="G83" s="86">
        <f t="shared" si="14"/>
        <v>0.79031249999999997</v>
      </c>
      <c r="H83" s="86">
        <f t="shared" si="15"/>
        <v>0.79031249999999997</v>
      </c>
    </row>
    <row r="84" spans="1:8" x14ac:dyDescent="0.2">
      <c r="A84" s="61" t="s">
        <v>192</v>
      </c>
      <c r="B84" s="60">
        <f>COUNTIF(E$17:E$75,"*Accounting, Business Tax, VA, L&amp;D*")</f>
        <v>1</v>
      </c>
      <c r="C84" s="82">
        <f>SUMIF(E$17:E$75,"*Accounting, Business Tax, VA, L&amp;D*",H$17:H$75)</f>
        <v>160</v>
      </c>
      <c r="D84" s="84">
        <f>SUMIF(E$17:E$75,"*Accounting, Business Tax, VA, L&amp;D*",I$17:I$75)</f>
        <v>101</v>
      </c>
      <c r="E84" s="84">
        <f>SUMIF(E$17:E$75,"*Accounting, Business Tax, VA, L&amp;D*",J$17:J$75)</f>
        <v>101</v>
      </c>
      <c r="F84" s="84">
        <f>SUMIF(E$17:E$75,"*Accounting, Business Tax, VA, L&amp;D*",L$17:L$75)</f>
        <v>59</v>
      </c>
      <c r="G84" s="86">
        <f t="shared" si="14"/>
        <v>0.63124999999999998</v>
      </c>
      <c r="H84" s="86">
        <f t="shared" si="15"/>
        <v>0.63124999999999998</v>
      </c>
    </row>
    <row r="85" spans="1:8" x14ac:dyDescent="0.2">
      <c r="A85" s="61" t="s">
        <v>413</v>
      </c>
      <c r="B85" s="60">
        <f>COUNTIF(E$17:E$75,"*Accounting, FP&amp;A*")</f>
        <v>0</v>
      </c>
      <c r="C85" s="82">
        <f>SUMIF(E$17:E$75,"*Accounting, FP&amp;A*",H$17:H$75)</f>
        <v>0</v>
      </c>
      <c r="D85" s="84">
        <f>SUMIF(E$17:E$75,"*Accounting, FP&amp;A*",I$17:I$75)</f>
        <v>0</v>
      </c>
      <c r="E85" s="84">
        <f>SUMIF(E$17:E$75,"*Accounting, FP&amp;A*",J$17:J$75)</f>
        <v>0</v>
      </c>
      <c r="F85" s="84">
        <f>SUMIF(E$17:E$75,"*Accounting, FP&amp;A*",L$17:L$75)</f>
        <v>0</v>
      </c>
      <c r="G85" s="86">
        <f t="shared" si="14"/>
        <v>0</v>
      </c>
      <c r="H85" s="86">
        <f t="shared" si="15"/>
        <v>0</v>
      </c>
    </row>
    <row r="86" spans="1:8" x14ac:dyDescent="0.2">
      <c r="A86" s="61" t="s">
        <v>330</v>
      </c>
      <c r="B86" s="60">
        <f>COUNTIF(E$17:E$75,"*Accounting, L&amp;D*")</f>
        <v>0</v>
      </c>
      <c r="C86" s="82">
        <f>SUMIF(E$17:E$75,"*Accounting, L&amp;D*",H$17:H$75)</f>
        <v>0</v>
      </c>
      <c r="D86" s="84">
        <f>SUMIF(E$17:E$75,"*Accounting, L&amp;D*",I$17:I$75)</f>
        <v>0</v>
      </c>
      <c r="E86" s="84">
        <f>SUMIF(E$17:E$75,"*Accounting, L&amp;D*",J$17:J$75)</f>
        <v>0</v>
      </c>
      <c r="F86" s="84">
        <f>SUMIF(E$17:E$75,"*Accounting, L&amp;D*",L$17:L$75)</f>
        <v>0</v>
      </c>
      <c r="G86" s="86">
        <f t="shared" si="14"/>
        <v>0</v>
      </c>
      <c r="H86" s="86">
        <f t="shared" si="15"/>
        <v>0</v>
      </c>
    </row>
    <row r="87" spans="1:8" x14ac:dyDescent="0.2">
      <c r="A87" s="61" t="s">
        <v>238</v>
      </c>
      <c r="B87" s="60">
        <f>COUNTIF(E$17:E$75,"*FP&amp;A*")</f>
        <v>6</v>
      </c>
      <c r="C87" s="82">
        <f>SUMIF(E$17:E$75,"*FP&amp;A*",H$17:H$75)</f>
        <v>960</v>
      </c>
      <c r="D87" s="84">
        <f>SUMIF(E$17:E$75,"*FP&amp;A*",I$17:I$75)</f>
        <v>839.65</v>
      </c>
      <c r="E87" s="84">
        <f>SUMIF(E$17:E$75,"*FP&amp;A*",J$17:J$75)</f>
        <v>726.63</v>
      </c>
      <c r="F87" s="84">
        <f>SUMIF(E$17:E$75,"*FP&amp;A*",L$17:L$75)</f>
        <v>120.35</v>
      </c>
      <c r="G87" s="86">
        <f t="shared" si="14"/>
        <v>0.87463541666666667</v>
      </c>
      <c r="H87" s="86">
        <f t="shared" si="15"/>
        <v>0.75690625</v>
      </c>
    </row>
    <row r="88" spans="1:8" x14ac:dyDescent="0.2">
      <c r="A88" s="61" t="s">
        <v>184</v>
      </c>
      <c r="B88" s="60">
        <f>COUNTIF(E$17:E$75,"*HR*")</f>
        <v>5</v>
      </c>
      <c r="C88" s="82">
        <f>SUMIF(E$17:E$75,"*HR*",H$17:H$75)</f>
        <v>800</v>
      </c>
      <c r="D88" s="84">
        <f>SUMIF(E$17:E$75,"*HR*",I$17:I$75)</f>
        <v>329.42</v>
      </c>
      <c r="E88" s="84">
        <f>SUMIF(E$17:E$75,"*HR*",J$17:J$75)</f>
        <v>321.42</v>
      </c>
      <c r="F88" s="84">
        <f>SUMIF(E$17:E$75,"*HR*",L$17:L$75)</f>
        <v>470.58000000000004</v>
      </c>
      <c r="G88" s="86">
        <f t="shared" si="14"/>
        <v>0.411775</v>
      </c>
      <c r="H88" s="86">
        <f t="shared" si="15"/>
        <v>0.40177499999999999</v>
      </c>
    </row>
    <row r="89" spans="1:8" x14ac:dyDescent="0.2">
      <c r="A89" s="61" t="s">
        <v>405</v>
      </c>
      <c r="B89" s="60">
        <f>COUNTIF(E$17:E$75,"*HR, IT*")</f>
        <v>0</v>
      </c>
      <c r="C89" s="82">
        <f>SUMIF(E$17:E$75,"*HR, IT*",H$17:H$75)</f>
        <v>0</v>
      </c>
      <c r="D89" s="84">
        <f>SUMIF(E$17:E$75,"*HR, IT*",I$17:I$75)</f>
        <v>0</v>
      </c>
      <c r="E89" s="84">
        <f>SUMIF(E$17:E$75,"*HR, IT*",J$17:J$75)</f>
        <v>0</v>
      </c>
      <c r="F89" s="84">
        <f>SUMIF(E$17:E$75,"*HR, IT*",L$17:L$75)</f>
        <v>0</v>
      </c>
      <c r="G89" s="86">
        <f t="shared" si="14"/>
        <v>0</v>
      </c>
      <c r="H89" s="86">
        <f t="shared" si="15"/>
        <v>0</v>
      </c>
    </row>
    <row r="90" spans="1:8" x14ac:dyDescent="0.2">
      <c r="A90" s="61" t="s">
        <v>351</v>
      </c>
      <c r="B90" s="60">
        <f>COUNTIF(E$17:E$75,"*IT*")</f>
        <v>1</v>
      </c>
      <c r="C90" s="82">
        <f>SUMIF(E$17:E$75,"*IT*",H$17:H$75)</f>
        <v>160</v>
      </c>
      <c r="D90" s="84">
        <f>SUMIF(E$17:E$75,"*IT*",I$17:I$75)</f>
        <v>0</v>
      </c>
      <c r="E90" s="84">
        <f>SUMIF(E$17:E$75,"*IT*",J$17:J$75)</f>
        <v>0</v>
      </c>
      <c r="F90" s="84">
        <f>SUMIF(E$17:E$75,"*IT*",L$17:L$75)</f>
        <v>160</v>
      </c>
      <c r="G90" s="86">
        <f t="shared" si="14"/>
        <v>0</v>
      </c>
      <c r="H90" s="86">
        <f t="shared" si="15"/>
        <v>0</v>
      </c>
    </row>
    <row r="91" spans="1:8" x14ac:dyDescent="0.2">
      <c r="A91" s="61" t="s">
        <v>221</v>
      </c>
      <c r="B91" s="60">
        <f>COUNTIF(E$17:E$75,"*Individual Tax*")</f>
        <v>7</v>
      </c>
      <c r="C91" s="82">
        <f>SUMIF(E$17:E$75,"*Individual Tax*",H$17:H$75)</f>
        <v>1120</v>
      </c>
      <c r="D91" s="84">
        <f>SUMIF(E$17:E$75,"*Individual Tax*",I$17:I$75)</f>
        <v>621.61</v>
      </c>
      <c r="E91" s="84">
        <f>SUMIF(E$17:E$75,"*Individual Tax*",J$17:J$75)</f>
        <v>621.61</v>
      </c>
      <c r="F91" s="84">
        <f>SUMIF(E$17:E$75,"*Individual Tax*",L$17:L$75)</f>
        <v>498.39</v>
      </c>
      <c r="G91" s="86">
        <f t="shared" si="14"/>
        <v>0.55500892857142858</v>
      </c>
      <c r="H91" s="86">
        <f t="shared" si="15"/>
        <v>0.55500892857142858</v>
      </c>
    </row>
    <row r="92" spans="1:8" x14ac:dyDescent="0.2">
      <c r="A92" s="61" t="s">
        <v>305</v>
      </c>
      <c r="B92" s="60">
        <f>COUNTIF(E$17:E$75,"*Individual Tax, Business Tax*")</f>
        <v>1</v>
      </c>
      <c r="C92" s="82">
        <f>SUMIF(E$17:E$75,"*Individual Tax, Business Tax*",H$17:H$75)</f>
        <v>160</v>
      </c>
      <c r="D92" s="84">
        <f>SUMIF(E$17:E$75,"*Individual Tax, Business Tax*",I$17:I$75)</f>
        <v>0</v>
      </c>
      <c r="E92" s="84">
        <f>SUMIF(E$17:E$75,"*Individual Tax, Business Tax*",J$17:J$75)</f>
        <v>0</v>
      </c>
      <c r="F92" s="84">
        <f>SUMIF(E$17:E$75,"*Individual Tax, Business Tax*",L$17:L$75)</f>
        <v>160</v>
      </c>
      <c r="G92" s="86">
        <f t="shared" si="14"/>
        <v>0</v>
      </c>
      <c r="H92" s="86">
        <f t="shared" si="15"/>
        <v>0</v>
      </c>
    </row>
    <row r="93" spans="1:8" x14ac:dyDescent="0.2">
      <c r="A93" s="61" t="s">
        <v>382</v>
      </c>
      <c r="B93" s="60">
        <f>COUNTIF(E$17:E$75,"*Marketing*")</f>
        <v>1</v>
      </c>
      <c r="C93" s="82">
        <f>SUMIF(E$17:E$75,"*Marketing*",H$17:H$75)</f>
        <v>160</v>
      </c>
      <c r="D93" s="84">
        <f>SUMIF(E$17:E$75,"*Marketing*",I$17:I$75)</f>
        <v>32</v>
      </c>
      <c r="E93" s="84">
        <f>SUMIF(E$17:E$75,"*Marketing*",J$17:J$75)</f>
        <v>24</v>
      </c>
      <c r="F93" s="84">
        <f>SUMIF(E$17:E$75,"*Marketing*",L$17:L$75)</f>
        <v>128</v>
      </c>
      <c r="G93" s="86">
        <f t="shared" si="14"/>
        <v>0.2</v>
      </c>
      <c r="H93" s="86">
        <f t="shared" si="15"/>
        <v>0.15</v>
      </c>
    </row>
    <row r="96" spans="1:8" x14ac:dyDescent="0.2">
      <c r="A96" s="148" t="s">
        <v>901</v>
      </c>
      <c r="B96" s="148"/>
      <c r="C96" s="148"/>
      <c r="D96" s="148"/>
      <c r="E96" s="148"/>
      <c r="F96" s="148"/>
      <c r="G96" s="148"/>
    </row>
    <row r="97" spans="1:8" x14ac:dyDescent="0.2">
      <c r="A97" s="81" t="s">
        <v>66</v>
      </c>
      <c r="B97" s="81" t="s">
        <v>899</v>
      </c>
      <c r="C97" s="81" t="s">
        <v>890</v>
      </c>
      <c r="D97" s="81" t="s">
        <v>900</v>
      </c>
      <c r="E97" s="81" t="s">
        <v>892</v>
      </c>
      <c r="F97" s="81" t="s">
        <v>894</v>
      </c>
      <c r="G97" s="81" t="s">
        <v>895</v>
      </c>
      <c r="H97" s="81" t="s">
        <v>896</v>
      </c>
    </row>
    <row r="98" spans="1:8" x14ac:dyDescent="0.2">
      <c r="A98" s="61" t="s">
        <v>159</v>
      </c>
      <c r="B98" s="60">
        <f>COUNTIF(G$17:G$75,"--")</f>
        <v>7</v>
      </c>
      <c r="C98" s="82">
        <f>SUMIF(G$17:G$75,"--",H$17:H$75)</f>
        <v>1120</v>
      </c>
      <c r="D98" s="84">
        <f>SUMIF(G$17:G$75,"--",I$17:I$75)</f>
        <v>370.32</v>
      </c>
      <c r="E98" s="84">
        <f>SUMIF(G$17:G$75,"--",J$17:J$75)</f>
        <v>370.32</v>
      </c>
      <c r="F98" s="84">
        <f>SUMIF(G$17:G$75,"--",L$17:L$75)</f>
        <v>749.68000000000006</v>
      </c>
      <c r="G98" s="86">
        <f t="shared" ref="G98:G110" si="16">IF(C98=0,0,D98/C98)</f>
        <v>0.33064285714285713</v>
      </c>
      <c r="H98" s="86">
        <f t="shared" ref="H98:H110" si="17">IF(C98=0,0,E98/C98)</f>
        <v>0.33064285714285713</v>
      </c>
    </row>
    <row r="99" spans="1:8" x14ac:dyDescent="0.2">
      <c r="A99" s="61" t="s">
        <v>404</v>
      </c>
      <c r="B99" s="60">
        <f>COUNTIF(G$17:G$75,"Akhilesh Sirvi")</f>
        <v>0</v>
      </c>
      <c r="C99" s="82">
        <f>SUMIF(G$17:G$75,"Akhilesh Sirvi",H$17:H$75)</f>
        <v>0</v>
      </c>
      <c r="D99" s="84">
        <f>SUMIF(G$17:G$75,"Akhilesh Sirvi",I$17:I$75)</f>
        <v>0</v>
      </c>
      <c r="E99" s="84">
        <f>SUMIF(G$17:G$75,"Akhilesh Sirvi",J$17:J$75)</f>
        <v>0</v>
      </c>
      <c r="F99" s="84">
        <f>SUMIF(G$17:G$75,"Akhilesh Sirvi",L$17:L$75)</f>
        <v>0</v>
      </c>
      <c r="G99" s="86">
        <f t="shared" si="16"/>
        <v>0</v>
      </c>
      <c r="H99" s="86">
        <f t="shared" si="17"/>
        <v>0</v>
      </c>
    </row>
    <row r="100" spans="1:8" x14ac:dyDescent="0.2">
      <c r="A100" s="61" t="s">
        <v>269</v>
      </c>
      <c r="B100" s="60">
        <f>COUNTIF(G$17:G$75,"Ammie")</f>
        <v>1</v>
      </c>
      <c r="C100" s="82">
        <f>SUMIF(G$17:G$75,"Ammie",H$17:H$75)</f>
        <v>160</v>
      </c>
      <c r="D100" s="84">
        <f>SUMIF(G$17:G$75,"Ammie",I$17:I$75)</f>
        <v>0</v>
      </c>
      <c r="E100" s="84">
        <f>SUMIF(G$17:G$75,"Ammie",J$17:J$75)</f>
        <v>0</v>
      </c>
      <c r="F100" s="84">
        <f>SUMIF(G$17:G$75,"Ammie",L$17:L$75)</f>
        <v>160</v>
      </c>
      <c r="G100" s="86">
        <f t="shared" si="16"/>
        <v>0</v>
      </c>
      <c r="H100" s="86">
        <f t="shared" si="17"/>
        <v>0</v>
      </c>
    </row>
    <row r="101" spans="1:8" x14ac:dyDescent="0.2">
      <c r="A101" s="61" t="s">
        <v>194</v>
      </c>
      <c r="B101" s="60">
        <f>COUNTIF(G$17:G$75,"Ayushi")</f>
        <v>7</v>
      </c>
      <c r="C101" s="82">
        <f>SUMIF(G$17:G$75,"Ayushi",H$17:H$75)</f>
        <v>1120</v>
      </c>
      <c r="D101" s="84">
        <f>SUMIF(G$17:G$75,"Ayushi",I$17:I$75)</f>
        <v>827.1</v>
      </c>
      <c r="E101" s="84">
        <f>SUMIF(G$17:G$75,"Ayushi",J$17:J$75)</f>
        <v>752.62</v>
      </c>
      <c r="F101" s="84">
        <f>SUMIF(G$17:G$75,"Ayushi",L$17:L$75)</f>
        <v>292.89999999999998</v>
      </c>
      <c r="G101" s="86">
        <f t="shared" si="16"/>
        <v>0.73848214285714286</v>
      </c>
      <c r="H101" s="86">
        <f t="shared" si="17"/>
        <v>0.67198214285714286</v>
      </c>
    </row>
    <row r="102" spans="1:8" x14ac:dyDescent="0.2">
      <c r="A102" s="61" t="s">
        <v>145</v>
      </c>
      <c r="B102" s="60">
        <f>COUNTIF(G$17:G$75,"Jasleen.D")</f>
        <v>10</v>
      </c>
      <c r="C102" s="82">
        <f>SUMIF(G$17:G$75,"Jasleen.D",H$17:H$75)</f>
        <v>1600</v>
      </c>
      <c r="D102" s="84">
        <f>SUMIF(G$17:G$75,"Jasleen.D",I$17:I$75)</f>
        <v>1435.0819999999999</v>
      </c>
      <c r="E102" s="84">
        <f>SUMIF(G$17:G$75,"Jasleen.D",J$17:J$75)</f>
        <v>1435.07</v>
      </c>
      <c r="F102" s="84">
        <f>SUMIF(G$17:G$75,"Jasleen.D",L$17:L$75)</f>
        <v>164.91800000000001</v>
      </c>
      <c r="G102" s="86">
        <f t="shared" si="16"/>
        <v>0.89692624999999992</v>
      </c>
      <c r="H102" s="86">
        <f t="shared" si="17"/>
        <v>0.89691874999999999</v>
      </c>
    </row>
    <row r="103" spans="1:8" x14ac:dyDescent="0.2">
      <c r="A103" s="61" t="s">
        <v>177</v>
      </c>
      <c r="B103" s="60">
        <f>COUNTIF(G$17:G$75,"Jyoti")</f>
        <v>4</v>
      </c>
      <c r="C103" s="82">
        <f>SUMIF(G$17:G$75,"Jyoti",H$17:H$75)</f>
        <v>640</v>
      </c>
      <c r="D103" s="84">
        <f>SUMIF(G$17:G$75,"Jyoti",I$17:I$75)</f>
        <v>585.33000000000004</v>
      </c>
      <c r="E103" s="84">
        <f>SUMIF(G$17:G$75,"Jyoti",J$17:J$75)</f>
        <v>568.33000000000004</v>
      </c>
      <c r="F103" s="84">
        <f>SUMIF(G$17:G$75,"Jyoti",L$17:L$75)</f>
        <v>54.67</v>
      </c>
      <c r="G103" s="86">
        <f t="shared" si="16"/>
        <v>0.91457812500000002</v>
      </c>
      <c r="H103" s="86">
        <f t="shared" si="17"/>
        <v>0.88801562500000009</v>
      </c>
    </row>
    <row r="104" spans="1:8" x14ac:dyDescent="0.2">
      <c r="A104" s="61" t="s">
        <v>199</v>
      </c>
      <c r="B104" s="60">
        <f>COUNTIF(G$17:G$75,"Nikita Shah")</f>
        <v>12</v>
      </c>
      <c r="C104" s="82">
        <f>SUMIF(G$17:G$75,"Nikita Shah",H$17:H$75)</f>
        <v>1920</v>
      </c>
      <c r="D104" s="84">
        <f>SUMIF(G$17:G$75,"Nikita Shah",I$17:I$75)</f>
        <v>1071.5500000000002</v>
      </c>
      <c r="E104" s="84">
        <f>SUMIF(G$17:G$75,"Nikita Shah",J$17:J$75)</f>
        <v>1065.21</v>
      </c>
      <c r="F104" s="84">
        <f>SUMIF(G$17:G$75,"Nikita Shah",L$17:L$75)</f>
        <v>848.44999999999993</v>
      </c>
      <c r="G104" s="86">
        <f t="shared" si="16"/>
        <v>0.55809895833333345</v>
      </c>
      <c r="H104" s="86">
        <f t="shared" si="17"/>
        <v>0.55479687499999997</v>
      </c>
    </row>
    <row r="105" spans="1:8" x14ac:dyDescent="0.2">
      <c r="A105" s="61" t="s">
        <v>237</v>
      </c>
      <c r="B105" s="60">
        <f>COUNTIF(G$17:G$75,"Sachi Mazumdar")</f>
        <v>5</v>
      </c>
      <c r="C105" s="82">
        <f>SUMIF(G$17:G$75,"Sachi Mazumdar",H$17:H$75)</f>
        <v>800</v>
      </c>
      <c r="D105" s="84">
        <f>SUMIF(G$17:G$75,"Sachi Mazumdar",I$17:I$75)</f>
        <v>681</v>
      </c>
      <c r="E105" s="84">
        <f>SUMIF(G$17:G$75,"Sachi Mazumdar",J$17:J$75)</f>
        <v>590</v>
      </c>
      <c r="F105" s="84">
        <f>SUMIF(G$17:G$75,"Sachi Mazumdar",L$17:L$75)</f>
        <v>119</v>
      </c>
      <c r="G105" s="86">
        <f t="shared" si="16"/>
        <v>0.85124999999999995</v>
      </c>
      <c r="H105" s="86">
        <f t="shared" si="17"/>
        <v>0.73750000000000004</v>
      </c>
    </row>
    <row r="106" spans="1:8" x14ac:dyDescent="0.2">
      <c r="A106" s="61" t="s">
        <v>329</v>
      </c>
      <c r="B106" s="60">
        <f>COUNTIF(G$17:G$75,"Sarah")</f>
        <v>0</v>
      </c>
      <c r="C106" s="82">
        <f>SUMIF(G$17:G$75,"Sarah",H$17:H$75)</f>
        <v>0</v>
      </c>
      <c r="D106" s="84">
        <f>SUMIF(G$17:G$75,"Sarah",I$17:I$75)</f>
        <v>0</v>
      </c>
      <c r="E106" s="84">
        <f>SUMIF(G$17:G$75,"Sarah",J$17:J$75)</f>
        <v>0</v>
      </c>
      <c r="F106" s="84">
        <f>SUMIF(G$17:G$75,"Sarah",L$17:L$75)</f>
        <v>0</v>
      </c>
      <c r="G106" s="86">
        <f t="shared" si="16"/>
        <v>0</v>
      </c>
      <c r="H106" s="86">
        <f t="shared" si="17"/>
        <v>0</v>
      </c>
    </row>
    <row r="107" spans="1:8" x14ac:dyDescent="0.2">
      <c r="A107" s="61" t="s">
        <v>220</v>
      </c>
      <c r="B107" s="60">
        <f>COUNTIF(G$17:G$75,"Smriti Shah")</f>
        <v>5</v>
      </c>
      <c r="C107" s="82">
        <f>SUMIF(G$17:G$75,"Smriti Shah",H$17:H$75)</f>
        <v>800</v>
      </c>
      <c r="D107" s="84">
        <f>SUMIF(G$17:G$75,"Smriti Shah",I$17:I$75)</f>
        <v>621.61</v>
      </c>
      <c r="E107" s="84">
        <f>SUMIF(G$17:G$75,"Smriti Shah",J$17:J$75)</f>
        <v>621.61</v>
      </c>
      <c r="F107" s="84">
        <f>SUMIF(G$17:G$75,"Smriti Shah",L$17:L$75)</f>
        <v>178.39000000000001</v>
      </c>
      <c r="G107" s="86">
        <f t="shared" si="16"/>
        <v>0.77701249999999999</v>
      </c>
      <c r="H107" s="86">
        <f t="shared" si="17"/>
        <v>0.77701249999999999</v>
      </c>
    </row>
    <row r="108" spans="1:8" x14ac:dyDescent="0.2">
      <c r="A108" s="61" t="s">
        <v>261</v>
      </c>
      <c r="B108" s="60">
        <f>COUNTIF(G$17:G$75,"Sukhmeen.K")</f>
        <v>2</v>
      </c>
      <c r="C108" s="82">
        <f>SUMIF(G$17:G$75,"Sukhmeen.K",H$17:H$75)</f>
        <v>320</v>
      </c>
      <c r="D108" s="84">
        <f>SUMIF(G$17:G$75,"Sukhmeen.K",I$17:I$75)</f>
        <v>166.37</v>
      </c>
      <c r="E108" s="84">
        <f>SUMIF(G$17:G$75,"Sukhmeen.K",J$17:J$75)</f>
        <v>142.02000000000001</v>
      </c>
      <c r="F108" s="84">
        <f>SUMIF(G$17:G$75,"Sukhmeen.K",L$17:L$75)</f>
        <v>153.63</v>
      </c>
      <c r="G108" s="86">
        <f t="shared" si="16"/>
        <v>0.51990625000000001</v>
      </c>
      <c r="H108" s="86">
        <f t="shared" si="17"/>
        <v>0.44381250000000005</v>
      </c>
    </row>
    <row r="109" spans="1:8" x14ac:dyDescent="0.2">
      <c r="A109" s="61" t="s">
        <v>472</v>
      </c>
      <c r="B109" s="60">
        <f>COUNTIF(G$17:G$75,"Tithi Gandhi")</f>
        <v>1</v>
      </c>
      <c r="C109" s="82">
        <f>SUMIF(G$17:G$75,"Tithi Gandhi",H$17:H$75)</f>
        <v>160</v>
      </c>
      <c r="D109" s="84">
        <f>SUMIF(G$17:G$75,"Tithi Gandhi",I$17:I$75)</f>
        <v>158.65</v>
      </c>
      <c r="E109" s="84">
        <f>SUMIF(G$17:G$75,"Tithi Gandhi",J$17:J$75)</f>
        <v>136.63</v>
      </c>
      <c r="F109" s="84">
        <f>SUMIF(G$17:G$75,"Tithi Gandhi",L$17:L$75)</f>
        <v>1.3499999999999943</v>
      </c>
      <c r="G109" s="86">
        <f t="shared" si="16"/>
        <v>0.99156250000000001</v>
      </c>
      <c r="H109" s="86">
        <f t="shared" si="17"/>
        <v>0.85393750000000002</v>
      </c>
    </row>
    <row r="110" spans="1:8" x14ac:dyDescent="0.2">
      <c r="A110" s="61" t="s">
        <v>202</v>
      </c>
      <c r="B110" s="60">
        <f>COUNTIF(G$17:G$75,"Vinita Dagar")</f>
        <v>4</v>
      </c>
      <c r="C110" s="82">
        <f>SUMIF(G$17:G$75,"Vinita Dagar",H$17:H$75)</f>
        <v>640</v>
      </c>
      <c r="D110" s="84">
        <f>SUMIF(G$17:G$75,"Vinita Dagar",I$17:I$75)</f>
        <v>319</v>
      </c>
      <c r="E110" s="84">
        <f>SUMIF(G$17:G$75,"Vinita Dagar",J$17:J$75)</f>
        <v>311</v>
      </c>
      <c r="F110" s="84">
        <f>SUMIF(G$17:G$75,"Vinita Dagar",L$17:L$75)</f>
        <v>321</v>
      </c>
      <c r="G110" s="86">
        <f t="shared" si="16"/>
        <v>0.49843749999999998</v>
      </c>
      <c r="H110" s="86">
        <f t="shared" si="17"/>
        <v>0.48593750000000002</v>
      </c>
    </row>
  </sheetData>
  <autoFilter ref="A16:Q76" xr:uid="{00000000-0001-0000-0B00-000000000000}">
    <filterColumn colId="3">
      <filters>
        <filter val="In-house"/>
        <filter val="Retainer"/>
      </filters>
    </filterColumn>
  </autoFilter>
  <mergeCells count="6">
    <mergeCell ref="A96:G96"/>
    <mergeCell ref="A1:Q1"/>
    <mergeCell ref="A2:Q2"/>
    <mergeCell ref="A4:E4"/>
    <mergeCell ref="A15:E15"/>
    <mergeCell ref="A79:G79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D47A1"/>
  </sheetPr>
  <dimension ref="A1:V19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4" sqref="N4:N19"/>
    </sheetView>
  </sheetViews>
  <sheetFormatPr baseColWidth="10" defaultColWidth="8.6640625" defaultRowHeight="15" customHeight="1" x14ac:dyDescent="0.2"/>
  <cols>
    <col min="1" max="1" width="20" customWidth="1"/>
    <col min="2" max="4" width="9" customWidth="1"/>
    <col min="5" max="5" width="8" customWidth="1"/>
    <col min="6" max="9" width="9" customWidth="1"/>
    <col min="10" max="10" width="8" customWidth="1"/>
    <col min="11" max="12" width="11" customWidth="1"/>
    <col min="13" max="13" width="8" customWidth="1"/>
    <col min="14" max="14" width="12" customWidth="1"/>
    <col min="15" max="15" width="8" customWidth="1"/>
    <col min="16" max="16" width="12" customWidth="1"/>
    <col min="17" max="18" width="14" customWidth="1"/>
    <col min="19" max="20" width="8" customWidth="1"/>
    <col min="21" max="22" width="12" customWidth="1"/>
  </cols>
  <sheetData>
    <row r="1" spans="1:22" ht="17.25" customHeight="1" x14ac:dyDescent="0.2">
      <c r="A1" s="152" t="s">
        <v>902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5" customHeight="1" x14ac:dyDescent="0.2">
      <c r="A2" s="145" t="s">
        <v>903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</row>
    <row r="3" spans="1:22" ht="34.5" customHeight="1" x14ac:dyDescent="0.2">
      <c r="A3" s="88" t="s">
        <v>66</v>
      </c>
      <c r="B3" s="89" t="s">
        <v>904</v>
      </c>
      <c r="C3" s="89" t="s">
        <v>905</v>
      </c>
      <c r="D3" s="89" t="s">
        <v>906</v>
      </c>
      <c r="E3" s="89" t="s">
        <v>907</v>
      </c>
      <c r="F3" s="89" t="s">
        <v>908</v>
      </c>
      <c r="G3" s="89" t="s">
        <v>909</v>
      </c>
      <c r="H3" s="89" t="s">
        <v>910</v>
      </c>
      <c r="I3" s="89" t="s">
        <v>911</v>
      </c>
      <c r="J3" s="89" t="s">
        <v>912</v>
      </c>
      <c r="K3" s="90" t="s">
        <v>913</v>
      </c>
      <c r="L3" s="90" t="s">
        <v>914</v>
      </c>
      <c r="M3" s="90" t="s">
        <v>915</v>
      </c>
      <c r="N3" s="91" t="s">
        <v>916</v>
      </c>
      <c r="O3" s="91" t="s">
        <v>917</v>
      </c>
      <c r="P3" s="91" t="s">
        <v>918</v>
      </c>
      <c r="Q3" s="91" t="s">
        <v>919</v>
      </c>
      <c r="R3" s="91" t="s">
        <v>920</v>
      </c>
      <c r="S3" s="91" t="s">
        <v>921</v>
      </c>
      <c r="T3" s="91" t="s">
        <v>922</v>
      </c>
      <c r="U3" s="91" t="s">
        <v>923</v>
      </c>
      <c r="V3" s="91" t="s">
        <v>924</v>
      </c>
    </row>
    <row r="4" spans="1:22" ht="15" customHeight="1" x14ac:dyDescent="0.2">
      <c r="A4" s="61" t="str">
        <f>'Controller KPIs'!B4</f>
        <v>Nikita Shah</v>
      </c>
      <c r="B4" s="92">
        <f>IF(A4="","",COUNTIFS('Employee Master'!G$4:G$203,"*"&amp;A4&amp;"*",'Employee Master'!E$4:E$203,"Associate"))</f>
        <v>10</v>
      </c>
      <c r="C4" s="92">
        <f>IF(A4="","",COUNTIFS('Employee Master'!G$4:G$203,"*"&amp;A4&amp;"*",'Employee Master'!E$4:E$203,"Sr. Associate"))</f>
        <v>10</v>
      </c>
      <c r="D4" s="92">
        <f>IF(A4="","",COUNTIFS('Employee Master'!G$4:G$203,"*"&amp;A4&amp;"*",'Employee Master'!E$4:E$203,"Asst. Team Lead"))</f>
        <v>6</v>
      </c>
      <c r="E4" s="92">
        <f>IF(A4="","",COUNTIFS('Employee Master'!G$4:G$203,"*"&amp;A4&amp;"*",'Employee Master'!E$4:E$203,"Team Lead"))</f>
        <v>2</v>
      </c>
      <c r="F4" s="92">
        <f>IF(A4="","",COUNTIFS('Employee Master'!G$4:G$203,"*"&amp;A4&amp;"*",'Employee Master'!E$4:E$203,"Asst. Manager"))</f>
        <v>0</v>
      </c>
      <c r="G4" s="92">
        <f>IF(A4="","",COUNTIFS('Employee Master'!G$4:G$203,"*"&amp;A4&amp;"*",'Employee Master'!E$4:E$203,"Manager"))</f>
        <v>3</v>
      </c>
      <c r="H4" s="92">
        <f>IF(A4="","",COUNTIFS('Employee Master'!G$4:G$203,"*"&amp;A4&amp;"*",'Employee Master'!E$4:E$203,"Sr. Manager"))</f>
        <v>0</v>
      </c>
      <c r="I4" s="92">
        <f>IF(A4="","",COUNTIFS('Employee Master'!G$4:G$203,"*"&amp;A4&amp;"*",'Employee Master'!E$4:E$203,"Asst. Controller"))</f>
        <v>0</v>
      </c>
      <c r="J4" s="93">
        <f t="shared" ref="J4:J28" si="0">IF(A4="","",SUM(B4:I4))</f>
        <v>31</v>
      </c>
      <c r="K4" s="94">
        <f>IF(A4="","",SUMPRODUCT(('⑦ Controller-Firm Map'!A$4:A$91=A4)*IF(COUNTIFS('⑦ Controller-Firm Map'!B$4:B$91,'⑦ Controller-Firm Map'!B$4:B$91,'⑦ Controller-Firm Map'!A$4:A$91,A4)=0,0,1/COUNTIFS('⑦ Controller-Firm Map'!B$4:B$91,'⑦ Controller-Firm Map'!B$4:B$91,'⑦ Controller-Firm Map'!A$4:A$91,A4))))</f>
        <v>26</v>
      </c>
      <c r="L4" s="94">
        <f>IF(A4="","",COUNTIF('⑦ Controller-Firm Map'!A$4:A$91,A4))</f>
        <v>26</v>
      </c>
      <c r="M4" s="95">
        <f>IF(A4="","",SUMIF('⑦ Controller-Firm Map'!A$4:A$91,A4,'⑦ Controller-Firm Map'!D$4:D$91))</f>
        <v>23.5</v>
      </c>
      <c r="N4" s="96">
        <f>IF(A4="","",SUMIF('Employee Master'!G$4:G$203,"*"&amp;A4&amp;"*",'Employee Master'!J$4:J$203))</f>
        <v>3305.2399999999993</v>
      </c>
      <c r="O4" s="52">
        <f>IF(A4="","",IF(J4=0,0,N4/(J4*Settings!B6)))</f>
        <v>0.66637903225806439</v>
      </c>
      <c r="P4" s="51">
        <f>IF(A4="","",SUMIF('Employee Master'!G$4:G$203,"*"&amp;A4&amp;"*",'Employee Master'!M$4:M$203))</f>
        <v>1184153</v>
      </c>
      <c r="Q4" s="51">
        <f>IF(A4="","",SUMIF('⑦ Controller-Firm Map'!A$4:A$91,A4,'⑦ Controller-Firm Map'!G$4:G$91))</f>
        <v>1813050</v>
      </c>
      <c r="R4" s="97">
        <f t="shared" ref="R4:R28" si="1">IF(A4="","",Q4-P4)</f>
        <v>628897</v>
      </c>
      <c r="S4" s="52">
        <f t="shared" ref="S4:S28" si="2">IF(A4="","",IF(P4=0,0,R4/P4))</f>
        <v>0.53109437716241059</v>
      </c>
      <c r="T4" s="50">
        <f t="shared" ref="T4:T28" si="3">IF(A4="","",IF(J4=0,0,N4/J4))</f>
        <v>106.6206451612903</v>
      </c>
      <c r="U4" s="51">
        <f t="shared" ref="U4:U28" si="4">IF(A4="","",IF(N4=0,0,P4/N4))</f>
        <v>358.26536045793961</v>
      </c>
      <c r="V4" s="27" t="str">
        <f t="shared" ref="V4:V28" si="5">IF(A4="","",IF(J4=0,"NO TEAM",IF(AND(O4&gt;=0.75,R4&gt;0),"STRONG",IF(AND(O4&gt;=0.65,R4&gt;=0),"HEALTHY",IF(O4&gt;=0.5,"REVIEW","AT RISK")))))</f>
        <v>HEALTHY</v>
      </c>
    </row>
    <row r="5" spans="1:22" ht="15" customHeight="1" x14ac:dyDescent="0.2">
      <c r="A5" s="61" t="str">
        <f>'Controller KPIs'!B5</f>
        <v>Jasleen.D</v>
      </c>
      <c r="B5" s="92">
        <f>IF(A5="","",COUNTIFS('Employee Master'!G$4:G$203,"*"&amp;A5&amp;"*",'Employee Master'!E$4:E$203,"Associate"))</f>
        <v>8</v>
      </c>
      <c r="C5" s="92">
        <f>IF(A5="","",COUNTIFS('Employee Master'!G$4:G$203,"*"&amp;A5&amp;"*",'Employee Master'!E$4:E$203,"Sr. Associate"))</f>
        <v>10</v>
      </c>
      <c r="D5" s="92">
        <f>IF(A5="","",COUNTIFS('Employee Master'!G$4:G$203,"*"&amp;A5&amp;"*",'Employee Master'!E$4:E$203,"Asst. Team Lead"))</f>
        <v>7</v>
      </c>
      <c r="E5" s="92">
        <f>IF(A5="","",COUNTIFS('Employee Master'!G$4:G$203,"*"&amp;A5&amp;"*",'Employee Master'!E$4:E$203,"Team Lead"))</f>
        <v>1</v>
      </c>
      <c r="F5" s="92">
        <f>IF(A5="","",COUNTIFS('Employee Master'!G$4:G$203,"*"&amp;A5&amp;"*",'Employee Master'!E$4:E$203,"Asst. Manager"))</f>
        <v>0</v>
      </c>
      <c r="G5" s="92">
        <f>IF(A5="","",COUNTIFS('Employee Master'!G$4:G$203,"*"&amp;A5&amp;"*",'Employee Master'!E$4:E$203,"Manager"))</f>
        <v>1</v>
      </c>
      <c r="H5" s="92">
        <f>IF(A5="","",COUNTIFS('Employee Master'!G$4:G$203,"*"&amp;A5&amp;"*",'Employee Master'!E$4:E$203,"Sr. Manager"))</f>
        <v>0</v>
      </c>
      <c r="I5" s="92">
        <f>IF(A5="","",COUNTIFS('Employee Master'!G$4:G$203,"*"&amp;A5&amp;"*",'Employee Master'!E$4:E$203,"Asst. Controller"))</f>
        <v>0</v>
      </c>
      <c r="J5" s="93">
        <f t="shared" si="0"/>
        <v>27</v>
      </c>
      <c r="K5" s="94">
        <f>IF(A5="","",SUMPRODUCT(('⑦ Controller-Firm Map'!A$4:A$91=A5)*IF(COUNTIFS('⑦ Controller-Firm Map'!B$4:B$91,'⑦ Controller-Firm Map'!B$4:B$91,'⑦ Controller-Firm Map'!A$4:A$91,A5)=0,0,1/COUNTIFS('⑦ Controller-Firm Map'!B$4:B$91,'⑦ Controller-Firm Map'!B$4:B$91,'⑦ Controller-Firm Map'!A$4:A$91,A5))))</f>
        <v>0</v>
      </c>
      <c r="L5" s="94">
        <f>IF(A5="","",COUNTIF('⑦ Controller-Firm Map'!A$4:A$91,A5))</f>
        <v>16</v>
      </c>
      <c r="M5" s="95">
        <f>IF(A5="","",SUMIF('⑦ Controller-Firm Map'!A$4:A$91,A5,'⑦ Controller-Firm Map'!D$4:D$91))</f>
        <v>22.75</v>
      </c>
      <c r="N5" s="96">
        <f>IF(A5="","",SUMIF('Employee Master'!G$4:G$203,"*"&amp;A5&amp;"*",'Employee Master'!J$4:J$203))</f>
        <v>3685.1399999999994</v>
      </c>
      <c r="O5" s="52">
        <f>IF(A5="","",IF(J5=0,0,N5/(J5*Settings!B6)))</f>
        <v>0.85304166666666659</v>
      </c>
      <c r="P5" s="51">
        <f>IF(A5="","",SUMIF('Employee Master'!G$4:G$203,"*"&amp;A5&amp;"*",'Employee Master'!M$4:M$203))</f>
        <v>1176983</v>
      </c>
      <c r="Q5" s="51">
        <f>IF(A5="","",SUMIF('⑦ Controller-Firm Map'!A$4:A$91,A5,'⑦ Controller-Firm Map'!G$4:G$91))</f>
        <v>2000900</v>
      </c>
      <c r="R5" s="97">
        <f t="shared" si="1"/>
        <v>823917</v>
      </c>
      <c r="S5" s="52">
        <f t="shared" si="2"/>
        <v>0.70002455430537225</v>
      </c>
      <c r="T5" s="50">
        <f t="shared" si="3"/>
        <v>136.48666666666665</v>
      </c>
      <c r="U5" s="51">
        <f t="shared" si="4"/>
        <v>319.38623770060303</v>
      </c>
      <c r="V5" s="27" t="str">
        <f t="shared" si="5"/>
        <v>STRONG</v>
      </c>
    </row>
    <row r="6" spans="1:22" ht="15" customHeight="1" x14ac:dyDescent="0.2">
      <c r="A6" s="61" t="str">
        <f>'Controller KPIs'!B6</f>
        <v>Ayushi</v>
      </c>
      <c r="B6" s="92">
        <f>IF(A6="","",COUNTIFS('Employee Master'!G$4:G$203,"*"&amp;A6&amp;"*",'Employee Master'!E$4:E$203,"Associate"))</f>
        <v>5</v>
      </c>
      <c r="C6" s="92">
        <f>IF(A6="","",COUNTIFS('Employee Master'!G$4:G$203,"*"&amp;A6&amp;"*",'Employee Master'!E$4:E$203,"Sr. Associate"))</f>
        <v>4</v>
      </c>
      <c r="D6" s="92">
        <f>IF(A6="","",COUNTIFS('Employee Master'!G$4:G$203,"*"&amp;A6&amp;"*",'Employee Master'!E$4:E$203,"Asst. Team Lead"))</f>
        <v>4</v>
      </c>
      <c r="E6" s="92">
        <f>IF(A6="","",COUNTIFS('Employee Master'!G$4:G$203,"*"&amp;A6&amp;"*",'Employee Master'!E$4:E$203,"Team Lead"))</f>
        <v>1</v>
      </c>
      <c r="F6" s="92">
        <f>IF(A6="","",COUNTIFS('Employee Master'!G$4:G$203,"*"&amp;A6&amp;"*",'Employee Master'!E$4:E$203,"Asst. Manager"))</f>
        <v>0</v>
      </c>
      <c r="G6" s="92">
        <f>IF(A6="","",COUNTIFS('Employee Master'!G$4:G$203,"*"&amp;A6&amp;"*",'Employee Master'!E$4:E$203,"Manager"))</f>
        <v>2</v>
      </c>
      <c r="H6" s="92">
        <f>IF(A6="","",COUNTIFS('Employee Master'!G$4:G$203,"*"&amp;A6&amp;"*",'Employee Master'!E$4:E$203,"Sr. Manager"))</f>
        <v>0</v>
      </c>
      <c r="I6" s="92">
        <f>IF(A6="","",COUNTIFS('Employee Master'!G$4:G$203,"*"&amp;A6&amp;"*",'Employee Master'!E$4:E$203,"Asst. Controller"))</f>
        <v>0</v>
      </c>
      <c r="J6" s="93">
        <f t="shared" si="0"/>
        <v>16</v>
      </c>
      <c r="K6" s="94">
        <f>IF(A6="","",SUMPRODUCT(('⑦ Controller-Firm Map'!A$4:A$91=A6)*IF(COUNTIFS('⑦ Controller-Firm Map'!B$4:B$91,'⑦ Controller-Firm Map'!B$4:B$91,'⑦ Controller-Firm Map'!A$4:A$91,A6)=0,0,1/COUNTIFS('⑦ Controller-Firm Map'!B$4:B$91,'⑦ Controller-Firm Map'!B$4:B$91,'⑦ Controller-Firm Map'!A$4:A$91,A6))))</f>
        <v>0</v>
      </c>
      <c r="L6" s="94">
        <f>IF(A6="","",COUNTIF('⑦ Controller-Firm Map'!A$4:A$91,A6))</f>
        <v>14</v>
      </c>
      <c r="M6" s="95">
        <f>IF(A6="","",SUMIF('⑦ Controller-Firm Map'!A$4:A$91,A6,'⑦ Controller-Firm Map'!D$4:D$91))</f>
        <v>14.5</v>
      </c>
      <c r="N6" s="96">
        <f>IF(A6="","",SUMIF('Employee Master'!G$4:G$203,"*"&amp;A6&amp;"*",'Employee Master'!J$4:J$203))</f>
        <v>1803.59</v>
      </c>
      <c r="O6" s="52">
        <f>IF(A6="","",IF(J6=0,0,N6/(J6*Settings!B6)))</f>
        <v>0.70452734374999992</v>
      </c>
      <c r="P6" s="51">
        <f>IF(A6="","",SUMIF('Employee Master'!G$4:G$203,"*"&amp;A6&amp;"*",'Employee Master'!M$4:M$203))</f>
        <v>592387</v>
      </c>
      <c r="Q6" s="51">
        <f>IF(A6="","",SUMIF('⑦ Controller-Firm Map'!A$4:A$91,A6,'⑦ Controller-Firm Map'!G$4:G$91))</f>
        <v>854250</v>
      </c>
      <c r="R6" s="97">
        <f t="shared" si="1"/>
        <v>261863</v>
      </c>
      <c r="S6" s="52">
        <f t="shared" si="2"/>
        <v>0.44204717524186049</v>
      </c>
      <c r="T6" s="50">
        <f t="shared" si="3"/>
        <v>112.72437499999999</v>
      </c>
      <c r="U6" s="51">
        <f t="shared" si="4"/>
        <v>328.44881597258802</v>
      </c>
      <c r="V6" s="27" t="str">
        <f t="shared" si="5"/>
        <v>HEALTHY</v>
      </c>
    </row>
    <row r="7" spans="1:22" ht="15" customHeight="1" x14ac:dyDescent="0.2">
      <c r="A7" s="61" t="str">
        <f>'Controller KPIs'!B7</f>
        <v>Jyoti</v>
      </c>
      <c r="B7" s="92">
        <f>IF(A7="","",COUNTIFS('Employee Master'!G$4:G$203,"*"&amp;A7&amp;"*",'Employee Master'!E$4:E$203,"Associate"))</f>
        <v>3</v>
      </c>
      <c r="C7" s="92">
        <f>IF(A7="","",COUNTIFS('Employee Master'!G$4:G$203,"*"&amp;A7&amp;"*",'Employee Master'!E$4:E$203,"Sr. Associate"))</f>
        <v>5</v>
      </c>
      <c r="D7" s="92">
        <f>IF(A7="","",COUNTIFS('Employee Master'!G$4:G$203,"*"&amp;A7&amp;"*",'Employee Master'!E$4:E$203,"Asst. Team Lead"))</f>
        <v>1</v>
      </c>
      <c r="E7" s="92">
        <f>IF(A7="","",COUNTIFS('Employee Master'!G$4:G$203,"*"&amp;A7&amp;"*",'Employee Master'!E$4:E$203,"Team Lead"))</f>
        <v>0</v>
      </c>
      <c r="F7" s="92">
        <f>IF(A7="","",COUNTIFS('Employee Master'!G$4:G$203,"*"&amp;A7&amp;"*",'Employee Master'!E$4:E$203,"Asst. Manager"))</f>
        <v>0</v>
      </c>
      <c r="G7" s="92">
        <f>IF(A7="","",COUNTIFS('Employee Master'!G$4:G$203,"*"&amp;A7&amp;"*",'Employee Master'!E$4:E$203,"Manager"))</f>
        <v>2</v>
      </c>
      <c r="H7" s="92">
        <f>IF(A7="","",COUNTIFS('Employee Master'!G$4:G$203,"*"&amp;A7&amp;"*",'Employee Master'!E$4:E$203,"Sr. Manager"))</f>
        <v>0</v>
      </c>
      <c r="I7" s="92">
        <f>IF(A7="","",COUNTIFS('Employee Master'!G$4:G$203,"*"&amp;A7&amp;"*",'Employee Master'!E$4:E$203,"Asst. Controller"))</f>
        <v>0</v>
      </c>
      <c r="J7" s="93">
        <f t="shared" si="0"/>
        <v>11</v>
      </c>
      <c r="K7" s="94">
        <f>IF(A7="","",SUMPRODUCT(('⑦ Controller-Firm Map'!A$4:A$91=A7)*IF(COUNTIFS('⑦ Controller-Firm Map'!B$4:B$91,'⑦ Controller-Firm Map'!B$4:B$91,'⑦ Controller-Firm Map'!A$4:A$91,A7)=0,0,1/COUNTIFS('⑦ Controller-Firm Map'!B$4:B$91,'⑦ Controller-Firm Map'!B$4:B$91,'⑦ Controller-Firm Map'!A$4:A$91,A7))))</f>
        <v>14</v>
      </c>
      <c r="L7" s="94">
        <f>IF(A7="","",COUNTIF('⑦ Controller-Firm Map'!A$4:A$91,A7))</f>
        <v>14</v>
      </c>
      <c r="M7" s="95">
        <f>IF(A7="","",SUMIF('⑦ Controller-Firm Map'!A$4:A$91,A7,'⑦ Controller-Firm Map'!D$4:D$91))</f>
        <v>9.0500000000000007</v>
      </c>
      <c r="N7" s="96">
        <f>IF(A7="","",SUMIF('Employee Master'!G$4:G$203,"*"&amp;A7&amp;"*",'Employee Master'!J$4:J$203))</f>
        <v>1433.04</v>
      </c>
      <c r="O7" s="52">
        <f>IF(A7="","",IF(J7=0,0,N7/(J7*Settings!B6)))</f>
        <v>0.81422727272727269</v>
      </c>
      <c r="P7" s="51">
        <f>IF(A7="","",SUMIF('Employee Master'!G$4:G$203,"*"&amp;A7&amp;"*",'Employee Master'!M$4:M$203))</f>
        <v>481145</v>
      </c>
      <c r="Q7" s="51">
        <f>IF(A7="","",SUMIF('⑦ Controller-Firm Map'!A$4:A$91,A7,'⑦ Controller-Firm Map'!G$4:G$91))</f>
        <v>2380850</v>
      </c>
      <c r="R7" s="97">
        <f t="shared" si="1"/>
        <v>1899705</v>
      </c>
      <c r="S7" s="52">
        <f t="shared" si="2"/>
        <v>3.9483004084007938</v>
      </c>
      <c r="T7" s="50">
        <f t="shared" si="3"/>
        <v>130.27636363636364</v>
      </c>
      <c r="U7" s="51">
        <f t="shared" si="4"/>
        <v>335.75127002735445</v>
      </c>
      <c r="V7" s="27" t="str">
        <f t="shared" si="5"/>
        <v>STRONG</v>
      </c>
    </row>
    <row r="8" spans="1:22" ht="15" customHeight="1" x14ac:dyDescent="0.2">
      <c r="A8" s="61" t="str">
        <f>'Controller KPIs'!B8</f>
        <v>Smriti Shah</v>
      </c>
      <c r="B8" s="92">
        <f>IF(A8="","",COUNTIFS('Employee Master'!G$4:G$203,"*"&amp;A8&amp;"*",'Employee Master'!E$4:E$203,"Associate"))</f>
        <v>2</v>
      </c>
      <c r="C8" s="92">
        <f>IF(A8="","",COUNTIFS('Employee Master'!G$4:G$203,"*"&amp;A8&amp;"*",'Employee Master'!E$4:E$203,"Sr. Associate"))</f>
        <v>8</v>
      </c>
      <c r="D8" s="92">
        <f>IF(A8="","",COUNTIFS('Employee Master'!G$4:G$203,"*"&amp;A8&amp;"*",'Employee Master'!E$4:E$203,"Asst. Team Lead"))</f>
        <v>1</v>
      </c>
      <c r="E8" s="92">
        <f>IF(A8="","",COUNTIFS('Employee Master'!G$4:G$203,"*"&amp;A8&amp;"*",'Employee Master'!E$4:E$203,"Team Lead"))</f>
        <v>1</v>
      </c>
      <c r="F8" s="92">
        <f>IF(A8="","",COUNTIFS('Employee Master'!G$4:G$203,"*"&amp;A8&amp;"*",'Employee Master'!E$4:E$203,"Asst. Manager"))</f>
        <v>0</v>
      </c>
      <c r="G8" s="92">
        <f>IF(A8="","",COUNTIFS('Employee Master'!G$4:G$203,"*"&amp;A8&amp;"*",'Employee Master'!E$4:E$203,"Manager"))</f>
        <v>0</v>
      </c>
      <c r="H8" s="92">
        <f>IF(A8="","",COUNTIFS('Employee Master'!G$4:G$203,"*"&amp;A8&amp;"*",'Employee Master'!E$4:E$203,"Sr. Manager"))</f>
        <v>0</v>
      </c>
      <c r="I8" s="92">
        <f>IF(A8="","",COUNTIFS('Employee Master'!G$4:G$203,"*"&amp;A8&amp;"*",'Employee Master'!E$4:E$203,"Asst. Controller"))</f>
        <v>0</v>
      </c>
      <c r="J8" s="93">
        <f t="shared" si="0"/>
        <v>12</v>
      </c>
      <c r="K8" s="94">
        <f>IF(A8="","",SUMPRODUCT(('⑦ Controller-Firm Map'!A$4:A$91=A8)*IF(COUNTIFS('⑦ Controller-Firm Map'!B$4:B$91,'⑦ Controller-Firm Map'!B$4:B$91,'⑦ Controller-Firm Map'!A$4:A$91,A8)=0,0,1/COUNTIFS('⑦ Controller-Firm Map'!B$4:B$91,'⑦ Controller-Firm Map'!B$4:B$91,'⑦ Controller-Firm Map'!A$4:A$91,A8))))</f>
        <v>0</v>
      </c>
      <c r="L8" s="94">
        <f>IF(A8="","",COUNTIF('⑦ Controller-Firm Map'!A$4:A$91,A8))</f>
        <v>0</v>
      </c>
      <c r="M8" s="95">
        <f>IF(A8="","",SUMIF('⑦ Controller-Firm Map'!A$4:A$91,A8,'⑦ Controller-Firm Map'!D$4:D$91))</f>
        <v>0</v>
      </c>
      <c r="N8" s="96">
        <f>IF(A8="","",SUMIF('Employee Master'!G$4:G$203,"*"&amp;A8&amp;"*",'Employee Master'!J$4:J$203))</f>
        <v>1100.99</v>
      </c>
      <c r="O8" s="52">
        <f>IF(A8="","",IF(J8=0,0,N8/(J8*Settings!B6)))</f>
        <v>0.57343229166666665</v>
      </c>
      <c r="P8" s="51">
        <f>IF(A8="","",SUMIF('Employee Master'!G$4:G$203,"*"&amp;A8&amp;"*",'Employee Master'!M$4:M$203))</f>
        <v>503850</v>
      </c>
      <c r="Q8" s="51">
        <f>IF(A8="","",SUMIF('⑦ Controller-Firm Map'!A$4:A$91,A8,'⑦ Controller-Firm Map'!G$4:G$91))</f>
        <v>0</v>
      </c>
      <c r="R8" s="97">
        <f t="shared" si="1"/>
        <v>-503850</v>
      </c>
      <c r="S8" s="52">
        <f t="shared" si="2"/>
        <v>-1</v>
      </c>
      <c r="T8" s="50">
        <f t="shared" si="3"/>
        <v>91.749166666666667</v>
      </c>
      <c r="U8" s="51">
        <f t="shared" si="4"/>
        <v>457.63358431956692</v>
      </c>
      <c r="V8" s="27" t="str">
        <f t="shared" si="5"/>
        <v>REVIEW</v>
      </c>
    </row>
    <row r="9" spans="1:22" ht="15" customHeight="1" x14ac:dyDescent="0.2">
      <c r="A9" s="61" t="str">
        <f>'Controller KPIs'!B9</f>
        <v>Sachi Mazumdar</v>
      </c>
      <c r="B9" s="92">
        <f>IF(A9="","",COUNTIFS('Employee Master'!G$4:G$203,"*"&amp;A9&amp;"*",'Employee Master'!E$4:E$203,"Associate"))</f>
        <v>0</v>
      </c>
      <c r="C9" s="92">
        <f>IF(A9="","",COUNTIFS('Employee Master'!G$4:G$203,"*"&amp;A9&amp;"*",'Employee Master'!E$4:E$203,"Sr. Associate"))</f>
        <v>0</v>
      </c>
      <c r="D9" s="92">
        <f>IF(A9="","",COUNTIFS('Employee Master'!G$4:G$203,"*"&amp;A9&amp;"*",'Employee Master'!E$4:E$203,"Asst. Team Lead"))</f>
        <v>0</v>
      </c>
      <c r="E9" s="92">
        <f>IF(A9="","",COUNTIFS('Employee Master'!G$4:G$203,"*"&amp;A9&amp;"*",'Employee Master'!E$4:E$203,"Team Lead"))</f>
        <v>0</v>
      </c>
      <c r="F9" s="92">
        <f>IF(A9="","",COUNTIFS('Employee Master'!G$4:G$203,"*"&amp;A9&amp;"*",'Employee Master'!E$4:E$203,"Asst. Manager"))</f>
        <v>0</v>
      </c>
      <c r="G9" s="92">
        <f>IF(A9="","",COUNTIFS('Employee Master'!G$4:G$203,"*"&amp;A9&amp;"*",'Employee Master'!E$4:E$203,"Manager"))</f>
        <v>3</v>
      </c>
      <c r="H9" s="92">
        <f>IF(A9="","",COUNTIFS('Employee Master'!G$4:G$203,"*"&amp;A9&amp;"*",'Employee Master'!E$4:E$203,"Sr. Manager"))</f>
        <v>3</v>
      </c>
      <c r="I9" s="92">
        <f>IF(A9="","",COUNTIFS('Employee Master'!G$4:G$203,"*"&amp;A9&amp;"*",'Employee Master'!E$4:E$203,"Asst. Controller"))</f>
        <v>0</v>
      </c>
      <c r="J9" s="93">
        <f t="shared" si="0"/>
        <v>6</v>
      </c>
      <c r="K9" s="94">
        <f>IF(A9="","",SUMPRODUCT(('⑦ Controller-Firm Map'!A$4:A$91=A9)*IF(COUNTIFS('⑦ Controller-Firm Map'!B$4:B$91,'⑦ Controller-Firm Map'!B$4:B$91,'⑦ Controller-Firm Map'!A$4:A$91,A9)=0,0,1/COUNTIFS('⑦ Controller-Firm Map'!B$4:B$91,'⑦ Controller-Firm Map'!B$4:B$91,'⑦ Controller-Firm Map'!A$4:A$91,A9))))</f>
        <v>0</v>
      </c>
      <c r="L9" s="94">
        <f>IF(A9="","",COUNTIF('⑦ Controller-Firm Map'!A$4:A$91,A9))</f>
        <v>1</v>
      </c>
      <c r="M9" s="95">
        <f>IF(A9="","",SUMIF('⑦ Controller-Firm Map'!A$4:A$91,A9,'⑦ Controller-Firm Map'!D$4:D$91))</f>
        <v>5</v>
      </c>
      <c r="N9" s="96">
        <f>IF(A9="","",SUMIF('Employee Master'!G$4:G$203,"*"&amp;A9&amp;"*",'Employee Master'!J$4:J$203))</f>
        <v>736</v>
      </c>
      <c r="O9" s="52">
        <f>IF(A9="","",IF(J9=0,0,N9/(J9*Settings!B6)))</f>
        <v>0.76666666666666672</v>
      </c>
      <c r="P9" s="51">
        <f>IF(A9="","",SUMIF('Employee Master'!G$4:G$203,"*"&amp;A9&amp;"*",'Employee Master'!M$4:M$203))</f>
        <v>1300002</v>
      </c>
      <c r="Q9" s="51">
        <f>IF(A9="","",SUMIF('⑦ Controller-Firm Map'!A$4:A$91,A9,'⑦ Controller-Firm Map'!G$4:G$91))</f>
        <v>0</v>
      </c>
      <c r="R9" s="97">
        <f t="shared" si="1"/>
        <v>-1300002</v>
      </c>
      <c r="S9" s="52">
        <f t="shared" si="2"/>
        <v>-1</v>
      </c>
      <c r="T9" s="50">
        <f t="shared" si="3"/>
        <v>122.66666666666667</v>
      </c>
      <c r="U9" s="51">
        <f t="shared" si="4"/>
        <v>1766.3070652173913</v>
      </c>
      <c r="V9" s="27" t="str">
        <f t="shared" si="5"/>
        <v>REVIEW</v>
      </c>
    </row>
    <row r="10" spans="1:22" ht="15" customHeight="1" x14ac:dyDescent="0.2">
      <c r="A10" s="61" t="str">
        <f>'Controller KPIs'!B10</f>
        <v>Vinita Dagar</v>
      </c>
      <c r="B10" s="92">
        <f>IF(A10="","",COUNTIFS('Employee Master'!G$4:G$203,"*"&amp;A10&amp;"*",'Employee Master'!E$4:E$203,"Associate"))</f>
        <v>4</v>
      </c>
      <c r="C10" s="92">
        <f>IF(A10="","",COUNTIFS('Employee Master'!G$4:G$203,"*"&amp;A10&amp;"*",'Employee Master'!E$4:E$203,"Sr. Associate"))</f>
        <v>1</v>
      </c>
      <c r="D10" s="92">
        <f>IF(A10="","",COUNTIFS('Employee Master'!G$4:G$203,"*"&amp;A10&amp;"*",'Employee Master'!E$4:E$203,"Asst. Team Lead"))</f>
        <v>0</v>
      </c>
      <c r="E10" s="92">
        <f>IF(A10="","",COUNTIFS('Employee Master'!G$4:G$203,"*"&amp;A10&amp;"*",'Employee Master'!E$4:E$203,"Team Lead"))</f>
        <v>0</v>
      </c>
      <c r="F10" s="92">
        <f>IF(A10="","",COUNTIFS('Employee Master'!G$4:G$203,"*"&amp;A10&amp;"*",'Employee Master'!E$4:E$203,"Asst. Manager"))</f>
        <v>1</v>
      </c>
      <c r="G10" s="92">
        <f>IF(A10="","",COUNTIFS('Employee Master'!G$4:G$203,"*"&amp;A10&amp;"*",'Employee Master'!E$4:E$203,"Manager"))</f>
        <v>1</v>
      </c>
      <c r="H10" s="92">
        <f>IF(A10="","",COUNTIFS('Employee Master'!G$4:G$203,"*"&amp;A10&amp;"*",'Employee Master'!E$4:E$203,"Sr. Manager"))</f>
        <v>0</v>
      </c>
      <c r="I10" s="92">
        <f>IF(A10="","",COUNTIFS('Employee Master'!G$4:G$203,"*"&amp;A10&amp;"*",'Employee Master'!E$4:E$203,"Asst. Controller"))</f>
        <v>0</v>
      </c>
      <c r="J10" s="93">
        <f t="shared" si="0"/>
        <v>7</v>
      </c>
      <c r="K10" s="94">
        <f>IF(A10="","",SUMPRODUCT(('⑦ Controller-Firm Map'!A$4:A$91=A10)*IF(COUNTIFS('⑦ Controller-Firm Map'!B$4:B$91,'⑦ Controller-Firm Map'!B$4:B$91,'⑦ Controller-Firm Map'!A$4:A$91,A10)=0,0,1/COUNTIFS('⑦ Controller-Firm Map'!B$4:B$91,'⑦ Controller-Firm Map'!B$4:B$91,'⑦ Controller-Firm Map'!A$4:A$91,A10))))</f>
        <v>0</v>
      </c>
      <c r="L10" s="94">
        <f>IF(A10="","",COUNTIF('⑦ Controller-Firm Map'!A$4:A$91,A10))</f>
        <v>1</v>
      </c>
      <c r="M10" s="95">
        <f>IF(A10="","",SUMIF('⑦ Controller-Firm Map'!A$4:A$91,A10,'⑦ Controller-Firm Map'!D$4:D$91))</f>
        <v>1</v>
      </c>
      <c r="N10" s="96">
        <f>IF(A10="","",SUMIF('Employee Master'!G$4:G$203,"*"&amp;A10&amp;"*",'Employee Master'!J$4:J$203))</f>
        <v>541</v>
      </c>
      <c r="O10" s="52">
        <f>IF(A10="","",IF(J10=0,0,N10/(J10*Settings!B6)))</f>
        <v>0.48303571428571429</v>
      </c>
      <c r="P10" s="51">
        <f>IF(A10="","",SUMIF('Employee Master'!G$4:G$203,"*"&amp;A10&amp;"*",'Employee Master'!M$4:M$203))</f>
        <v>198000</v>
      </c>
      <c r="Q10" s="51">
        <f>IF(A10="","",SUMIF('⑦ Controller-Firm Map'!A$4:A$91,A10,'⑦ Controller-Firm Map'!G$4:G$91))</f>
        <v>0</v>
      </c>
      <c r="R10" s="97">
        <f t="shared" si="1"/>
        <v>-198000</v>
      </c>
      <c r="S10" s="52">
        <f t="shared" si="2"/>
        <v>-1</v>
      </c>
      <c r="T10" s="50">
        <f t="shared" si="3"/>
        <v>77.285714285714292</v>
      </c>
      <c r="U10" s="51">
        <f t="shared" si="4"/>
        <v>365.98890942698705</v>
      </c>
      <c r="V10" s="27" t="str">
        <f t="shared" si="5"/>
        <v>AT RISK</v>
      </c>
    </row>
    <row r="11" spans="1:22" ht="15" customHeight="1" x14ac:dyDescent="0.2">
      <c r="A11" s="61" t="str">
        <f>'Controller KPIs'!B11</f>
        <v>Ammie</v>
      </c>
      <c r="B11" s="92">
        <f>IF(A11="","",COUNTIFS('Employee Master'!G$4:G$203,"*"&amp;A11&amp;"*",'Employee Master'!E$4:E$203,"Associate"))</f>
        <v>0</v>
      </c>
      <c r="C11" s="92">
        <f>IF(A11="","",COUNTIFS('Employee Master'!G$4:G$203,"*"&amp;A11&amp;"*",'Employee Master'!E$4:E$203,"Sr. Associate"))</f>
        <v>6</v>
      </c>
      <c r="D11" s="92">
        <f>IF(A11="","",COUNTIFS('Employee Master'!G$4:G$203,"*"&amp;A11&amp;"*",'Employee Master'!E$4:E$203,"Asst. Team Lead"))</f>
        <v>0</v>
      </c>
      <c r="E11" s="92">
        <f>IF(A11="","",COUNTIFS('Employee Master'!G$4:G$203,"*"&amp;A11&amp;"*",'Employee Master'!E$4:E$203,"Team Lead"))</f>
        <v>0</v>
      </c>
      <c r="F11" s="92">
        <f>IF(A11="","",COUNTIFS('Employee Master'!G$4:G$203,"*"&amp;A11&amp;"*",'Employee Master'!E$4:E$203,"Asst. Manager"))</f>
        <v>0</v>
      </c>
      <c r="G11" s="92">
        <f>IF(A11="","",COUNTIFS('Employee Master'!G$4:G$203,"*"&amp;A11&amp;"*",'Employee Master'!E$4:E$203,"Manager"))</f>
        <v>0</v>
      </c>
      <c r="H11" s="92">
        <f>IF(A11="","",COUNTIFS('Employee Master'!G$4:G$203,"*"&amp;A11&amp;"*",'Employee Master'!E$4:E$203,"Sr. Manager"))</f>
        <v>0</v>
      </c>
      <c r="I11" s="92">
        <f>IF(A11="","",COUNTIFS('Employee Master'!G$4:G$203,"*"&amp;A11&amp;"*",'Employee Master'!E$4:E$203,"Asst. Controller"))</f>
        <v>0</v>
      </c>
      <c r="J11" s="93">
        <f t="shared" si="0"/>
        <v>6</v>
      </c>
      <c r="K11" s="94">
        <f>IF(A11="","",SUMPRODUCT(('⑦ Controller-Firm Map'!A$4:A$91=A11)*IF(COUNTIFS('⑦ Controller-Firm Map'!B$4:B$91,'⑦ Controller-Firm Map'!B$4:B$91,'⑦ Controller-Firm Map'!A$4:A$91,A11)=0,0,1/COUNTIFS('⑦ Controller-Firm Map'!B$4:B$91,'⑦ Controller-Firm Map'!B$4:B$91,'⑦ Controller-Firm Map'!A$4:A$91,A11))))</f>
        <v>11</v>
      </c>
      <c r="L11" s="94">
        <f>IF(A11="","",COUNTIF('⑦ Controller-Firm Map'!A$4:A$91,A11))</f>
        <v>11</v>
      </c>
      <c r="M11" s="95">
        <f>IF(A11="","",SUMIF('⑦ Controller-Firm Map'!A$4:A$91,A11,'⑦ Controller-Firm Map'!D$4:D$91))</f>
        <v>7.4499999999999993</v>
      </c>
      <c r="N11" s="96">
        <f>IF(A11="","",SUMIF('Employee Master'!G$4:G$203,"*"&amp;A11&amp;"*",'Employee Master'!J$4:J$203))</f>
        <v>7.25</v>
      </c>
      <c r="O11" s="52">
        <f>IF(A11="","",IF(J11=0,0,N11/(J11*Settings!B6)))</f>
        <v>7.5520833333333334E-3</v>
      </c>
      <c r="P11" s="51">
        <f>IF(A11="","",SUMIF('Employee Master'!G$4:G$203,"*"&amp;A11&amp;"*",'Employee Master'!M$4:M$203))</f>
        <v>0</v>
      </c>
      <c r="Q11" s="51">
        <f>IF(A11="","",SUMIF('⑦ Controller-Firm Map'!A$4:A$91,A11,'⑦ Controller-Firm Map'!G$4:G$91))</f>
        <v>1748450</v>
      </c>
      <c r="R11" s="97">
        <f t="shared" si="1"/>
        <v>1748450</v>
      </c>
      <c r="S11" s="52">
        <f t="shared" si="2"/>
        <v>0</v>
      </c>
      <c r="T11" s="50">
        <f t="shared" si="3"/>
        <v>1.2083333333333333</v>
      </c>
      <c r="U11" s="51">
        <f t="shared" si="4"/>
        <v>0</v>
      </c>
      <c r="V11" s="27" t="str">
        <f t="shared" si="5"/>
        <v>AT RISK</v>
      </c>
    </row>
    <row r="12" spans="1:22" ht="15" customHeight="1" x14ac:dyDescent="0.2">
      <c r="A12" s="61" t="str">
        <f>'Controller KPIs'!B12</f>
        <v>Angela</v>
      </c>
      <c r="B12" s="92">
        <f>IF(A12="","",COUNTIFS('Employee Master'!G$4:G$203,"*"&amp;A12&amp;"*",'Employee Master'!E$4:E$203,"Associate"))</f>
        <v>3</v>
      </c>
      <c r="C12" s="92">
        <f>IF(A12="","",COUNTIFS('Employee Master'!G$4:G$203,"*"&amp;A12&amp;"*",'Employee Master'!E$4:E$203,"Sr. Associate"))</f>
        <v>0</v>
      </c>
      <c r="D12" s="92">
        <f>IF(A12="","",COUNTIFS('Employee Master'!G$4:G$203,"*"&amp;A12&amp;"*",'Employee Master'!E$4:E$203,"Asst. Team Lead"))</f>
        <v>0</v>
      </c>
      <c r="E12" s="92">
        <f>IF(A12="","",COUNTIFS('Employee Master'!G$4:G$203,"*"&amp;A12&amp;"*",'Employee Master'!E$4:E$203,"Team Lead"))</f>
        <v>0</v>
      </c>
      <c r="F12" s="92">
        <f>IF(A12="","",COUNTIFS('Employee Master'!G$4:G$203,"*"&amp;A12&amp;"*",'Employee Master'!E$4:E$203,"Asst. Manager"))</f>
        <v>0</v>
      </c>
      <c r="G12" s="92">
        <f>IF(A12="","",COUNTIFS('Employee Master'!G$4:G$203,"*"&amp;A12&amp;"*",'Employee Master'!E$4:E$203,"Manager"))</f>
        <v>0</v>
      </c>
      <c r="H12" s="92">
        <f>IF(A12="","",COUNTIFS('Employee Master'!G$4:G$203,"*"&amp;A12&amp;"*",'Employee Master'!E$4:E$203,"Sr. Manager"))</f>
        <v>0</v>
      </c>
      <c r="I12" s="92">
        <f>IF(A12="","",COUNTIFS('Employee Master'!G$4:G$203,"*"&amp;A12&amp;"*",'Employee Master'!E$4:E$203,"Asst. Controller"))</f>
        <v>0</v>
      </c>
      <c r="J12" s="93">
        <f t="shared" si="0"/>
        <v>3</v>
      </c>
      <c r="K12" s="94">
        <f>IF(A12="","",SUMPRODUCT(('⑦ Controller-Firm Map'!A$4:A$91=A12)*IF(COUNTIFS('⑦ Controller-Firm Map'!B$4:B$91,'⑦ Controller-Firm Map'!B$4:B$91,'⑦ Controller-Firm Map'!A$4:A$91,A12)=0,0,1/COUNTIFS('⑦ Controller-Firm Map'!B$4:B$91,'⑦ Controller-Firm Map'!B$4:B$91,'⑦ Controller-Firm Map'!A$4:A$91,A12))))</f>
        <v>0</v>
      </c>
      <c r="L12" s="94">
        <f>IF(A12="","",COUNTIF('⑦ Controller-Firm Map'!A$4:A$91,A12))</f>
        <v>0</v>
      </c>
      <c r="M12" s="95">
        <f>IF(A12="","",SUMIF('⑦ Controller-Firm Map'!A$4:A$91,A12,'⑦ Controller-Firm Map'!D$4:D$91))</f>
        <v>0</v>
      </c>
      <c r="N12" s="96">
        <f>IF(A12="","",SUMIF('Employee Master'!G$4:G$203,"*"&amp;A12&amp;"*",'Employee Master'!J$4:J$203))</f>
        <v>48</v>
      </c>
      <c r="O12" s="52">
        <f>IF(A12="","",IF(J12=0,0,N12/(J12*Settings!B6)))</f>
        <v>0.1</v>
      </c>
      <c r="P12" s="51">
        <f>IF(A12="","",SUMIF('Employee Master'!G$4:G$203,"*"&amp;A12&amp;"*",'Employee Master'!M$4:M$203))</f>
        <v>0</v>
      </c>
      <c r="Q12" s="51">
        <f>IF(A12="","",SUMIF('⑦ Controller-Firm Map'!A$4:A$91,A12,'⑦ Controller-Firm Map'!G$4:G$91))</f>
        <v>0</v>
      </c>
      <c r="R12" s="97">
        <f t="shared" si="1"/>
        <v>0</v>
      </c>
      <c r="S12" s="52">
        <f t="shared" si="2"/>
        <v>0</v>
      </c>
      <c r="T12" s="50">
        <f t="shared" si="3"/>
        <v>16</v>
      </c>
      <c r="U12" s="51">
        <f t="shared" si="4"/>
        <v>0</v>
      </c>
      <c r="V12" s="27" t="str">
        <f t="shared" si="5"/>
        <v>AT RISK</v>
      </c>
    </row>
    <row r="13" spans="1:22" ht="15" customHeight="1" x14ac:dyDescent="0.2">
      <c r="A13" s="61" t="str">
        <f>'Controller KPIs'!B13</f>
        <v>Sarah</v>
      </c>
      <c r="B13" s="92">
        <f>IF(A13="","",COUNTIFS('Employee Master'!G$4:G$203,"*"&amp;A13&amp;"*",'Employee Master'!E$4:E$203,"Associate"))</f>
        <v>0</v>
      </c>
      <c r="C13" s="92">
        <f>IF(A13="","",COUNTIFS('Employee Master'!G$4:G$203,"*"&amp;A13&amp;"*",'Employee Master'!E$4:E$203,"Sr. Associate"))</f>
        <v>0</v>
      </c>
      <c r="D13" s="92">
        <f>IF(A13="","",COUNTIFS('Employee Master'!G$4:G$203,"*"&amp;A13&amp;"*",'Employee Master'!E$4:E$203,"Asst. Team Lead"))</f>
        <v>1</v>
      </c>
      <c r="E13" s="92">
        <f>IF(A13="","",COUNTIFS('Employee Master'!G$4:G$203,"*"&amp;A13&amp;"*",'Employee Master'!E$4:E$203,"Team Lead"))</f>
        <v>0</v>
      </c>
      <c r="F13" s="92">
        <f>IF(A13="","",COUNTIFS('Employee Master'!G$4:G$203,"*"&amp;A13&amp;"*",'Employee Master'!E$4:E$203,"Asst. Manager"))</f>
        <v>0</v>
      </c>
      <c r="G13" s="92">
        <f>IF(A13="","",COUNTIFS('Employee Master'!G$4:G$203,"*"&amp;A13&amp;"*",'Employee Master'!E$4:E$203,"Manager"))</f>
        <v>0</v>
      </c>
      <c r="H13" s="92">
        <f>IF(A13="","",COUNTIFS('Employee Master'!G$4:G$203,"*"&amp;A13&amp;"*",'Employee Master'!E$4:E$203,"Sr. Manager"))</f>
        <v>0</v>
      </c>
      <c r="I13" s="92">
        <f>IF(A13="","",COUNTIFS('Employee Master'!G$4:G$203,"*"&amp;A13&amp;"*",'Employee Master'!E$4:E$203,"Asst. Controller"))</f>
        <v>0</v>
      </c>
      <c r="J13" s="93">
        <f t="shared" si="0"/>
        <v>1</v>
      </c>
      <c r="K13" s="94">
        <f>IF(A13="","",SUMPRODUCT(('⑦ Controller-Firm Map'!A$4:A$91=A13)*IF(COUNTIFS('⑦ Controller-Firm Map'!B$4:B$91,'⑦ Controller-Firm Map'!B$4:B$91,'⑦ Controller-Firm Map'!A$4:A$91,A13)=0,0,1/COUNTIFS('⑦ Controller-Firm Map'!B$4:B$91,'⑦ Controller-Firm Map'!B$4:B$91,'⑦ Controller-Firm Map'!A$4:A$91,A13))))</f>
        <v>0</v>
      </c>
      <c r="L13" s="94">
        <f>IF(A13="","",COUNTIF('⑦ Controller-Firm Map'!A$4:A$91,A13))</f>
        <v>0</v>
      </c>
      <c r="M13" s="95">
        <f>IF(A13="","",SUMIF('⑦ Controller-Firm Map'!A$4:A$91,A13,'⑦ Controller-Firm Map'!D$4:D$91))</f>
        <v>0</v>
      </c>
      <c r="N13" s="96">
        <f>IF(A13="","",SUMIF('Employee Master'!G$4:G$203,"*"&amp;A13&amp;"*",'Employee Master'!J$4:J$203))</f>
        <v>150.27000000000001</v>
      </c>
      <c r="O13" s="52">
        <f>IF(A13="","",IF(J13=0,0,N13/(J13*Settings!B6)))</f>
        <v>0.93918750000000006</v>
      </c>
      <c r="P13" s="51">
        <f>IF(A13="","",SUMIF('Employee Master'!G$4:G$203,"*"&amp;A13&amp;"*",'Employee Master'!M$4:M$203))</f>
        <v>75000</v>
      </c>
      <c r="Q13" s="51">
        <f>IF(A13="","",SUMIF('⑦ Controller-Firm Map'!A$4:A$91,A13,'⑦ Controller-Firm Map'!G$4:G$91))</f>
        <v>0</v>
      </c>
      <c r="R13" s="97">
        <f t="shared" si="1"/>
        <v>-75000</v>
      </c>
      <c r="S13" s="52">
        <f t="shared" si="2"/>
        <v>-1</v>
      </c>
      <c r="T13" s="50">
        <f t="shared" si="3"/>
        <v>150.27000000000001</v>
      </c>
      <c r="U13" s="51">
        <f t="shared" si="4"/>
        <v>499.10161708923931</v>
      </c>
      <c r="V13" s="27" t="str">
        <f t="shared" si="5"/>
        <v>REVIEW</v>
      </c>
    </row>
    <row r="14" spans="1:22" ht="15" customHeight="1" x14ac:dyDescent="0.2">
      <c r="A14" s="61" t="str">
        <f>'Controller KPIs'!B14</f>
        <v>Akhilesh Sirvi</v>
      </c>
      <c r="B14" s="92">
        <f>IF(A14="","",COUNTIFS('Employee Master'!G$4:G$203,"*"&amp;A14&amp;"*",'Employee Master'!E$4:E$203,"Associate"))</f>
        <v>0</v>
      </c>
      <c r="C14" s="92">
        <f>IF(A14="","",COUNTIFS('Employee Master'!G$4:G$203,"*"&amp;A14&amp;"*",'Employee Master'!E$4:E$203,"Sr. Associate"))</f>
        <v>0</v>
      </c>
      <c r="D14" s="92">
        <f>IF(A14="","",COUNTIFS('Employee Master'!G$4:G$203,"*"&amp;A14&amp;"*",'Employee Master'!E$4:E$203,"Asst. Team Lead"))</f>
        <v>0</v>
      </c>
      <c r="E14" s="92">
        <f>IF(A14="","",COUNTIFS('Employee Master'!G$4:G$203,"*"&amp;A14&amp;"*",'Employee Master'!E$4:E$203,"Team Lead"))</f>
        <v>0</v>
      </c>
      <c r="F14" s="92">
        <f>IF(A14="","",COUNTIFS('Employee Master'!G$4:G$203,"*"&amp;A14&amp;"*",'Employee Master'!E$4:E$203,"Asst. Manager"))</f>
        <v>0</v>
      </c>
      <c r="G14" s="92">
        <f>IF(A14="","",COUNTIFS('Employee Master'!G$4:G$203,"*"&amp;A14&amp;"*",'Employee Master'!E$4:E$203,"Manager"))</f>
        <v>0</v>
      </c>
      <c r="H14" s="92">
        <f>IF(A14="","",COUNTIFS('Employee Master'!G$4:G$203,"*"&amp;A14&amp;"*",'Employee Master'!E$4:E$203,"Sr. Manager"))</f>
        <v>0</v>
      </c>
      <c r="I14" s="92">
        <f>IF(A14="","",COUNTIFS('Employee Master'!G$4:G$203,"*"&amp;A14&amp;"*",'Employee Master'!E$4:E$203,"Asst. Controller"))</f>
        <v>0</v>
      </c>
      <c r="J14" s="93">
        <f t="shared" si="0"/>
        <v>0</v>
      </c>
      <c r="K14" s="94">
        <f>IF(A14="","",SUMPRODUCT(('⑦ Controller-Firm Map'!A$4:A$91=A14)*IF(COUNTIFS('⑦ Controller-Firm Map'!B$4:B$91,'⑦ Controller-Firm Map'!B$4:B$91,'⑦ Controller-Firm Map'!A$4:A$91,A14)=0,0,1/COUNTIFS('⑦ Controller-Firm Map'!B$4:B$91,'⑦ Controller-Firm Map'!B$4:B$91,'⑦ Controller-Firm Map'!A$4:A$91,A14))))</f>
        <v>0</v>
      </c>
      <c r="L14" s="94">
        <f>IF(A14="","",COUNTIF('⑦ Controller-Firm Map'!A$4:A$91,A14))</f>
        <v>0</v>
      </c>
      <c r="M14" s="95">
        <f>IF(A14="","",SUMIF('⑦ Controller-Firm Map'!A$4:A$91,A14,'⑦ Controller-Firm Map'!D$4:D$91))</f>
        <v>0</v>
      </c>
      <c r="N14" s="96">
        <f>IF(A14="","",SUMIF('Employee Master'!G$4:G$203,"*"&amp;A14&amp;"*",'Employee Master'!J$4:J$203))</f>
        <v>188.86</v>
      </c>
      <c r="O14" s="52">
        <f>IF(A14="","",IF(J14=0,0,N14/(J14*Settings!B6)))</f>
        <v>0</v>
      </c>
      <c r="P14" s="51">
        <f>IF(A14="","",SUMIF('Employee Master'!G$4:G$203,"*"&amp;A14&amp;"*",'Employee Master'!M$4:M$203))</f>
        <v>0</v>
      </c>
      <c r="Q14" s="51">
        <f>IF(A14="","",SUMIF('⑦ Controller-Firm Map'!A$4:A$91,A14,'⑦ Controller-Firm Map'!G$4:G$91))</f>
        <v>0</v>
      </c>
      <c r="R14" s="97">
        <f t="shared" si="1"/>
        <v>0</v>
      </c>
      <c r="S14" s="52">
        <f t="shared" si="2"/>
        <v>0</v>
      </c>
      <c r="T14" s="50">
        <f t="shared" si="3"/>
        <v>0</v>
      </c>
      <c r="U14" s="51">
        <f t="shared" si="4"/>
        <v>0</v>
      </c>
      <c r="V14" s="27" t="str">
        <f t="shared" si="5"/>
        <v>NO TEAM</v>
      </c>
    </row>
    <row r="15" spans="1:22" ht="15" customHeight="1" x14ac:dyDescent="0.2">
      <c r="A15" s="61" t="str">
        <f>'Controller KPIs'!B15</f>
        <v>Prachi Guglani</v>
      </c>
      <c r="B15" s="92">
        <f>IF(A15="","",COUNTIFS('Employee Master'!G$4:G$203,"*"&amp;A15&amp;"*",'Employee Master'!E$4:E$203,"Associate"))</f>
        <v>0</v>
      </c>
      <c r="C15" s="92">
        <f>IF(A15="","",COUNTIFS('Employee Master'!G$4:G$203,"*"&amp;A15&amp;"*",'Employee Master'!E$4:E$203,"Sr. Associate"))</f>
        <v>0</v>
      </c>
      <c r="D15" s="92">
        <f>IF(A15="","",COUNTIFS('Employee Master'!G$4:G$203,"*"&amp;A15&amp;"*",'Employee Master'!E$4:E$203,"Asst. Team Lead"))</f>
        <v>0</v>
      </c>
      <c r="E15" s="92">
        <f>IF(A15="","",COUNTIFS('Employee Master'!G$4:G$203,"*"&amp;A15&amp;"*",'Employee Master'!E$4:E$203,"Team Lead"))</f>
        <v>0</v>
      </c>
      <c r="F15" s="92">
        <f>IF(A15="","",COUNTIFS('Employee Master'!G$4:G$203,"*"&amp;A15&amp;"*",'Employee Master'!E$4:E$203,"Asst. Manager"))</f>
        <v>0</v>
      </c>
      <c r="G15" s="92">
        <f>IF(A15="","",COUNTIFS('Employee Master'!G$4:G$203,"*"&amp;A15&amp;"*",'Employee Master'!E$4:E$203,"Manager"))</f>
        <v>1</v>
      </c>
      <c r="H15" s="92">
        <f>IF(A15="","",COUNTIFS('Employee Master'!G$4:G$203,"*"&amp;A15&amp;"*",'Employee Master'!E$4:E$203,"Sr. Manager"))</f>
        <v>0</v>
      </c>
      <c r="I15" s="92">
        <f>IF(A15="","",COUNTIFS('Employee Master'!G$4:G$203,"*"&amp;A15&amp;"*",'Employee Master'!E$4:E$203,"Asst. Controller"))</f>
        <v>0</v>
      </c>
      <c r="J15" s="93">
        <f t="shared" si="0"/>
        <v>1</v>
      </c>
      <c r="K15" s="94">
        <f>IF(A15="","",SUMPRODUCT(('⑦ Controller-Firm Map'!A$4:A$91=A15)*IF(COUNTIFS('⑦ Controller-Firm Map'!B$4:B$91,'⑦ Controller-Firm Map'!B$4:B$91,'⑦ Controller-Firm Map'!A$4:A$91,A15)=0,0,1/COUNTIFS('⑦ Controller-Firm Map'!B$4:B$91,'⑦ Controller-Firm Map'!B$4:B$91,'⑦ Controller-Firm Map'!A$4:A$91,A15))))</f>
        <v>0</v>
      </c>
      <c r="L15" s="94">
        <f>IF(A15="","",COUNTIF('⑦ Controller-Firm Map'!A$4:A$91,A15))</f>
        <v>1</v>
      </c>
      <c r="M15" s="95">
        <f>IF(A15="","",SUMIF('⑦ Controller-Firm Map'!A$4:A$91,A15,'⑦ Controller-Firm Map'!D$4:D$91))</f>
        <v>2</v>
      </c>
      <c r="N15" s="96">
        <f>IF(A15="","",SUMIF('Employee Master'!G$4:G$203,"*"&amp;A15&amp;"*",'Employee Master'!J$4:J$203))</f>
        <v>153</v>
      </c>
      <c r="O15" s="52">
        <f>IF(A15="","",IF(J15=0,0,N15/(J15*Settings!B6)))</f>
        <v>0.95625000000000004</v>
      </c>
      <c r="P15" s="51">
        <f>IF(A15="","",SUMIF('Employee Master'!G$4:G$203,"*"&amp;A15&amp;"*",'Employee Master'!M$4:M$203))</f>
        <v>208333</v>
      </c>
      <c r="Q15" s="51">
        <f>IF(A15="","",SUMIF('⑦ Controller-Firm Map'!A$4:A$91,A15,'⑦ Controller-Firm Map'!G$4:G$91))</f>
        <v>0</v>
      </c>
      <c r="R15" s="97">
        <f t="shared" si="1"/>
        <v>-208333</v>
      </c>
      <c r="S15" s="52">
        <f t="shared" si="2"/>
        <v>-1</v>
      </c>
      <c r="T15" s="50">
        <f t="shared" si="3"/>
        <v>153</v>
      </c>
      <c r="U15" s="51">
        <f t="shared" si="4"/>
        <v>1361.6535947712418</v>
      </c>
      <c r="V15" s="27" t="str">
        <f t="shared" si="5"/>
        <v>REVIEW</v>
      </c>
    </row>
    <row r="16" spans="1:22" ht="15" customHeight="1" x14ac:dyDescent="0.2">
      <c r="A16" s="61" t="str">
        <f>'Controller KPIs'!B16</f>
        <v>Snehal Kothari</v>
      </c>
      <c r="B16" s="92">
        <f>IF(A16="","",COUNTIFS('Employee Master'!G$4:G$203,"*"&amp;A16&amp;"*",'Employee Master'!E$4:E$203,"Associate"))</f>
        <v>0</v>
      </c>
      <c r="C16" s="92">
        <f>IF(A16="","",COUNTIFS('Employee Master'!G$4:G$203,"*"&amp;A16&amp;"*",'Employee Master'!E$4:E$203,"Sr. Associate"))</f>
        <v>0</v>
      </c>
      <c r="D16" s="92">
        <f>IF(A16="","",COUNTIFS('Employee Master'!G$4:G$203,"*"&amp;A16&amp;"*",'Employee Master'!E$4:E$203,"Asst. Team Lead"))</f>
        <v>0</v>
      </c>
      <c r="E16" s="92">
        <f>IF(A16="","",COUNTIFS('Employee Master'!G$4:G$203,"*"&amp;A16&amp;"*",'Employee Master'!E$4:E$203,"Team Lead"))</f>
        <v>0</v>
      </c>
      <c r="F16" s="92">
        <f>IF(A16="","",COUNTIFS('Employee Master'!G$4:G$203,"*"&amp;A16&amp;"*",'Employee Master'!E$4:E$203,"Asst. Manager"))</f>
        <v>0</v>
      </c>
      <c r="G16" s="92">
        <f>IF(A16="","",COUNTIFS('Employee Master'!G$4:G$203,"*"&amp;A16&amp;"*",'Employee Master'!E$4:E$203,"Manager"))</f>
        <v>0</v>
      </c>
      <c r="H16" s="92">
        <f>IF(A16="","",COUNTIFS('Employee Master'!G$4:G$203,"*"&amp;A16&amp;"*",'Employee Master'!E$4:E$203,"Sr. Manager"))</f>
        <v>0</v>
      </c>
      <c r="I16" s="92">
        <f>IF(A16="","",COUNTIFS('Employee Master'!G$4:G$203,"*"&amp;A16&amp;"*",'Employee Master'!E$4:E$203,"Asst. Controller"))</f>
        <v>0</v>
      </c>
      <c r="J16" s="93">
        <f t="shared" si="0"/>
        <v>0</v>
      </c>
      <c r="K16" s="94">
        <f>IF(A16="","",SUMPRODUCT(('⑦ Controller-Firm Map'!A$4:A$91=A16)*IF(COUNTIFS('⑦ Controller-Firm Map'!B$4:B$91,'⑦ Controller-Firm Map'!B$4:B$91,'⑦ Controller-Firm Map'!A$4:A$91,A16)=0,0,1/COUNTIFS('⑦ Controller-Firm Map'!B$4:B$91,'⑦ Controller-Firm Map'!B$4:B$91,'⑦ Controller-Firm Map'!A$4:A$91,A16))))</f>
        <v>0</v>
      </c>
      <c r="L16" s="94">
        <f>IF(A16="","",COUNTIF('⑦ Controller-Firm Map'!A$4:A$91,A16))</f>
        <v>1</v>
      </c>
      <c r="M16" s="95">
        <f>IF(A16="","",SUMIF('⑦ Controller-Firm Map'!A$4:A$91,A16,'⑦ Controller-Firm Map'!D$4:D$91))</f>
        <v>1</v>
      </c>
      <c r="N16" s="96">
        <f>IF(A16="","",SUMIF('Employee Master'!G$4:G$203,"*"&amp;A16&amp;"*",'Employee Master'!J$4:J$203))</f>
        <v>0</v>
      </c>
      <c r="O16" s="52">
        <f>IF(A16="","",IF(J16=0,0,N16/(J16*Settings!B6)))</f>
        <v>0</v>
      </c>
      <c r="P16" s="51">
        <f>IF(A16="","",SUMIF('Employee Master'!G$4:G$203,"*"&amp;A16&amp;"*",'Employee Master'!M$4:M$203))</f>
        <v>0</v>
      </c>
      <c r="Q16" s="51">
        <f>IF(A16="","",SUMIF('⑦ Controller-Firm Map'!A$4:A$91,A16,'⑦ Controller-Firm Map'!G$4:G$91))</f>
        <v>255000</v>
      </c>
      <c r="R16" s="97">
        <f t="shared" si="1"/>
        <v>255000</v>
      </c>
      <c r="S16" s="52">
        <f t="shared" si="2"/>
        <v>0</v>
      </c>
      <c r="T16" s="50">
        <f t="shared" si="3"/>
        <v>0</v>
      </c>
      <c r="U16" s="51">
        <f t="shared" si="4"/>
        <v>0</v>
      </c>
      <c r="V16" s="27" t="str">
        <f t="shared" si="5"/>
        <v>NO TEAM</v>
      </c>
    </row>
    <row r="17" spans="1:22" ht="15" customHeight="1" x14ac:dyDescent="0.2">
      <c r="A17" s="61" t="str">
        <f>'Controller KPIs'!B17</f>
        <v>Tithi Gandhi</v>
      </c>
      <c r="B17" s="92">
        <f>IF(A17="","",COUNTIFS('Employee Master'!G$4:G$203,"*"&amp;A17&amp;"*",'Employee Master'!E$4:E$203,"Associate"))</f>
        <v>0</v>
      </c>
      <c r="C17" s="92">
        <f>IF(A17="","",COUNTIFS('Employee Master'!G$4:G$203,"*"&amp;A17&amp;"*",'Employee Master'!E$4:E$203,"Sr. Associate"))</f>
        <v>0</v>
      </c>
      <c r="D17" s="92">
        <f>IF(A17="","",COUNTIFS('Employee Master'!G$4:G$203,"*"&amp;A17&amp;"*",'Employee Master'!E$4:E$203,"Asst. Team Lead"))</f>
        <v>0</v>
      </c>
      <c r="E17" s="92">
        <f>IF(A17="","",COUNTIFS('Employee Master'!G$4:G$203,"*"&amp;A17&amp;"*",'Employee Master'!E$4:E$203,"Team Lead"))</f>
        <v>1</v>
      </c>
      <c r="F17" s="92">
        <f>IF(A17="","",COUNTIFS('Employee Master'!G$4:G$203,"*"&amp;A17&amp;"*",'Employee Master'!E$4:E$203,"Asst. Manager"))</f>
        <v>0</v>
      </c>
      <c r="G17" s="92">
        <f>IF(A17="","",COUNTIFS('Employee Master'!G$4:G$203,"*"&amp;A17&amp;"*",'Employee Master'!E$4:E$203,"Manager"))</f>
        <v>0</v>
      </c>
      <c r="H17" s="92">
        <f>IF(A17="","",COUNTIFS('Employee Master'!G$4:G$203,"*"&amp;A17&amp;"*",'Employee Master'!E$4:E$203,"Sr. Manager"))</f>
        <v>0</v>
      </c>
      <c r="I17" s="92">
        <f>IF(A17="","",COUNTIFS('Employee Master'!G$4:G$203,"*"&amp;A17&amp;"*",'Employee Master'!E$4:E$203,"Asst. Controller"))</f>
        <v>0</v>
      </c>
      <c r="J17" s="93">
        <f t="shared" si="0"/>
        <v>1</v>
      </c>
      <c r="K17" s="94">
        <f>IF(A17="","",SUMPRODUCT(('⑦ Controller-Firm Map'!A$4:A$91=A17)*IF(COUNTIFS('⑦ Controller-Firm Map'!B$4:B$91,'⑦ Controller-Firm Map'!B$4:B$91,'⑦ Controller-Firm Map'!A$4:A$91,A17)=0,0,1/COUNTIFS('⑦ Controller-Firm Map'!B$4:B$91,'⑦ Controller-Firm Map'!B$4:B$91,'⑦ Controller-Firm Map'!A$4:A$91,A17))))</f>
        <v>0</v>
      </c>
      <c r="L17" s="94">
        <f>IF(A17="","",COUNTIF('⑦ Controller-Firm Map'!A$4:A$91,A17))</f>
        <v>2</v>
      </c>
      <c r="M17" s="95">
        <f>IF(A17="","",SUMIF('⑦ Controller-Firm Map'!A$4:A$91,A17,'⑦ Controller-Firm Map'!D$4:D$91))</f>
        <v>1.75</v>
      </c>
      <c r="N17" s="96">
        <f>IF(A17="","",SUMIF('Employee Master'!G$4:G$203,"*"&amp;A17&amp;"*",'Employee Master'!J$4:J$203))</f>
        <v>136.63</v>
      </c>
      <c r="O17" s="52">
        <f>IF(A17="","",IF(J17=0,0,N17/(J17*Settings!B6)))</f>
        <v>0.85393750000000002</v>
      </c>
      <c r="P17" s="51">
        <f>IF(A17="","",SUMIF('Employee Master'!G$4:G$203,"*"&amp;A17&amp;"*",'Employee Master'!M$4:M$203))</f>
        <v>54839</v>
      </c>
      <c r="Q17" s="51">
        <f>IF(A17="","",SUMIF('⑦ Controller-Firm Map'!A$4:A$91,A17,'⑦ Controller-Firm Map'!G$4:G$91))</f>
        <v>1411000</v>
      </c>
      <c r="R17" s="97">
        <f t="shared" si="1"/>
        <v>1356161</v>
      </c>
      <c r="S17" s="52">
        <f t="shared" si="2"/>
        <v>24.729863783074091</v>
      </c>
      <c r="T17" s="50">
        <f t="shared" si="3"/>
        <v>136.63</v>
      </c>
      <c r="U17" s="51">
        <f t="shared" si="4"/>
        <v>401.3686598843592</v>
      </c>
      <c r="V17" s="27" t="str">
        <f t="shared" si="5"/>
        <v>STRONG</v>
      </c>
    </row>
    <row r="18" spans="1:22" ht="15" customHeight="1" x14ac:dyDescent="0.2">
      <c r="A18" s="61" t="str">
        <f>'Controller KPIs'!B18</f>
        <v>Suhani</v>
      </c>
      <c r="B18" s="92">
        <f>IF(A18="","",COUNTIFS('Employee Master'!G$4:G$203,"*"&amp;A18&amp;"*",'Employee Master'!E$4:E$203,"Associate"))</f>
        <v>0</v>
      </c>
      <c r="C18" s="92">
        <f>IF(A18="","",COUNTIFS('Employee Master'!G$4:G$203,"*"&amp;A18&amp;"*",'Employee Master'!E$4:E$203,"Sr. Associate"))</f>
        <v>1</v>
      </c>
      <c r="D18" s="92">
        <f>IF(A18="","",COUNTIFS('Employee Master'!G$4:G$203,"*"&amp;A18&amp;"*",'Employee Master'!E$4:E$203,"Asst. Team Lead"))</f>
        <v>0</v>
      </c>
      <c r="E18" s="92">
        <f>IF(A18="","",COUNTIFS('Employee Master'!G$4:G$203,"*"&amp;A18&amp;"*",'Employee Master'!E$4:E$203,"Team Lead"))</f>
        <v>0</v>
      </c>
      <c r="F18" s="92">
        <f>IF(A18="","",COUNTIFS('Employee Master'!G$4:G$203,"*"&amp;A18&amp;"*",'Employee Master'!E$4:E$203,"Asst. Manager"))</f>
        <v>0</v>
      </c>
      <c r="G18" s="92">
        <f>IF(A18="","",COUNTIFS('Employee Master'!G$4:G$203,"*"&amp;A18&amp;"*",'Employee Master'!E$4:E$203,"Manager"))</f>
        <v>0</v>
      </c>
      <c r="H18" s="92">
        <f>IF(A18="","",COUNTIFS('Employee Master'!G$4:G$203,"*"&amp;A18&amp;"*",'Employee Master'!E$4:E$203,"Sr. Manager"))</f>
        <v>0</v>
      </c>
      <c r="I18" s="92">
        <f>IF(A18="","",COUNTIFS('Employee Master'!G$4:G$203,"*"&amp;A18&amp;"*",'Employee Master'!E$4:E$203,"Asst. Controller"))</f>
        <v>0</v>
      </c>
      <c r="J18" s="93">
        <f t="shared" si="0"/>
        <v>1</v>
      </c>
      <c r="K18" s="94">
        <f>IF(A18="","",SUMPRODUCT(('⑦ Controller-Firm Map'!A$4:A$91=A18)*IF(COUNTIFS('⑦ Controller-Firm Map'!B$4:B$91,'⑦ Controller-Firm Map'!B$4:B$91,'⑦ Controller-Firm Map'!A$4:A$91,A18)=0,0,1/COUNTIFS('⑦ Controller-Firm Map'!B$4:B$91,'⑦ Controller-Firm Map'!B$4:B$91,'⑦ Controller-Firm Map'!A$4:A$91,A18))))</f>
        <v>0</v>
      </c>
      <c r="L18" s="94">
        <f>IF(A18="","",COUNTIF('⑦ Controller-Firm Map'!A$4:A$91,A18))</f>
        <v>0</v>
      </c>
      <c r="M18" s="95">
        <f>IF(A18="","",SUMIF('⑦ Controller-Firm Map'!A$4:A$91,A18,'⑦ Controller-Firm Map'!D$4:D$91))</f>
        <v>0</v>
      </c>
      <c r="N18" s="96">
        <f>IF(A18="","",SUMIF('Employee Master'!G$4:G$203,"*"&amp;A18&amp;"*",'Employee Master'!J$4:J$203))</f>
        <v>0</v>
      </c>
      <c r="O18" s="52">
        <f>IF(A18="","",IF(J18=0,0,N18/(J18*Settings!B6)))</f>
        <v>0</v>
      </c>
      <c r="P18" s="51">
        <f>IF(A18="","",SUMIF('Employee Master'!G$4:G$203,"*"&amp;A18&amp;"*",'Employee Master'!M$4:M$203))</f>
        <v>0</v>
      </c>
      <c r="Q18" s="51">
        <f>IF(A18="","",SUMIF('⑦ Controller-Firm Map'!A$4:A$91,A18,'⑦ Controller-Firm Map'!G$4:G$91))</f>
        <v>0</v>
      </c>
      <c r="R18" s="97">
        <f t="shared" si="1"/>
        <v>0</v>
      </c>
      <c r="S18" s="52">
        <f t="shared" si="2"/>
        <v>0</v>
      </c>
      <c r="T18" s="50">
        <f t="shared" si="3"/>
        <v>0</v>
      </c>
      <c r="U18" s="51">
        <f t="shared" si="4"/>
        <v>0</v>
      </c>
      <c r="V18" s="27" t="str">
        <f t="shared" si="5"/>
        <v>AT RISK</v>
      </c>
    </row>
    <row r="19" spans="1:22" ht="15" customHeight="1" x14ac:dyDescent="0.2">
      <c r="A19" s="61" t="str">
        <f>'Controller KPIs'!B19</f>
        <v>Sukhmeen.K</v>
      </c>
      <c r="B19" s="92">
        <f>IF(A19="","",COUNTIFS('Employee Master'!G$4:G$203,"*"&amp;A19&amp;"*",'Employee Master'!E$4:E$203,"Associate"))</f>
        <v>0</v>
      </c>
      <c r="C19" s="92">
        <f>IF(A19="","",COUNTIFS('Employee Master'!G$4:G$203,"*"&amp;A19&amp;"*",'Employee Master'!E$4:E$203,"Sr. Associate"))</f>
        <v>0</v>
      </c>
      <c r="D19" s="92">
        <f>IF(A19="","",COUNTIFS('Employee Master'!G$4:G$203,"*"&amp;A19&amp;"*",'Employee Master'!E$4:E$203,"Asst. Team Lead"))</f>
        <v>2</v>
      </c>
      <c r="E19" s="92">
        <f>IF(A19="","",COUNTIFS('Employee Master'!G$4:G$203,"*"&amp;A19&amp;"*",'Employee Master'!E$4:E$203,"Team Lead"))</f>
        <v>0</v>
      </c>
      <c r="F19" s="92">
        <f>IF(A19="","",COUNTIFS('Employee Master'!G$4:G$203,"*"&amp;A19&amp;"*",'Employee Master'!E$4:E$203,"Asst. Manager"))</f>
        <v>0</v>
      </c>
      <c r="G19" s="92">
        <f>IF(A19="","",COUNTIFS('Employee Master'!G$4:G$203,"*"&amp;A19&amp;"*",'Employee Master'!E$4:E$203,"Manager"))</f>
        <v>0</v>
      </c>
      <c r="H19" s="92">
        <f>IF(A19="","",COUNTIFS('Employee Master'!G$4:G$203,"*"&amp;A19&amp;"*",'Employee Master'!E$4:E$203,"Sr. Manager"))</f>
        <v>0</v>
      </c>
      <c r="I19" s="92">
        <f>IF(A19="","",COUNTIFS('Employee Master'!G$4:G$203,"*"&amp;A19&amp;"*",'Employee Master'!E$4:E$203,"Asst. Controller"))</f>
        <v>0</v>
      </c>
      <c r="J19" s="93">
        <f t="shared" si="0"/>
        <v>2</v>
      </c>
      <c r="K19" s="94">
        <f>IF(A19="","",SUMPRODUCT(('⑦ Controller-Firm Map'!A$4:A$91=A19)*IF(COUNTIFS('⑦ Controller-Firm Map'!B$4:B$91,'⑦ Controller-Firm Map'!B$4:B$91,'⑦ Controller-Firm Map'!A$4:A$91,A19)=0,0,1/COUNTIFS('⑦ Controller-Firm Map'!B$4:B$91,'⑦ Controller-Firm Map'!B$4:B$91,'⑦ Controller-Firm Map'!A$4:A$91,A19))))</f>
        <v>0</v>
      </c>
      <c r="L19" s="94">
        <f>IF(A19="","",COUNTIF('⑦ Controller-Firm Map'!A$4:A$91,A19))</f>
        <v>0</v>
      </c>
      <c r="M19" s="95">
        <f>IF(A19="","",SUMIF('⑦ Controller-Firm Map'!A$4:A$91,A19,'⑦ Controller-Firm Map'!D$4:D$91))</f>
        <v>0</v>
      </c>
      <c r="N19" s="96">
        <f>IF(A19="","",SUMIF('Employee Master'!G$4:G$203,"*"&amp;A19&amp;"*",'Employee Master'!J$4:J$203))</f>
        <v>142.02000000000001</v>
      </c>
      <c r="O19" s="52">
        <f>IF(A19="","",IF(J19=0,0,N19/(J19*Settings!B6)))</f>
        <v>0.44381250000000005</v>
      </c>
      <c r="P19" s="51">
        <f>IF(A19="","",SUMIF('Employee Master'!G$4:G$203,"*"&amp;A19&amp;"*",'Employee Master'!M$4:M$203))</f>
        <v>47805</v>
      </c>
      <c r="Q19" s="51">
        <f>IF(A19="","",SUMIF('⑦ Controller-Firm Map'!A$4:A$91,A19,'⑦ Controller-Firm Map'!G$4:G$91))</f>
        <v>0</v>
      </c>
      <c r="R19" s="97">
        <f t="shared" si="1"/>
        <v>-47805</v>
      </c>
      <c r="S19" s="52">
        <f t="shared" si="2"/>
        <v>-1</v>
      </c>
      <c r="T19" s="50">
        <f t="shared" si="3"/>
        <v>71.010000000000005</v>
      </c>
      <c r="U19" s="51">
        <f t="shared" si="4"/>
        <v>336.60752006759611</v>
      </c>
      <c r="V19" s="27" t="str">
        <f t="shared" si="5"/>
        <v>AT RISK</v>
      </c>
    </row>
    <row r="20" spans="1:22" ht="15" customHeight="1" x14ac:dyDescent="0.2">
      <c r="A20" s="27" t="str">
        <f>IF('Controller KPIs'!B20="","",'Controller KPIs'!B20)</f>
        <v>Unassigned / Self-Managed</v>
      </c>
      <c r="B20" s="29">
        <f>IF(A20="","",COUNTIFS('Employee Master'!G$4:G$203,"*"&amp;A20&amp;"*",'Employee Master'!E$4:E$203,"Associate"))</f>
        <v>0</v>
      </c>
      <c r="C20" s="29">
        <f>IF(A20="","",COUNTIFS('Employee Master'!G$4:G$203,"*"&amp;A20&amp;"*",'Employee Master'!E$4:E$203,"Sr. Associate"))</f>
        <v>0</v>
      </c>
      <c r="D20" s="29">
        <f>IF(A20="","",COUNTIFS('Employee Master'!G$4:G$203,"*"&amp;A20&amp;"*",'Employee Master'!E$4:E$203,"Asst. Team Lead"))</f>
        <v>0</v>
      </c>
      <c r="E20" s="29">
        <f>IF(A20="","",COUNTIFS('Employee Master'!G$4:G$203,"*"&amp;A20&amp;"*",'Employee Master'!E$4:E$203,"Team Lead"))</f>
        <v>0</v>
      </c>
      <c r="F20" s="29">
        <f>IF(A20="","",COUNTIFS('Employee Master'!G$4:G$203,"*"&amp;A20&amp;"*",'Employee Master'!E$4:E$203,"Asst. Manager"))</f>
        <v>0</v>
      </c>
      <c r="G20" s="29">
        <f>IF(A20="","",COUNTIFS('Employee Master'!G$4:G$203,"*"&amp;A20&amp;"*",'Employee Master'!E$4:E$203,"Manager"))</f>
        <v>0</v>
      </c>
      <c r="H20" s="29">
        <f>IF(A20="","",COUNTIFS('Employee Master'!G$4:G$203,"*"&amp;A20&amp;"*",'Employee Master'!E$4:E$203,"Sr. Manager"))</f>
        <v>0</v>
      </c>
      <c r="I20" s="29">
        <f>IF(A20="","",COUNTIFS('Employee Master'!G$4:G$203,"*"&amp;A20&amp;"*",'Employee Master'!E$4:E$203,"Asst. Controller"))</f>
        <v>0</v>
      </c>
      <c r="J20" s="98">
        <f t="shared" si="0"/>
        <v>0</v>
      </c>
      <c r="K20" s="99">
        <f>IF(A20="","",SUMPRODUCT(('⑦ Controller-Firm Map'!A$4:A$91=A20)*IF(COUNTIFS('⑦ Controller-Firm Map'!B$4:B$91,'⑦ Controller-Firm Map'!B$4:B$91,'⑦ Controller-Firm Map'!A$4:A$91,A20)=0,0,1/COUNTIFS('⑦ Controller-Firm Map'!B$4:B$91,'⑦ Controller-Firm Map'!B$4:B$91,'⑦ Controller-Firm Map'!A$4:A$91,A20))))</f>
        <v>0</v>
      </c>
      <c r="L20" s="99">
        <f>IF(A20="","",COUNTIF('⑦ Controller-Firm Map'!A$4:A$91,A20))</f>
        <v>0</v>
      </c>
      <c r="M20" s="100">
        <f>IF(A20="","",SUMIF('⑦ Controller-Firm Map'!A$4:A$91,A20,'⑦ Controller-Firm Map'!D$4:D$91))</f>
        <v>0</v>
      </c>
      <c r="N20" s="50">
        <f>IF(A20="","",SUMIF('Employee Master'!G$4:G$203,"*"&amp;A20&amp;"*",'Employee Master'!J$4:J$203))</f>
        <v>0</v>
      </c>
      <c r="O20" s="52">
        <f>IF(A20="","",IF(J20=0,0,N20/(J20*Settings!B6)))</f>
        <v>0</v>
      </c>
      <c r="P20" s="51">
        <f>IF(A20="","",SUMIF('Employee Master'!G$4:G$203,"*"&amp;A20&amp;"*",'Employee Master'!M$4:M$203))</f>
        <v>0</v>
      </c>
      <c r="Q20" s="51">
        <f>IF(A20="","",SUMIF('⑦ Controller-Firm Map'!A$4:A$91,A20,'⑦ Controller-Firm Map'!G$4:G$91))</f>
        <v>0</v>
      </c>
      <c r="R20" s="97">
        <f t="shared" si="1"/>
        <v>0</v>
      </c>
      <c r="S20" s="52">
        <f t="shared" si="2"/>
        <v>0</v>
      </c>
      <c r="T20" s="50">
        <f t="shared" si="3"/>
        <v>0</v>
      </c>
      <c r="U20" s="51">
        <f t="shared" si="4"/>
        <v>0</v>
      </c>
      <c r="V20" s="27" t="str">
        <f t="shared" si="5"/>
        <v>NO TEAM</v>
      </c>
    </row>
    <row r="21" spans="1:22" ht="15" customHeight="1" x14ac:dyDescent="0.2">
      <c r="A21" s="27" t="str">
        <f>IF('Controller KPIs'!B21="","",'Controller KPIs'!B21)</f>
        <v>GRAND TOTAL</v>
      </c>
      <c r="B21" s="29">
        <f>IF(A21="","",COUNTIFS('Employee Master'!G$4:G$203,"*"&amp;A21&amp;"*",'Employee Master'!E$4:E$203,"Associate"))</f>
        <v>0</v>
      </c>
      <c r="C21" s="29">
        <f>IF(A21="","",COUNTIFS('Employee Master'!G$4:G$203,"*"&amp;A21&amp;"*",'Employee Master'!E$4:E$203,"Sr. Associate"))</f>
        <v>0</v>
      </c>
      <c r="D21" s="29">
        <f>IF(A21="","",COUNTIFS('Employee Master'!G$4:G$203,"*"&amp;A21&amp;"*",'Employee Master'!E$4:E$203,"Asst. Team Lead"))</f>
        <v>0</v>
      </c>
      <c r="E21" s="29">
        <f>IF(A21="","",COUNTIFS('Employee Master'!G$4:G$203,"*"&amp;A21&amp;"*",'Employee Master'!E$4:E$203,"Team Lead"))</f>
        <v>0</v>
      </c>
      <c r="F21" s="29">
        <f>IF(A21="","",COUNTIFS('Employee Master'!G$4:G$203,"*"&amp;A21&amp;"*",'Employee Master'!E$4:E$203,"Asst. Manager"))</f>
        <v>0</v>
      </c>
      <c r="G21" s="29">
        <f>IF(A21="","",COUNTIFS('Employee Master'!G$4:G$203,"*"&amp;A21&amp;"*",'Employee Master'!E$4:E$203,"Manager"))</f>
        <v>0</v>
      </c>
      <c r="H21" s="29">
        <f>IF(A21="","",COUNTIFS('Employee Master'!G$4:G$203,"*"&amp;A21&amp;"*",'Employee Master'!E$4:E$203,"Sr. Manager"))</f>
        <v>0</v>
      </c>
      <c r="I21" s="29">
        <f>IF(A21="","",COUNTIFS('Employee Master'!G$4:G$203,"*"&amp;A21&amp;"*",'Employee Master'!E$4:E$203,"Asst. Controller"))</f>
        <v>0</v>
      </c>
      <c r="J21" s="98">
        <f t="shared" si="0"/>
        <v>0</v>
      </c>
      <c r="K21" s="99">
        <f>IF(A21="","",SUMPRODUCT(('⑦ Controller-Firm Map'!A$4:A$91=A21)*IF(COUNTIFS('⑦ Controller-Firm Map'!B$4:B$91,'⑦ Controller-Firm Map'!B$4:B$91,'⑦ Controller-Firm Map'!A$4:A$91,A21)=0,0,1/COUNTIFS('⑦ Controller-Firm Map'!B$4:B$91,'⑦ Controller-Firm Map'!B$4:B$91,'⑦ Controller-Firm Map'!A$4:A$91,A21))))</f>
        <v>0</v>
      </c>
      <c r="L21" s="99">
        <f>IF(A21="","",COUNTIF('⑦ Controller-Firm Map'!A$4:A$91,A21))</f>
        <v>0</v>
      </c>
      <c r="M21" s="100">
        <f>IF(A21="","",SUMIF('⑦ Controller-Firm Map'!A$4:A$91,A21,'⑦ Controller-Firm Map'!D$4:D$91))</f>
        <v>0</v>
      </c>
      <c r="N21" s="50">
        <f>IF(A21="","",SUMIF('Employee Master'!G$4:G$203,"*"&amp;A21&amp;"*",'Employee Master'!J$4:J$203))</f>
        <v>0</v>
      </c>
      <c r="O21" s="52">
        <f>IF(A21="","",IF(J21=0,0,N21/(J21*Settings!B6)))</f>
        <v>0</v>
      </c>
      <c r="P21" s="51">
        <f>IF(A21="","",SUMIF('Employee Master'!G$4:G$203,"*"&amp;A21&amp;"*",'Employee Master'!M$4:M$203))</f>
        <v>0</v>
      </c>
      <c r="Q21" s="51">
        <f>IF(A21="","",SUMIF('⑦ Controller-Firm Map'!A$4:A$91,A21,'⑦ Controller-Firm Map'!G$4:G$91))</f>
        <v>0</v>
      </c>
      <c r="R21" s="97">
        <f t="shared" si="1"/>
        <v>0</v>
      </c>
      <c r="S21" s="52">
        <f t="shared" si="2"/>
        <v>0</v>
      </c>
      <c r="T21" s="50">
        <f t="shared" si="3"/>
        <v>0</v>
      </c>
      <c r="U21" s="51">
        <f t="shared" si="4"/>
        <v>0</v>
      </c>
      <c r="V21" s="27" t="str">
        <f t="shared" si="5"/>
        <v>NO TEAM</v>
      </c>
    </row>
    <row r="22" spans="1:22" ht="15" customHeight="1" x14ac:dyDescent="0.2">
      <c r="A22" s="27" t="str">
        <f>IF('Controller KPIs'!B22="","",'Controller KPIs'!B22)</f>
        <v>GRAND TOTAL</v>
      </c>
      <c r="B22" s="29">
        <f>IF(A22="","",COUNTIFS('Employee Master'!G$4:G$203,"*"&amp;A22&amp;"*",'Employee Master'!E$4:E$203,"Associate"))</f>
        <v>0</v>
      </c>
      <c r="C22" s="29">
        <f>IF(A22="","",COUNTIFS('Employee Master'!G$4:G$203,"*"&amp;A22&amp;"*",'Employee Master'!E$4:E$203,"Sr. Associate"))</f>
        <v>0</v>
      </c>
      <c r="D22" s="29">
        <f>IF(A22="","",COUNTIFS('Employee Master'!G$4:G$203,"*"&amp;A22&amp;"*",'Employee Master'!E$4:E$203,"Asst. Team Lead"))</f>
        <v>0</v>
      </c>
      <c r="E22" s="29">
        <f>IF(A22="","",COUNTIFS('Employee Master'!G$4:G$203,"*"&amp;A22&amp;"*",'Employee Master'!E$4:E$203,"Team Lead"))</f>
        <v>0</v>
      </c>
      <c r="F22" s="29">
        <f>IF(A22="","",COUNTIFS('Employee Master'!G$4:G$203,"*"&amp;A22&amp;"*",'Employee Master'!E$4:E$203,"Asst. Manager"))</f>
        <v>0</v>
      </c>
      <c r="G22" s="29">
        <f>IF(A22="","",COUNTIFS('Employee Master'!G$4:G$203,"*"&amp;A22&amp;"*",'Employee Master'!E$4:E$203,"Manager"))</f>
        <v>0</v>
      </c>
      <c r="H22" s="29">
        <f>IF(A22="","",COUNTIFS('Employee Master'!G$4:G$203,"*"&amp;A22&amp;"*",'Employee Master'!E$4:E$203,"Sr. Manager"))</f>
        <v>0</v>
      </c>
      <c r="I22" s="29">
        <f>IF(A22="","",COUNTIFS('Employee Master'!G$4:G$203,"*"&amp;A22&amp;"*",'Employee Master'!E$4:E$203,"Asst. Controller"))</f>
        <v>0</v>
      </c>
      <c r="J22" s="98">
        <f t="shared" si="0"/>
        <v>0</v>
      </c>
      <c r="K22" s="99">
        <f>IF(A22="","",SUMPRODUCT(('⑦ Controller-Firm Map'!A$4:A$91=A22)*IF(COUNTIFS('⑦ Controller-Firm Map'!B$4:B$91,'⑦ Controller-Firm Map'!B$4:B$91,'⑦ Controller-Firm Map'!A$4:A$91,A22)=0,0,1/COUNTIFS('⑦ Controller-Firm Map'!B$4:B$91,'⑦ Controller-Firm Map'!B$4:B$91,'⑦ Controller-Firm Map'!A$4:A$91,A22))))</f>
        <v>0</v>
      </c>
      <c r="L22" s="99">
        <f>IF(A22="","",COUNTIF('⑦ Controller-Firm Map'!A$4:A$91,A22))</f>
        <v>0</v>
      </c>
      <c r="M22" s="100">
        <f>IF(A22="","",SUMIF('⑦ Controller-Firm Map'!A$4:A$91,A22,'⑦ Controller-Firm Map'!D$4:D$91))</f>
        <v>0</v>
      </c>
      <c r="N22" s="50">
        <f>IF(A22="","",SUMIF('Employee Master'!G$4:G$203,"*"&amp;A22&amp;"*",'Employee Master'!J$4:J$203))</f>
        <v>0</v>
      </c>
      <c r="O22" s="52">
        <f>IF(A22="","",IF(J22=0,0,N22/(J22*Settings!B6)))</f>
        <v>0</v>
      </c>
      <c r="P22" s="51">
        <f>IF(A22="","",SUMIF('Employee Master'!G$4:G$203,"*"&amp;A22&amp;"*",'Employee Master'!M$4:M$203))</f>
        <v>0</v>
      </c>
      <c r="Q22" s="51">
        <f>IF(A22="","",SUMIF('⑦ Controller-Firm Map'!A$4:A$91,A22,'⑦ Controller-Firm Map'!G$4:G$91))</f>
        <v>0</v>
      </c>
      <c r="R22" s="97">
        <f t="shared" si="1"/>
        <v>0</v>
      </c>
      <c r="S22" s="52">
        <f t="shared" si="2"/>
        <v>0</v>
      </c>
      <c r="T22" s="50">
        <f t="shared" si="3"/>
        <v>0</v>
      </c>
      <c r="U22" s="51">
        <f t="shared" si="4"/>
        <v>0</v>
      </c>
      <c r="V22" s="27" t="str">
        <f t="shared" si="5"/>
        <v>NO TEAM</v>
      </c>
    </row>
    <row r="23" spans="1:22" ht="15" customHeight="1" x14ac:dyDescent="0.2">
      <c r="A23" s="27" t="str">
        <f>IF('Controller KPIs'!B23="","",'Controller KPIs'!B23)</f>
        <v>Reconciliation Check</v>
      </c>
      <c r="B23" s="29">
        <f>IF(A23="","",COUNTIFS('Employee Master'!G$4:G$203,"*"&amp;A23&amp;"*",'Employee Master'!E$4:E$203,"Associate"))</f>
        <v>0</v>
      </c>
      <c r="C23" s="29">
        <f>IF(A23="","",COUNTIFS('Employee Master'!G$4:G$203,"*"&amp;A23&amp;"*",'Employee Master'!E$4:E$203,"Sr. Associate"))</f>
        <v>0</v>
      </c>
      <c r="D23" s="29">
        <f>IF(A23="","",COUNTIFS('Employee Master'!G$4:G$203,"*"&amp;A23&amp;"*",'Employee Master'!E$4:E$203,"Asst. Team Lead"))</f>
        <v>0</v>
      </c>
      <c r="E23" s="29">
        <f>IF(A23="","",COUNTIFS('Employee Master'!G$4:G$203,"*"&amp;A23&amp;"*",'Employee Master'!E$4:E$203,"Team Lead"))</f>
        <v>0</v>
      </c>
      <c r="F23" s="29">
        <f>IF(A23="","",COUNTIFS('Employee Master'!G$4:G$203,"*"&amp;A23&amp;"*",'Employee Master'!E$4:E$203,"Asst. Manager"))</f>
        <v>0</v>
      </c>
      <c r="G23" s="29">
        <f>IF(A23="","",COUNTIFS('Employee Master'!G$4:G$203,"*"&amp;A23&amp;"*",'Employee Master'!E$4:E$203,"Manager"))</f>
        <v>0</v>
      </c>
      <c r="H23" s="29">
        <f>IF(A23="","",COUNTIFS('Employee Master'!G$4:G$203,"*"&amp;A23&amp;"*",'Employee Master'!E$4:E$203,"Sr. Manager"))</f>
        <v>0</v>
      </c>
      <c r="I23" s="29">
        <f>IF(A23="","",COUNTIFS('Employee Master'!G$4:G$203,"*"&amp;A23&amp;"*",'Employee Master'!E$4:E$203,"Asst. Controller"))</f>
        <v>0</v>
      </c>
      <c r="J23" s="98">
        <f t="shared" si="0"/>
        <v>0</v>
      </c>
      <c r="K23" s="99">
        <f>IF(A23="","",SUMPRODUCT(('⑦ Controller-Firm Map'!A$4:A$91=A23)*IF(COUNTIFS('⑦ Controller-Firm Map'!B$4:B$91,'⑦ Controller-Firm Map'!B$4:B$91,'⑦ Controller-Firm Map'!A$4:A$91,A23)=0,0,1/COUNTIFS('⑦ Controller-Firm Map'!B$4:B$91,'⑦ Controller-Firm Map'!B$4:B$91,'⑦ Controller-Firm Map'!A$4:A$91,A23))))</f>
        <v>0</v>
      </c>
      <c r="L23" s="99">
        <f>IF(A23="","",COUNTIF('⑦ Controller-Firm Map'!A$4:A$91,A23))</f>
        <v>0</v>
      </c>
      <c r="M23" s="100">
        <f>IF(A23="","",SUMIF('⑦ Controller-Firm Map'!A$4:A$91,A23,'⑦ Controller-Firm Map'!D$4:D$91))</f>
        <v>0</v>
      </c>
      <c r="N23" s="50">
        <f>IF(A23="","",SUMIF('Employee Master'!G$4:G$203,"*"&amp;A23&amp;"*",'Employee Master'!J$4:J$203))</f>
        <v>0</v>
      </c>
      <c r="O23" s="52">
        <f>IF(A23="","",IF(J23=0,0,N23/(J23*Settings!B6)))</f>
        <v>0</v>
      </c>
      <c r="P23" s="51">
        <f>IF(A23="","",SUMIF('Employee Master'!G$4:G$203,"*"&amp;A23&amp;"*",'Employee Master'!M$4:M$203))</f>
        <v>0</v>
      </c>
      <c r="Q23" s="51">
        <f>IF(A23="","",SUMIF('⑦ Controller-Firm Map'!A$4:A$91,A23,'⑦ Controller-Firm Map'!G$4:G$91))</f>
        <v>0</v>
      </c>
      <c r="R23" s="97">
        <f t="shared" si="1"/>
        <v>0</v>
      </c>
      <c r="S23" s="52">
        <f t="shared" si="2"/>
        <v>0</v>
      </c>
      <c r="T23" s="50">
        <f t="shared" si="3"/>
        <v>0</v>
      </c>
      <c r="U23" s="51">
        <f t="shared" si="4"/>
        <v>0</v>
      </c>
      <c r="V23" s="27" t="str">
        <f t="shared" si="5"/>
        <v>NO TEAM</v>
      </c>
    </row>
    <row r="24" spans="1:22" ht="15" customHeight="1" x14ac:dyDescent="0.2">
      <c r="A24" s="27" t="str">
        <f>IF('Controller KPIs'!B24="","",'Controller KPIs'!B24)</f>
        <v/>
      </c>
      <c r="B24" s="29" t="str">
        <f>IF(A24="","",COUNTIFS('Employee Master'!G$4:G$203,"*"&amp;A24&amp;"*",'Employee Master'!E$4:E$203,"Associate"))</f>
        <v/>
      </c>
      <c r="C24" s="29" t="str">
        <f>IF(A24="","",COUNTIFS('Employee Master'!G$4:G$203,"*"&amp;A24&amp;"*",'Employee Master'!E$4:E$203,"Sr. Associate"))</f>
        <v/>
      </c>
      <c r="D24" s="29" t="str">
        <f>IF(A24="","",COUNTIFS('Employee Master'!G$4:G$203,"*"&amp;A24&amp;"*",'Employee Master'!E$4:E$203,"Asst. Team Lead"))</f>
        <v/>
      </c>
      <c r="E24" s="29" t="str">
        <f>IF(A24="","",COUNTIFS('Employee Master'!G$4:G$203,"*"&amp;A24&amp;"*",'Employee Master'!E$4:E$203,"Team Lead"))</f>
        <v/>
      </c>
      <c r="F24" s="29" t="str">
        <f>IF(A24="","",COUNTIFS('Employee Master'!G$4:G$203,"*"&amp;A24&amp;"*",'Employee Master'!E$4:E$203,"Asst. Manager"))</f>
        <v/>
      </c>
      <c r="G24" s="29" t="str">
        <f>IF(A24="","",COUNTIFS('Employee Master'!G$4:G$203,"*"&amp;A24&amp;"*",'Employee Master'!E$4:E$203,"Manager"))</f>
        <v/>
      </c>
      <c r="H24" s="29" t="str">
        <f>IF(A24="","",COUNTIFS('Employee Master'!G$4:G$203,"*"&amp;A24&amp;"*",'Employee Master'!E$4:E$203,"Sr. Manager"))</f>
        <v/>
      </c>
      <c r="I24" s="29" t="str">
        <f>IF(A24="","",COUNTIFS('Employee Master'!G$4:G$203,"*"&amp;A24&amp;"*",'Employee Master'!E$4:E$203,"Asst. Controller"))</f>
        <v/>
      </c>
      <c r="J24" s="98" t="str">
        <f t="shared" si="0"/>
        <v/>
      </c>
      <c r="K24" s="99" t="str">
        <f>IF(A24="","",SUMPRODUCT(('⑦ Controller-Firm Map'!A$4:A$91=A24)*IF(COUNTIFS('⑦ Controller-Firm Map'!B$4:B$91,'⑦ Controller-Firm Map'!B$4:B$91,'⑦ Controller-Firm Map'!A$4:A$91,A24)=0,0,1/COUNTIFS('⑦ Controller-Firm Map'!B$4:B$91,'⑦ Controller-Firm Map'!B$4:B$91,'⑦ Controller-Firm Map'!A$4:A$91,A24))))</f>
        <v/>
      </c>
      <c r="L24" s="99" t="str">
        <f>IF(A24="","",COUNTIF('⑦ Controller-Firm Map'!A$4:A$91,A24))</f>
        <v/>
      </c>
      <c r="M24" s="100" t="str">
        <f>IF(A24="","",SUMIF('⑦ Controller-Firm Map'!A$4:A$91,A24,'⑦ Controller-Firm Map'!D$4:D$91))</f>
        <v/>
      </c>
      <c r="N24" s="50" t="str">
        <f>IF(A24="","",SUMIF('Employee Master'!G$4:G$203,"*"&amp;A24&amp;"*",'Employee Master'!J$4:J$203))</f>
        <v/>
      </c>
      <c r="O24" s="52" t="str">
        <f>IF(A24="","",IF(J24=0,0,N24/(J24*Settings!B6)))</f>
        <v/>
      </c>
      <c r="P24" s="51" t="str">
        <f>IF(A24="","",SUMIF('Employee Master'!G$4:G$203,"*"&amp;A24&amp;"*",'Employee Master'!M$4:M$203))</f>
        <v/>
      </c>
      <c r="Q24" s="51" t="str">
        <f>IF(A24="","",SUMIF('⑦ Controller-Firm Map'!A$4:A$91,A24,'⑦ Controller-Firm Map'!G$4:G$91))</f>
        <v/>
      </c>
      <c r="R24" s="97" t="str">
        <f t="shared" si="1"/>
        <v/>
      </c>
      <c r="S24" s="52" t="str">
        <f t="shared" si="2"/>
        <v/>
      </c>
      <c r="T24" s="50" t="str">
        <f t="shared" si="3"/>
        <v/>
      </c>
      <c r="U24" s="51" t="str">
        <f t="shared" si="4"/>
        <v/>
      </c>
      <c r="V24" s="27" t="str">
        <f t="shared" si="5"/>
        <v/>
      </c>
    </row>
    <row r="25" spans="1:22" ht="15" customHeight="1" x14ac:dyDescent="0.2">
      <c r="A25" s="27" t="str">
        <f>IF('Controller KPIs'!B25="","",'Controller KPIs'!B25)</f>
        <v/>
      </c>
      <c r="B25" s="29" t="str">
        <f>IF(A25="","",COUNTIFS('Employee Master'!G$4:G$203,"*"&amp;A25&amp;"*",'Employee Master'!E$4:E$203,"Associate"))</f>
        <v/>
      </c>
      <c r="C25" s="29" t="str">
        <f>IF(A25="","",COUNTIFS('Employee Master'!G$4:G$203,"*"&amp;A25&amp;"*",'Employee Master'!E$4:E$203,"Sr. Associate"))</f>
        <v/>
      </c>
      <c r="D25" s="29" t="str">
        <f>IF(A25="","",COUNTIFS('Employee Master'!G$4:G$203,"*"&amp;A25&amp;"*",'Employee Master'!E$4:E$203,"Asst. Team Lead"))</f>
        <v/>
      </c>
      <c r="E25" s="29" t="str">
        <f>IF(A25="","",COUNTIFS('Employee Master'!G$4:G$203,"*"&amp;A25&amp;"*",'Employee Master'!E$4:E$203,"Team Lead"))</f>
        <v/>
      </c>
      <c r="F25" s="29" t="str">
        <f>IF(A25="","",COUNTIFS('Employee Master'!G$4:G$203,"*"&amp;A25&amp;"*",'Employee Master'!E$4:E$203,"Asst. Manager"))</f>
        <v/>
      </c>
      <c r="G25" s="29" t="str">
        <f>IF(A25="","",COUNTIFS('Employee Master'!G$4:G$203,"*"&amp;A25&amp;"*",'Employee Master'!E$4:E$203,"Manager"))</f>
        <v/>
      </c>
      <c r="H25" s="29" t="str">
        <f>IF(A25="","",COUNTIFS('Employee Master'!G$4:G$203,"*"&amp;A25&amp;"*",'Employee Master'!E$4:E$203,"Sr. Manager"))</f>
        <v/>
      </c>
      <c r="I25" s="29" t="str">
        <f>IF(A25="","",COUNTIFS('Employee Master'!G$4:G$203,"*"&amp;A25&amp;"*",'Employee Master'!E$4:E$203,"Asst. Controller"))</f>
        <v/>
      </c>
      <c r="J25" s="98" t="str">
        <f t="shared" si="0"/>
        <v/>
      </c>
      <c r="K25" s="99" t="str">
        <f>IF(A25="","",SUMPRODUCT(('⑦ Controller-Firm Map'!A$4:A$91=A25)*IF(COUNTIFS('⑦ Controller-Firm Map'!B$4:B$91,'⑦ Controller-Firm Map'!B$4:B$91,'⑦ Controller-Firm Map'!A$4:A$91,A25)=0,0,1/COUNTIFS('⑦ Controller-Firm Map'!B$4:B$91,'⑦ Controller-Firm Map'!B$4:B$91,'⑦ Controller-Firm Map'!A$4:A$91,A25))))</f>
        <v/>
      </c>
      <c r="L25" s="99" t="str">
        <f>IF(A25="","",COUNTIF('⑦ Controller-Firm Map'!A$4:A$91,A25))</f>
        <v/>
      </c>
      <c r="M25" s="100" t="str">
        <f>IF(A25="","",SUMIF('⑦ Controller-Firm Map'!A$4:A$91,A25,'⑦ Controller-Firm Map'!D$4:D$91))</f>
        <v/>
      </c>
      <c r="N25" s="50" t="str">
        <f>IF(A25="","",SUMIF('Employee Master'!G$4:G$203,"*"&amp;A25&amp;"*",'Employee Master'!J$4:J$203))</f>
        <v/>
      </c>
      <c r="O25" s="52" t="str">
        <f>IF(A25="","",IF(J25=0,0,N25/(J25*Settings!B6)))</f>
        <v/>
      </c>
      <c r="P25" s="51" t="str">
        <f>IF(A25="","",SUMIF('Employee Master'!G$4:G$203,"*"&amp;A25&amp;"*",'Employee Master'!M$4:M$203))</f>
        <v/>
      </c>
      <c r="Q25" s="51" t="str">
        <f>IF(A25="","",SUMIF('⑦ Controller-Firm Map'!A$4:A$91,A25,'⑦ Controller-Firm Map'!G$4:G$91))</f>
        <v/>
      </c>
      <c r="R25" s="97" t="str">
        <f t="shared" si="1"/>
        <v/>
      </c>
      <c r="S25" s="52" t="str">
        <f t="shared" si="2"/>
        <v/>
      </c>
      <c r="T25" s="50" t="str">
        <f t="shared" si="3"/>
        <v/>
      </c>
      <c r="U25" s="51" t="str">
        <f t="shared" si="4"/>
        <v/>
      </c>
      <c r="V25" s="27" t="str">
        <f t="shared" si="5"/>
        <v/>
      </c>
    </row>
    <row r="26" spans="1:22" ht="15" customHeight="1" x14ac:dyDescent="0.2">
      <c r="A26" s="27" t="str">
        <f>IF('Controller KPIs'!B26="","",'Controller KPIs'!B26)</f>
        <v/>
      </c>
      <c r="B26" s="29" t="str">
        <f>IF(A26="","",COUNTIFS('Employee Master'!G$4:G$203,"*"&amp;A26&amp;"*",'Employee Master'!E$4:E$203,"Associate"))</f>
        <v/>
      </c>
      <c r="C26" s="29" t="str">
        <f>IF(A26="","",COUNTIFS('Employee Master'!G$4:G$203,"*"&amp;A26&amp;"*",'Employee Master'!E$4:E$203,"Sr. Associate"))</f>
        <v/>
      </c>
      <c r="D26" s="29" t="str">
        <f>IF(A26="","",COUNTIFS('Employee Master'!G$4:G$203,"*"&amp;A26&amp;"*",'Employee Master'!E$4:E$203,"Asst. Team Lead"))</f>
        <v/>
      </c>
      <c r="E26" s="29" t="str">
        <f>IF(A26="","",COUNTIFS('Employee Master'!G$4:G$203,"*"&amp;A26&amp;"*",'Employee Master'!E$4:E$203,"Team Lead"))</f>
        <v/>
      </c>
      <c r="F26" s="29" t="str">
        <f>IF(A26="","",COUNTIFS('Employee Master'!G$4:G$203,"*"&amp;A26&amp;"*",'Employee Master'!E$4:E$203,"Asst. Manager"))</f>
        <v/>
      </c>
      <c r="G26" s="29" t="str">
        <f>IF(A26="","",COUNTIFS('Employee Master'!G$4:G$203,"*"&amp;A26&amp;"*",'Employee Master'!E$4:E$203,"Manager"))</f>
        <v/>
      </c>
      <c r="H26" s="29" t="str">
        <f>IF(A26="","",COUNTIFS('Employee Master'!G$4:G$203,"*"&amp;A26&amp;"*",'Employee Master'!E$4:E$203,"Sr. Manager"))</f>
        <v/>
      </c>
      <c r="I26" s="29" t="str">
        <f>IF(A26="","",COUNTIFS('Employee Master'!G$4:G$203,"*"&amp;A26&amp;"*",'Employee Master'!E$4:E$203,"Asst. Controller"))</f>
        <v/>
      </c>
      <c r="J26" s="98" t="str">
        <f t="shared" si="0"/>
        <v/>
      </c>
      <c r="K26" s="99" t="str">
        <f>IF(A26="","",SUMPRODUCT(('⑦ Controller-Firm Map'!A$4:A$91=A26)*IF(COUNTIFS('⑦ Controller-Firm Map'!B$4:B$91,'⑦ Controller-Firm Map'!B$4:B$91,'⑦ Controller-Firm Map'!A$4:A$91,A26)=0,0,1/COUNTIFS('⑦ Controller-Firm Map'!B$4:B$91,'⑦ Controller-Firm Map'!B$4:B$91,'⑦ Controller-Firm Map'!A$4:A$91,A26))))</f>
        <v/>
      </c>
      <c r="L26" s="99" t="str">
        <f>IF(A26="","",COUNTIF('⑦ Controller-Firm Map'!A$4:A$91,A26))</f>
        <v/>
      </c>
      <c r="M26" s="100" t="str">
        <f>IF(A26="","",SUMIF('⑦ Controller-Firm Map'!A$4:A$91,A26,'⑦ Controller-Firm Map'!D$4:D$91))</f>
        <v/>
      </c>
      <c r="N26" s="50" t="str">
        <f>IF(A26="","",SUMIF('Employee Master'!G$4:G$203,"*"&amp;A26&amp;"*",'Employee Master'!J$4:J$203))</f>
        <v/>
      </c>
      <c r="O26" s="52" t="str">
        <f>IF(A26="","",IF(J26=0,0,N26/(J26*Settings!B6)))</f>
        <v/>
      </c>
      <c r="P26" s="51" t="str">
        <f>IF(A26="","",SUMIF('Employee Master'!G$4:G$203,"*"&amp;A26&amp;"*",'Employee Master'!M$4:M$203))</f>
        <v/>
      </c>
      <c r="Q26" s="51" t="str">
        <f>IF(A26="","",SUMIF('⑦ Controller-Firm Map'!A$4:A$91,A26,'⑦ Controller-Firm Map'!G$4:G$91))</f>
        <v/>
      </c>
      <c r="R26" s="97" t="str">
        <f t="shared" si="1"/>
        <v/>
      </c>
      <c r="S26" s="52" t="str">
        <f t="shared" si="2"/>
        <v/>
      </c>
      <c r="T26" s="50" t="str">
        <f t="shared" si="3"/>
        <v/>
      </c>
      <c r="U26" s="51" t="str">
        <f t="shared" si="4"/>
        <v/>
      </c>
      <c r="V26" s="27" t="str">
        <f t="shared" si="5"/>
        <v/>
      </c>
    </row>
    <row r="27" spans="1:22" ht="15" customHeight="1" x14ac:dyDescent="0.2">
      <c r="A27" s="27" t="str">
        <f>IF('Controller KPIs'!B27="","",'Controller KPIs'!B27)</f>
        <v/>
      </c>
      <c r="B27" s="29" t="str">
        <f>IF(A27="","",COUNTIFS('Employee Master'!G$4:G$203,"*"&amp;A27&amp;"*",'Employee Master'!E$4:E$203,"Associate"))</f>
        <v/>
      </c>
      <c r="C27" s="29" t="str">
        <f>IF(A27="","",COUNTIFS('Employee Master'!G$4:G$203,"*"&amp;A27&amp;"*",'Employee Master'!E$4:E$203,"Sr. Associate"))</f>
        <v/>
      </c>
      <c r="D27" s="29" t="str">
        <f>IF(A27="","",COUNTIFS('Employee Master'!G$4:G$203,"*"&amp;A27&amp;"*",'Employee Master'!E$4:E$203,"Asst. Team Lead"))</f>
        <v/>
      </c>
      <c r="E27" s="29" t="str">
        <f>IF(A27="","",COUNTIFS('Employee Master'!G$4:G$203,"*"&amp;A27&amp;"*",'Employee Master'!E$4:E$203,"Team Lead"))</f>
        <v/>
      </c>
      <c r="F27" s="29" t="str">
        <f>IF(A27="","",COUNTIFS('Employee Master'!G$4:G$203,"*"&amp;A27&amp;"*",'Employee Master'!E$4:E$203,"Asst. Manager"))</f>
        <v/>
      </c>
      <c r="G27" s="29" t="str">
        <f>IF(A27="","",COUNTIFS('Employee Master'!G$4:G$203,"*"&amp;A27&amp;"*",'Employee Master'!E$4:E$203,"Manager"))</f>
        <v/>
      </c>
      <c r="H27" s="29" t="str">
        <f>IF(A27="","",COUNTIFS('Employee Master'!G$4:G$203,"*"&amp;A27&amp;"*",'Employee Master'!E$4:E$203,"Sr. Manager"))</f>
        <v/>
      </c>
      <c r="I27" s="29" t="str">
        <f>IF(A27="","",COUNTIFS('Employee Master'!G$4:G$203,"*"&amp;A27&amp;"*",'Employee Master'!E$4:E$203,"Asst. Controller"))</f>
        <v/>
      </c>
      <c r="J27" s="98" t="str">
        <f t="shared" si="0"/>
        <v/>
      </c>
      <c r="K27" s="99" t="str">
        <f>IF(A27="","",SUMPRODUCT(('⑦ Controller-Firm Map'!A$4:A$91=A27)*IF(COUNTIFS('⑦ Controller-Firm Map'!B$4:B$91,'⑦ Controller-Firm Map'!B$4:B$91,'⑦ Controller-Firm Map'!A$4:A$91,A27)=0,0,1/COUNTIFS('⑦ Controller-Firm Map'!B$4:B$91,'⑦ Controller-Firm Map'!B$4:B$91,'⑦ Controller-Firm Map'!A$4:A$91,A27))))</f>
        <v/>
      </c>
      <c r="L27" s="99" t="str">
        <f>IF(A27="","",COUNTIF('⑦ Controller-Firm Map'!A$4:A$91,A27))</f>
        <v/>
      </c>
      <c r="M27" s="100" t="str">
        <f>IF(A27="","",SUMIF('⑦ Controller-Firm Map'!A$4:A$91,A27,'⑦ Controller-Firm Map'!D$4:D$91))</f>
        <v/>
      </c>
      <c r="N27" s="50" t="str">
        <f>IF(A27="","",SUMIF('Employee Master'!G$4:G$203,"*"&amp;A27&amp;"*",'Employee Master'!J$4:J$203))</f>
        <v/>
      </c>
      <c r="O27" s="52" t="str">
        <f>IF(A27="","",IF(J27=0,0,N27/(J27*Settings!B6)))</f>
        <v/>
      </c>
      <c r="P27" s="51" t="str">
        <f>IF(A27="","",SUMIF('Employee Master'!G$4:G$203,"*"&amp;A27&amp;"*",'Employee Master'!M$4:M$203))</f>
        <v/>
      </c>
      <c r="Q27" s="51" t="str">
        <f>IF(A27="","",SUMIF('⑦ Controller-Firm Map'!A$4:A$91,A27,'⑦ Controller-Firm Map'!G$4:G$91))</f>
        <v/>
      </c>
      <c r="R27" s="97" t="str">
        <f t="shared" si="1"/>
        <v/>
      </c>
      <c r="S27" s="52" t="str">
        <f t="shared" si="2"/>
        <v/>
      </c>
      <c r="T27" s="50" t="str">
        <f t="shared" si="3"/>
        <v/>
      </c>
      <c r="U27" s="51" t="str">
        <f t="shared" si="4"/>
        <v/>
      </c>
      <c r="V27" s="27" t="str">
        <f t="shared" si="5"/>
        <v/>
      </c>
    </row>
    <row r="28" spans="1:22" ht="15" customHeight="1" x14ac:dyDescent="0.2">
      <c r="A28" s="27" t="str">
        <f>IF('Controller KPIs'!B28="","",'Controller KPIs'!B28)</f>
        <v/>
      </c>
      <c r="B28" s="29" t="str">
        <f>IF(A28="","",COUNTIFS('Employee Master'!G$4:G$203,"*"&amp;A28&amp;"*",'Employee Master'!E$4:E$203,"Associate"))</f>
        <v/>
      </c>
      <c r="C28" s="29" t="str">
        <f>IF(A28="","",COUNTIFS('Employee Master'!G$4:G$203,"*"&amp;A28&amp;"*",'Employee Master'!E$4:E$203,"Sr. Associate"))</f>
        <v/>
      </c>
      <c r="D28" s="29" t="str">
        <f>IF(A28="","",COUNTIFS('Employee Master'!G$4:G$203,"*"&amp;A28&amp;"*",'Employee Master'!E$4:E$203,"Asst. Team Lead"))</f>
        <v/>
      </c>
      <c r="E28" s="29" t="str">
        <f>IF(A28="","",COUNTIFS('Employee Master'!G$4:G$203,"*"&amp;A28&amp;"*",'Employee Master'!E$4:E$203,"Team Lead"))</f>
        <v/>
      </c>
      <c r="F28" s="29" t="str">
        <f>IF(A28="","",COUNTIFS('Employee Master'!G$4:G$203,"*"&amp;A28&amp;"*",'Employee Master'!E$4:E$203,"Asst. Manager"))</f>
        <v/>
      </c>
      <c r="G28" s="29" t="str">
        <f>IF(A28="","",COUNTIFS('Employee Master'!G$4:G$203,"*"&amp;A28&amp;"*",'Employee Master'!E$4:E$203,"Manager"))</f>
        <v/>
      </c>
      <c r="H28" s="29" t="str">
        <f>IF(A28="","",COUNTIFS('Employee Master'!G$4:G$203,"*"&amp;A28&amp;"*",'Employee Master'!E$4:E$203,"Sr. Manager"))</f>
        <v/>
      </c>
      <c r="I28" s="29" t="str">
        <f>IF(A28="","",COUNTIFS('Employee Master'!G$4:G$203,"*"&amp;A28&amp;"*",'Employee Master'!E$4:E$203,"Asst. Controller"))</f>
        <v/>
      </c>
      <c r="J28" s="98" t="str">
        <f t="shared" si="0"/>
        <v/>
      </c>
      <c r="K28" s="99" t="str">
        <f>IF(A28="","",SUMPRODUCT(('⑦ Controller-Firm Map'!A$4:A$91=A28)*IF(COUNTIFS('⑦ Controller-Firm Map'!B$4:B$91,'⑦ Controller-Firm Map'!B$4:B$91,'⑦ Controller-Firm Map'!A$4:A$91,A28)=0,0,1/COUNTIFS('⑦ Controller-Firm Map'!B$4:B$91,'⑦ Controller-Firm Map'!B$4:B$91,'⑦ Controller-Firm Map'!A$4:A$91,A28))))</f>
        <v/>
      </c>
      <c r="L28" s="99" t="str">
        <f>IF(A28="","",COUNTIF('⑦ Controller-Firm Map'!A$4:A$91,A28))</f>
        <v/>
      </c>
      <c r="M28" s="100" t="str">
        <f>IF(A28="","",SUMIF('⑦ Controller-Firm Map'!A$4:A$91,A28,'⑦ Controller-Firm Map'!D$4:D$91))</f>
        <v/>
      </c>
      <c r="N28" s="50" t="str">
        <f>IF(A28="","",SUMIF('Employee Master'!G$4:G$203,"*"&amp;A28&amp;"*",'Employee Master'!J$4:J$203))</f>
        <v/>
      </c>
      <c r="O28" s="52" t="str">
        <f>IF(A28="","",IF(J28=0,0,N28/(J28*Settings!B6)))</f>
        <v/>
      </c>
      <c r="P28" s="51" t="str">
        <f>IF(A28="","",SUMIF('Employee Master'!G$4:G$203,"*"&amp;A28&amp;"*",'Employee Master'!M$4:M$203))</f>
        <v/>
      </c>
      <c r="Q28" s="51" t="str">
        <f>IF(A28="","",SUMIF('⑦ Controller-Firm Map'!A$4:A$91,A28,'⑦ Controller-Firm Map'!G$4:G$91))</f>
        <v/>
      </c>
      <c r="R28" s="97" t="str">
        <f t="shared" si="1"/>
        <v/>
      </c>
      <c r="S28" s="52" t="str">
        <f t="shared" si="2"/>
        <v/>
      </c>
      <c r="T28" s="50" t="str">
        <f t="shared" si="3"/>
        <v/>
      </c>
      <c r="U28" s="51" t="str">
        <f t="shared" si="4"/>
        <v/>
      </c>
      <c r="V28" s="27" t="str">
        <f t="shared" si="5"/>
        <v/>
      </c>
    </row>
    <row r="29" spans="1:22" ht="15" customHeight="1" x14ac:dyDescent="0.2">
      <c r="A29" s="31" t="s">
        <v>925</v>
      </c>
      <c r="B29" s="33">
        <f t="shared" ref="B29:N29" si="6">SUM(B4:B28)</f>
        <v>35</v>
      </c>
      <c r="C29" s="33">
        <f t="shared" si="6"/>
        <v>45</v>
      </c>
      <c r="D29" s="33">
        <f t="shared" si="6"/>
        <v>22</v>
      </c>
      <c r="E29" s="33">
        <f t="shared" si="6"/>
        <v>6</v>
      </c>
      <c r="F29" s="33">
        <f t="shared" si="6"/>
        <v>1</v>
      </c>
      <c r="G29" s="33">
        <f t="shared" si="6"/>
        <v>13</v>
      </c>
      <c r="H29" s="33">
        <f t="shared" si="6"/>
        <v>3</v>
      </c>
      <c r="I29" s="33">
        <f t="shared" si="6"/>
        <v>0</v>
      </c>
      <c r="J29" s="33">
        <f t="shared" si="6"/>
        <v>125</v>
      </c>
      <c r="K29" s="33">
        <f t="shared" si="6"/>
        <v>51</v>
      </c>
      <c r="L29" s="33">
        <f t="shared" si="6"/>
        <v>87</v>
      </c>
      <c r="M29" s="44">
        <f t="shared" si="6"/>
        <v>88</v>
      </c>
      <c r="N29" s="33">
        <f t="shared" si="6"/>
        <v>13431.029999999999</v>
      </c>
      <c r="O29" s="42">
        <f>IFERROR(AVERAGE(O4:O28),0)</f>
        <v>0.4081024785677192</v>
      </c>
      <c r="P29" s="33">
        <f>SUM(P4:P28)</f>
        <v>5822497</v>
      </c>
      <c r="Q29" s="33">
        <f>SUM(Q4:Q28)</f>
        <v>10463500</v>
      </c>
      <c r="R29" s="33">
        <f>SUM(R4:R28)</f>
        <v>4641003</v>
      </c>
      <c r="S29" s="42">
        <f>IFERROR(AVERAGE(S4:S28),0)</f>
        <v>1.2175665149092265</v>
      </c>
      <c r="T29" s="44">
        <f>IFERROR(AVERAGE(T4:T28),0)</f>
        <v>65.296396570835086</v>
      </c>
      <c r="U29" s="33">
        <f>IFERROR(AVERAGE(U4:U28),0)</f>
        <v>326.52563174674339</v>
      </c>
      <c r="V29" s="32"/>
    </row>
    <row r="31" spans="1:22" ht="15" customHeight="1" x14ac:dyDescent="0.2">
      <c r="A31" s="153" t="s">
        <v>926</v>
      </c>
      <c r="B31" s="153"/>
      <c r="C31" s="153"/>
      <c r="D31" s="153"/>
      <c r="E31" s="153"/>
      <c r="F31" s="153"/>
    </row>
    <row r="32" spans="1:22" ht="23.25" customHeight="1" x14ac:dyDescent="0.2">
      <c r="A32" s="12" t="s">
        <v>852</v>
      </c>
      <c r="B32" s="12" t="s">
        <v>927</v>
      </c>
      <c r="C32" s="12" t="s">
        <v>928</v>
      </c>
      <c r="D32" s="12" t="s">
        <v>800</v>
      </c>
      <c r="E32" s="12" t="s">
        <v>6</v>
      </c>
    </row>
    <row r="33" spans="1:8" ht="45.75" customHeight="1" x14ac:dyDescent="0.2">
      <c r="A33" s="27" t="s">
        <v>929</v>
      </c>
      <c r="B33" s="27" t="s">
        <v>930</v>
      </c>
      <c r="C33" s="50">
        <f>IFERROR(AVERAGEIF(J4:J28,"&gt;"&amp;0),0)</f>
        <v>8.9285714285714288</v>
      </c>
      <c r="D33" s="27" t="str">
        <f>IF(AND(C33&gt;=8,C33&lt;=12),"OK",IF(C33&gt;12,"OVERLOADED","UNDERSTAFFED"))</f>
        <v>OK</v>
      </c>
      <c r="E33" s="27" t="s">
        <v>931</v>
      </c>
    </row>
    <row r="34" spans="1:8" ht="45.75" customHeight="1" x14ac:dyDescent="0.2">
      <c r="A34" s="27" t="s">
        <v>932</v>
      </c>
      <c r="B34" s="27" t="s">
        <v>933</v>
      </c>
      <c r="C34" s="50">
        <f>IFERROR(AVERAGEIF(K4:K28,"&gt;"&amp;0),0)</f>
        <v>17</v>
      </c>
      <c r="D34" s="27" t="str">
        <f>IF(AND(C34&gt;=8,C34&lt;=15),"OK",IF(C34&gt;15,"HIGH LOAD","CAPACITY AVAILABLE"))</f>
        <v>HIGH LOAD</v>
      </c>
      <c r="E34" s="27" t="s">
        <v>934</v>
      </c>
    </row>
    <row r="35" spans="1:8" ht="23.25" customHeight="1" x14ac:dyDescent="0.2">
      <c r="A35" s="27" t="s">
        <v>935</v>
      </c>
      <c r="B35" s="27" t="s">
        <v>936</v>
      </c>
      <c r="C35" s="50">
        <f>IFERROR(AVERAGEIF(M4:M28,"&gt;"&amp;0),0)</f>
        <v>8.8000000000000007</v>
      </c>
      <c r="D35" s="27" t="str">
        <f>IF(AND(C35&gt;=10,C35&lt;=20),"OK",IF(C35&gt;20,"OVERLOADED","UNDERUTILIZED"))</f>
        <v>UNDERUTILIZED</v>
      </c>
      <c r="E35" s="27" t="s">
        <v>937</v>
      </c>
    </row>
    <row r="36" spans="1:8" ht="34.5" customHeight="1" x14ac:dyDescent="0.2">
      <c r="A36" s="27" t="s">
        <v>938</v>
      </c>
      <c r="B36" s="27" t="s">
        <v>939</v>
      </c>
      <c r="C36" s="52">
        <f>IFERROR(AVERAGE(O4:O28),0)</f>
        <v>0.4081024785677192</v>
      </c>
      <c r="D36" s="27" t="str">
        <f>IF(C36&gt;=0.75,"OK",IF(C36&gt;=0.65,"NEAR TARGET","BELOW TARGET"))</f>
        <v>BELOW TARGET</v>
      </c>
      <c r="E36" s="27" t="s">
        <v>940</v>
      </c>
    </row>
    <row r="37" spans="1:8" ht="34.5" customHeight="1" x14ac:dyDescent="0.2">
      <c r="A37" s="27" t="s">
        <v>941</v>
      </c>
      <c r="B37" s="27" t="s">
        <v>942</v>
      </c>
      <c r="C37" s="52">
        <f>IFERROR(AVERAGE(S4:S28),0)</f>
        <v>1.2175665149092265</v>
      </c>
      <c r="D37" s="27" t="str">
        <f>IF(C37&gt;=0.3,"STRONG",IF(C37&gt;=0.1,"MODERATE",IF(C37&gt;=0,"BREAK-EVEN","LOSS")))</f>
        <v>STRONG</v>
      </c>
      <c r="E37" s="27" t="s">
        <v>943</v>
      </c>
    </row>
    <row r="40" spans="1:8" ht="15" customHeight="1" x14ac:dyDescent="0.2">
      <c r="A40" s="153" t="s">
        <v>944</v>
      </c>
      <c r="B40" s="153"/>
      <c r="C40" s="153"/>
      <c r="D40" s="153"/>
      <c r="E40" s="153"/>
      <c r="F40" s="153"/>
      <c r="G40" s="153"/>
      <c r="H40" s="153"/>
    </row>
    <row r="41" spans="1:8" ht="23.25" customHeight="1" x14ac:dyDescent="0.2">
      <c r="A41" s="90" t="s">
        <v>66</v>
      </c>
      <c r="B41" s="90" t="s">
        <v>945</v>
      </c>
      <c r="C41" s="90" t="s">
        <v>830</v>
      </c>
      <c r="D41" s="90" t="s">
        <v>831</v>
      </c>
      <c r="E41" s="90" t="s">
        <v>800</v>
      </c>
      <c r="F41" s="90" t="s">
        <v>946</v>
      </c>
      <c r="G41" s="90" t="s">
        <v>947</v>
      </c>
      <c r="H41" s="90" t="s">
        <v>948</v>
      </c>
    </row>
    <row r="42" spans="1:8" ht="15" customHeight="1" x14ac:dyDescent="0.2">
      <c r="A42" s="101" t="str">
        <f>IF('⑦ Controller-Firm Map'!A4="","",'⑦ Controller-Firm Map'!A4)</f>
        <v>Nikita Shah</v>
      </c>
      <c r="B42" s="101" t="str">
        <f>IF('⑦ Controller-Firm Map'!A4="","",'⑦ Controller-Firm Map'!B4)</f>
        <v>AB CAPSTONE GROUP</v>
      </c>
      <c r="C42" s="101" t="str">
        <f>IF('⑦ Controller-Firm Map'!A4="","",'⑦ Controller-Firm Map'!C4)</f>
        <v>Accounting</v>
      </c>
      <c r="D42" s="39">
        <f>IF('⑦ Controller-Firm Map'!A4="","",'⑦ Controller-Firm Map'!D4)</f>
        <v>1.5</v>
      </c>
      <c r="E42" s="101" t="str">
        <f>IF('⑦ Controller-Firm Map'!A4="","",'⑦ Controller-Firm Map'!E4)</f>
        <v>ACTIVE</v>
      </c>
      <c r="F42" s="43">
        <f>IF('⑦ Controller-Firm Map'!A4="","",'⑦ Controller-Firm Map'!F4)</f>
        <v>0</v>
      </c>
      <c r="G42" s="29">
        <f>IF('⑦ Controller-Firm Map'!A4="","",'⑦ Controller-Firm Map'!G4)</f>
        <v>0</v>
      </c>
      <c r="H42" s="43">
        <f>IF('⑦ Controller-Firm Map'!A4="","",'⑦ Controller-Firm Map'!H4)</f>
        <v>0</v>
      </c>
    </row>
    <row r="43" spans="1:8" ht="15" customHeight="1" x14ac:dyDescent="0.2">
      <c r="A43" s="101" t="str">
        <f>IF('⑦ Controller-Firm Map'!A5="","",'⑦ Controller-Firm Map'!A5)</f>
        <v>Nikita Shah</v>
      </c>
      <c r="B43" s="101" t="str">
        <f>IF('⑦ Controller-Firm Map'!A5="","",'⑦ Controller-Firm Map'!B5)</f>
        <v>ACE CPA</v>
      </c>
      <c r="C43" s="101" t="str">
        <f>IF('⑦ Controller-Firm Map'!A5="","",'⑦ Controller-Firm Map'!C5)</f>
        <v>Accounting</v>
      </c>
      <c r="D43" s="39">
        <f>IF('⑦ Controller-Firm Map'!A5="","",'⑦ Controller-Firm Map'!D5)</f>
        <v>2</v>
      </c>
      <c r="E43" s="101" t="str">
        <f>IF('⑦ Controller-Firm Map'!A5="","",'⑦ Controller-Firm Map'!E5)</f>
        <v>ACTIVE</v>
      </c>
      <c r="F43" s="43">
        <f>IF('⑦ Controller-Firm Map'!A5="","",'⑦ Controller-Firm Map'!F5)</f>
        <v>3400</v>
      </c>
      <c r="G43" s="29">
        <f>IF('⑦ Controller-Firm Map'!A5="","",'⑦ Controller-Firm Map'!G5)</f>
        <v>289000</v>
      </c>
      <c r="H43" s="43">
        <f>IF('⑦ Controller-Firm Map'!A5="","",'⑦ Controller-Firm Map'!H5)</f>
        <v>1700</v>
      </c>
    </row>
    <row r="44" spans="1:8" ht="15" customHeight="1" x14ac:dyDescent="0.2">
      <c r="A44" s="101" t="str">
        <f>IF('⑦ Controller-Firm Map'!A6="","",'⑦ Controller-Firm Map'!A6)</f>
        <v>Nikita Shah</v>
      </c>
      <c r="B44" s="101" t="str">
        <f>IF('⑦ Controller-Firm Map'!A6="","",'⑦ Controller-Firm Map'!B6)</f>
        <v>ACT NOW FINANCIAL SERVICES, LLC</v>
      </c>
      <c r="C44" s="101" t="str">
        <f>IF('⑦ Controller-Firm Map'!A6="","",'⑦ Controller-Firm Map'!C6)</f>
        <v>Accounting</v>
      </c>
      <c r="D44" s="39">
        <f>IF('⑦ Controller-Firm Map'!A6="","",'⑦ Controller-Firm Map'!D6)</f>
        <v>0.5</v>
      </c>
      <c r="E44" s="101" t="str">
        <f>IF('⑦ Controller-Firm Map'!A6="","",'⑦ Controller-Firm Map'!E6)</f>
        <v>ACTIVE</v>
      </c>
      <c r="F44" s="43">
        <f>IF('⑦ Controller-Firm Map'!A6="","",'⑦ Controller-Firm Map'!F6)</f>
        <v>0</v>
      </c>
      <c r="G44" s="29">
        <f>IF('⑦ Controller-Firm Map'!A6="","",'⑦ Controller-Firm Map'!G6)</f>
        <v>0</v>
      </c>
      <c r="H44" s="43">
        <f>IF('⑦ Controller-Firm Map'!A6="","",'⑦ Controller-Firm Map'!H6)</f>
        <v>0</v>
      </c>
    </row>
    <row r="45" spans="1:8" ht="15" customHeight="1" x14ac:dyDescent="0.2">
      <c r="A45" s="101" t="str">
        <f>IF('⑦ Controller-Firm Map'!A7="","",'⑦ Controller-Firm Map'!A7)</f>
        <v>Nikita Shah</v>
      </c>
      <c r="B45" s="101" t="str">
        <f>IF('⑦ Controller-Firm Map'!A7="","",'⑦ Controller-Firm Map'!B7)</f>
        <v>ACTION ACCOUNTING</v>
      </c>
      <c r="C45" s="101" t="str">
        <f>IF('⑦ Controller-Firm Map'!A7="","",'⑦ Controller-Firm Map'!C7)</f>
        <v>Accounting</v>
      </c>
      <c r="D45" s="39">
        <f>IF('⑦ Controller-Firm Map'!A7="","",'⑦ Controller-Firm Map'!D7)</f>
        <v>1</v>
      </c>
      <c r="E45" s="101" t="str">
        <f>IF('⑦ Controller-Firm Map'!A7="","",'⑦ Controller-Firm Map'!E7)</f>
        <v>ACTIVE</v>
      </c>
      <c r="F45" s="43">
        <f>IF('⑦ Controller-Firm Map'!A7="","",'⑦ Controller-Firm Map'!F7)</f>
        <v>1200</v>
      </c>
      <c r="G45" s="29">
        <f>IF('⑦ Controller-Firm Map'!A7="","",'⑦ Controller-Firm Map'!G7)</f>
        <v>102000</v>
      </c>
      <c r="H45" s="43">
        <f>IF('⑦ Controller-Firm Map'!A7="","",'⑦ Controller-Firm Map'!H7)</f>
        <v>1200</v>
      </c>
    </row>
    <row r="46" spans="1:8" ht="15" customHeight="1" x14ac:dyDescent="0.2">
      <c r="A46" s="101" t="str">
        <f>IF('⑦ Controller-Firm Map'!A8="","",'⑦ Controller-Firm Map'!A8)</f>
        <v>Nikita Shah</v>
      </c>
      <c r="B46" s="101" t="str">
        <f>IF('⑦ Controller-Firm Map'!A8="","",'⑦ Controller-Firm Map'!B8)</f>
        <v>BEAM ACCOUNTING INC</v>
      </c>
      <c r="C46" s="101" t="str">
        <f>IF('⑦ Controller-Firm Map'!A8="","",'⑦ Controller-Firm Map'!C8)</f>
        <v>Accounting</v>
      </c>
      <c r="D46" s="39">
        <f>IF('⑦ Controller-Firm Map'!A8="","",'⑦ Controller-Firm Map'!D8)</f>
        <v>0.25</v>
      </c>
      <c r="E46" s="101" t="str">
        <f>IF('⑦ Controller-Firm Map'!A8="","",'⑦ Controller-Firm Map'!E8)</f>
        <v>ACTIVE</v>
      </c>
      <c r="F46" s="43">
        <f>IF('⑦ Controller-Firm Map'!A8="","",'⑦ Controller-Firm Map'!F8)</f>
        <v>650</v>
      </c>
      <c r="G46" s="29">
        <f>IF('⑦ Controller-Firm Map'!A8="","",'⑦ Controller-Firm Map'!G8)</f>
        <v>55250</v>
      </c>
      <c r="H46" s="43">
        <f>IF('⑦ Controller-Firm Map'!A8="","",'⑦ Controller-Firm Map'!H8)</f>
        <v>2600</v>
      </c>
    </row>
    <row r="47" spans="1:8" ht="15" customHeight="1" x14ac:dyDescent="0.2">
      <c r="A47" s="101" t="str">
        <f>IF('⑦ Controller-Firm Map'!A9="","",'⑦ Controller-Firm Map'!A9)</f>
        <v>Ayushi</v>
      </c>
      <c r="B47" s="101" t="str">
        <f>IF('⑦ Controller-Firm Map'!A9="","",'⑦ Controller-Firm Map'!B9)</f>
        <v>BORISTAX INC</v>
      </c>
      <c r="C47" s="101" t="str">
        <f>IF('⑦ Controller-Firm Map'!A9="","",'⑦ Controller-Firm Map'!C9)</f>
        <v>Accounting</v>
      </c>
      <c r="D47" s="39">
        <f>IF('⑦ Controller-Firm Map'!A9="","",'⑦ Controller-Firm Map'!D9)</f>
        <v>3</v>
      </c>
      <c r="E47" s="101" t="str">
        <f>IF('⑦ Controller-Firm Map'!A9="","",'⑦ Controller-Firm Map'!E9)</f>
        <v>ACTIVE</v>
      </c>
      <c r="F47" s="43">
        <f>IF('⑦ Controller-Firm Map'!A9="","",'⑦ Controller-Firm Map'!F9)</f>
        <v>0</v>
      </c>
      <c r="G47" s="29">
        <f>IF('⑦ Controller-Firm Map'!A9="","",'⑦ Controller-Firm Map'!G9)</f>
        <v>0</v>
      </c>
      <c r="H47" s="43">
        <f>IF('⑦ Controller-Firm Map'!A9="","",'⑦ Controller-Firm Map'!H9)</f>
        <v>0</v>
      </c>
    </row>
    <row r="48" spans="1:8" ht="15" customHeight="1" x14ac:dyDescent="0.2">
      <c r="A48" s="101" t="str">
        <f>IF('⑦ Controller-Firm Map'!A10="","",'⑦ Controller-Firm Map'!A10)</f>
        <v>Nikita Shah</v>
      </c>
      <c r="B48" s="101" t="str">
        <f>IF('⑦ Controller-Firm Map'!A10="","",'⑦ Controller-Firm Map'!B10)</f>
        <v>CENTURION TAX AND ACCOUNTING</v>
      </c>
      <c r="C48" s="101" t="str">
        <f>IF('⑦ Controller-Firm Map'!A10="","",'⑦ Controller-Firm Map'!C10)</f>
        <v>Accounting</v>
      </c>
      <c r="D48" s="39">
        <f>IF('⑦ Controller-Firm Map'!A10="","",'⑦ Controller-Firm Map'!D10)</f>
        <v>0.25</v>
      </c>
      <c r="E48" s="101" t="str">
        <f>IF('⑦ Controller-Firm Map'!A10="","",'⑦ Controller-Firm Map'!E10)</f>
        <v>ACTIVE</v>
      </c>
      <c r="F48" s="43">
        <f>IF('⑦ Controller-Firm Map'!A10="","",'⑦ Controller-Firm Map'!F10)</f>
        <v>0</v>
      </c>
      <c r="G48" s="29">
        <f>IF('⑦ Controller-Firm Map'!A10="","",'⑦ Controller-Firm Map'!G10)</f>
        <v>0</v>
      </c>
      <c r="H48" s="43">
        <f>IF('⑦ Controller-Firm Map'!A10="","",'⑦ Controller-Firm Map'!H10)</f>
        <v>0</v>
      </c>
    </row>
    <row r="49" spans="1:8" ht="15" customHeight="1" x14ac:dyDescent="0.2">
      <c r="A49" s="101" t="str">
        <f>IF('⑦ Controller-Firm Map'!A11="","",'⑦ Controller-Firm Map'!A11)</f>
        <v>Nikita Shah</v>
      </c>
      <c r="B49" s="101" t="str">
        <f>IF('⑦ Controller-Firm Map'!A11="","",'⑦ Controller-Firm Map'!B11)</f>
        <v>CHRIS WHALEN CPA, LLC</v>
      </c>
      <c r="C49" s="101" t="str">
        <f>IF('⑦ Controller-Firm Map'!A11="","",'⑦ Controller-Firm Map'!C11)</f>
        <v>Accounting</v>
      </c>
      <c r="D49" s="39">
        <f>IF('⑦ Controller-Firm Map'!A11="","",'⑦ Controller-Firm Map'!D11)</f>
        <v>1</v>
      </c>
      <c r="E49" s="101" t="str">
        <f>IF('⑦ Controller-Firm Map'!A11="","",'⑦ Controller-Firm Map'!E11)</f>
        <v>ACTIVE</v>
      </c>
      <c r="F49" s="43">
        <f>IF('⑦ Controller-Firm Map'!A11="","",'⑦ Controller-Firm Map'!F11)</f>
        <v>1880</v>
      </c>
      <c r="G49" s="29">
        <f>IF('⑦ Controller-Firm Map'!A11="","",'⑦ Controller-Firm Map'!G11)</f>
        <v>159800</v>
      </c>
      <c r="H49" s="43">
        <f>IF('⑦ Controller-Firm Map'!A11="","",'⑦ Controller-Firm Map'!H11)</f>
        <v>1880</v>
      </c>
    </row>
    <row r="50" spans="1:8" ht="15" customHeight="1" x14ac:dyDescent="0.2">
      <c r="A50" s="101" t="str">
        <f>IF('⑦ Controller-Firm Map'!A12="","",'⑦ Controller-Firm Map'!A12)</f>
        <v>Nikita Shah</v>
      </c>
      <c r="B50" s="101" t="str">
        <f>IF('⑦ Controller-Firm Map'!A12="","",'⑦ Controller-Firm Map'!B12)</f>
        <v>H J EDWARDS</v>
      </c>
      <c r="C50" s="101" t="str">
        <f>IF('⑦ Controller-Firm Map'!A12="","",'⑦ Controller-Firm Map'!C12)</f>
        <v>Accounting</v>
      </c>
      <c r="D50" s="39">
        <f>IF('⑦ Controller-Firm Map'!A12="","",'⑦ Controller-Firm Map'!D12)</f>
        <v>0.5</v>
      </c>
      <c r="E50" s="101" t="str">
        <f>IF('⑦ Controller-Firm Map'!A12="","",'⑦ Controller-Firm Map'!E12)</f>
        <v>ACTIVE</v>
      </c>
      <c r="F50" s="43">
        <f>IF('⑦ Controller-Firm Map'!A12="","",'⑦ Controller-Firm Map'!F12)</f>
        <v>600</v>
      </c>
      <c r="G50" s="29">
        <f>IF('⑦ Controller-Firm Map'!A12="","",'⑦ Controller-Firm Map'!G12)</f>
        <v>51000</v>
      </c>
      <c r="H50" s="43">
        <f>IF('⑦ Controller-Firm Map'!A12="","",'⑦ Controller-Firm Map'!H12)</f>
        <v>1200</v>
      </c>
    </row>
    <row r="51" spans="1:8" ht="15" customHeight="1" x14ac:dyDescent="0.2">
      <c r="A51" s="101" t="str">
        <f>IF('⑦ Controller-Firm Map'!A13="","",'⑦ Controller-Firm Map'!A13)</f>
        <v>Nikita Shah</v>
      </c>
      <c r="B51" s="101" t="str">
        <f>IF('⑦ Controller-Firm Map'!A13="","",'⑦ Controller-Firm Map'!B13)</f>
        <v>JOHNSON &amp; ROBINSON LLC</v>
      </c>
      <c r="C51" s="101" t="str">
        <f>IF('⑦ Controller-Firm Map'!A13="","",'⑦ Controller-Firm Map'!C13)</f>
        <v>Accounting</v>
      </c>
      <c r="D51" s="39">
        <f>IF('⑦ Controller-Firm Map'!A13="","",'⑦ Controller-Firm Map'!D13)</f>
        <v>0.5</v>
      </c>
      <c r="E51" s="101" t="str">
        <f>IF('⑦ Controller-Firm Map'!A13="","",'⑦ Controller-Firm Map'!E13)</f>
        <v>ACTIVE</v>
      </c>
      <c r="F51" s="43">
        <f>IF('⑦ Controller-Firm Map'!A13="","",'⑦ Controller-Firm Map'!F13)</f>
        <v>800</v>
      </c>
      <c r="G51" s="29">
        <f>IF('⑦ Controller-Firm Map'!A13="","",'⑦ Controller-Firm Map'!G13)</f>
        <v>68000</v>
      </c>
      <c r="H51" s="43">
        <f>IF('⑦ Controller-Firm Map'!A13="","",'⑦ Controller-Firm Map'!H13)</f>
        <v>1600</v>
      </c>
    </row>
    <row r="52" spans="1:8" ht="15" customHeight="1" x14ac:dyDescent="0.2">
      <c r="A52" s="101" t="str">
        <f>IF('⑦ Controller-Firm Map'!A14="","",'⑦ Controller-Firm Map'!A14)</f>
        <v>Nikita Shah</v>
      </c>
      <c r="B52" s="101" t="str">
        <f>IF('⑦ Controller-Firm Map'!A14="","",'⑦ Controller-Firm Map'!B14)</f>
        <v>LAST MILE DELIVERY GROUP</v>
      </c>
      <c r="C52" s="101" t="str">
        <f>IF('⑦ Controller-Firm Map'!A14="","",'⑦ Controller-Firm Map'!C14)</f>
        <v>Accounting</v>
      </c>
      <c r="D52" s="39">
        <f>IF('⑦ Controller-Firm Map'!A14="","",'⑦ Controller-Firm Map'!D14)</f>
        <v>0.5</v>
      </c>
      <c r="E52" s="101" t="str">
        <f>IF('⑦ Controller-Firm Map'!A14="","",'⑦ Controller-Firm Map'!E14)</f>
        <v>ACTIVE</v>
      </c>
      <c r="F52" s="43">
        <f>IF('⑦ Controller-Firm Map'!A14="","",'⑦ Controller-Firm Map'!F14)</f>
        <v>0</v>
      </c>
      <c r="G52" s="29">
        <f>IF('⑦ Controller-Firm Map'!A14="","",'⑦ Controller-Firm Map'!G14)</f>
        <v>0</v>
      </c>
      <c r="H52" s="43">
        <f>IF('⑦ Controller-Firm Map'!A14="","",'⑦ Controller-Firm Map'!H14)</f>
        <v>0</v>
      </c>
    </row>
    <row r="53" spans="1:8" ht="15" customHeight="1" x14ac:dyDescent="0.2">
      <c r="A53" s="101" t="str">
        <f>IF('⑦ Controller-Firm Map'!A15="","",'⑦ Controller-Firm Map'!A15)</f>
        <v>Nikita Shah</v>
      </c>
      <c r="B53" s="101" t="str">
        <f>IF('⑦ Controller-Firm Map'!A15="","",'⑦ Controller-Firm Map'!B15)</f>
        <v>LEANCORP ACCOUNTING</v>
      </c>
      <c r="C53" s="101" t="str">
        <f>IF('⑦ Controller-Firm Map'!A15="","",'⑦ Controller-Firm Map'!C15)</f>
        <v>Accounting</v>
      </c>
      <c r="D53" s="39">
        <f>IF('⑦ Controller-Firm Map'!A15="","",'⑦ Controller-Firm Map'!D15)</f>
        <v>0.5</v>
      </c>
      <c r="E53" s="101" t="str">
        <f>IF('⑦ Controller-Firm Map'!A15="","",'⑦ Controller-Firm Map'!E15)</f>
        <v>ACTIVE</v>
      </c>
      <c r="F53" s="43">
        <f>IF('⑦ Controller-Firm Map'!A15="","",'⑦ Controller-Firm Map'!F15)</f>
        <v>0</v>
      </c>
      <c r="G53" s="29">
        <f>IF('⑦ Controller-Firm Map'!A15="","",'⑦ Controller-Firm Map'!G15)</f>
        <v>0</v>
      </c>
      <c r="H53" s="43">
        <f>IF('⑦ Controller-Firm Map'!A15="","",'⑦ Controller-Firm Map'!H15)</f>
        <v>0</v>
      </c>
    </row>
    <row r="54" spans="1:8" ht="15" customHeight="1" x14ac:dyDescent="0.2">
      <c r="A54" s="101" t="str">
        <f>IF('⑦ Controller-Firm Map'!A16="","",'⑦ Controller-Firm Map'!A16)</f>
        <v>Nikita Shah</v>
      </c>
      <c r="B54" s="101" t="str">
        <f>IF('⑦ Controller-Firm Map'!A16="","",'⑦ Controller-Firm Map'!B16)</f>
        <v>MARTIN D. EISENSTEIN, CPA</v>
      </c>
      <c r="C54" s="101" t="str">
        <f>IF('⑦ Controller-Firm Map'!A16="","",'⑦ Controller-Firm Map'!C16)</f>
        <v>Accounting</v>
      </c>
      <c r="D54" s="39">
        <f>IF('⑦ Controller-Firm Map'!A16="","",'⑦ Controller-Firm Map'!D16)</f>
        <v>0.5</v>
      </c>
      <c r="E54" s="101" t="str">
        <f>IF('⑦ Controller-Firm Map'!A16="","",'⑦ Controller-Firm Map'!E16)</f>
        <v>ACTIVE</v>
      </c>
      <c r="F54" s="43">
        <f>IF('⑦ Controller-Firm Map'!A16="","",'⑦ Controller-Firm Map'!F16)</f>
        <v>0</v>
      </c>
      <c r="G54" s="29">
        <f>IF('⑦ Controller-Firm Map'!A16="","",'⑦ Controller-Firm Map'!G16)</f>
        <v>0</v>
      </c>
      <c r="H54" s="43">
        <f>IF('⑦ Controller-Firm Map'!A16="","",'⑦ Controller-Firm Map'!H16)</f>
        <v>0</v>
      </c>
    </row>
    <row r="55" spans="1:8" ht="15" customHeight="1" x14ac:dyDescent="0.2">
      <c r="A55" s="101" t="str">
        <f>IF('⑦ Controller-Firm Map'!A17="","",'⑦ Controller-Firm Map'!A17)</f>
        <v>Nikita Shah</v>
      </c>
      <c r="B55" s="101" t="str">
        <f>IF('⑦ Controller-Firm Map'!A17="","",'⑦ Controller-Firm Map'!B17)</f>
        <v>MCFADDEN ACCOUNTING</v>
      </c>
      <c r="C55" s="101" t="str">
        <f>IF('⑦ Controller-Firm Map'!A17="","",'⑦ Controller-Firm Map'!C17)</f>
        <v>Accounting</v>
      </c>
      <c r="D55" s="39">
        <f>IF('⑦ Controller-Firm Map'!A17="","",'⑦ Controller-Firm Map'!D17)</f>
        <v>1</v>
      </c>
      <c r="E55" s="101" t="str">
        <f>IF('⑦ Controller-Firm Map'!A17="","",'⑦ Controller-Firm Map'!E17)</f>
        <v>ACTIVE</v>
      </c>
      <c r="F55" s="43">
        <f>IF('⑦ Controller-Firm Map'!A17="","",'⑦ Controller-Firm Map'!F17)</f>
        <v>1000</v>
      </c>
      <c r="G55" s="29">
        <f>IF('⑦ Controller-Firm Map'!A17="","",'⑦ Controller-Firm Map'!G17)</f>
        <v>85000</v>
      </c>
      <c r="H55" s="43">
        <f>IF('⑦ Controller-Firm Map'!A17="","",'⑦ Controller-Firm Map'!H17)</f>
        <v>1000</v>
      </c>
    </row>
    <row r="56" spans="1:8" ht="15" customHeight="1" x14ac:dyDescent="0.2">
      <c r="A56" s="101" t="str">
        <f>IF('⑦ Controller-Firm Map'!A18="","",'⑦ Controller-Firm Map'!A18)</f>
        <v>Nikita Shah</v>
      </c>
      <c r="B56" s="101" t="str">
        <f>IF('⑦ Controller-Firm Map'!A18="","",'⑦ Controller-Firm Map'!B18)</f>
        <v>PORCHEA &amp; LOTT ACCOUNTING</v>
      </c>
      <c r="C56" s="101" t="str">
        <f>IF('⑦ Controller-Firm Map'!A18="","",'⑦ Controller-Firm Map'!C18)</f>
        <v>Accounting</v>
      </c>
      <c r="D56" s="39">
        <f>IF('⑦ Controller-Firm Map'!A18="","",'⑦ Controller-Firm Map'!D18)</f>
        <v>0.5</v>
      </c>
      <c r="E56" s="101" t="str">
        <f>IF('⑦ Controller-Firm Map'!A18="","",'⑦ Controller-Firm Map'!E18)</f>
        <v>ACTIVE</v>
      </c>
      <c r="F56" s="43">
        <f>IF('⑦ Controller-Firm Map'!A18="","",'⑦ Controller-Firm Map'!F18)</f>
        <v>500</v>
      </c>
      <c r="G56" s="29">
        <f>IF('⑦ Controller-Firm Map'!A18="","",'⑦ Controller-Firm Map'!G18)</f>
        <v>42500</v>
      </c>
      <c r="H56" s="43">
        <f>IF('⑦ Controller-Firm Map'!A18="","",'⑦ Controller-Firm Map'!H18)</f>
        <v>1000</v>
      </c>
    </row>
    <row r="57" spans="1:8" ht="15" customHeight="1" x14ac:dyDescent="0.2">
      <c r="A57" s="101" t="str">
        <f>IF('⑦ Controller-Firm Map'!A19="","",'⑦ Controller-Firm Map'!A19)</f>
        <v>Nikita Shah</v>
      </c>
      <c r="B57" s="101" t="str">
        <f>IF('⑦ Controller-Firm Map'!A19="","",'⑦ Controller-Firm Map'!B19)</f>
        <v>PW ADVISORS LLC</v>
      </c>
      <c r="C57" s="101" t="str">
        <f>IF('⑦ Controller-Firm Map'!A19="","",'⑦ Controller-Firm Map'!C19)</f>
        <v>Accounting</v>
      </c>
      <c r="D57" s="39">
        <f>IF('⑦ Controller-Firm Map'!A19="","",'⑦ Controller-Firm Map'!D19)</f>
        <v>2</v>
      </c>
      <c r="E57" s="101" t="str">
        <f>IF('⑦ Controller-Firm Map'!A19="","",'⑦ Controller-Firm Map'!E19)</f>
        <v>ACTIVE</v>
      </c>
      <c r="F57" s="43">
        <f>IF('⑦ Controller-Firm Map'!A19="","",'⑦ Controller-Firm Map'!F19)</f>
        <v>3600</v>
      </c>
      <c r="G57" s="29">
        <f>IF('⑦ Controller-Firm Map'!A19="","",'⑦ Controller-Firm Map'!G19)</f>
        <v>306000</v>
      </c>
      <c r="H57" s="43">
        <f>IF('⑦ Controller-Firm Map'!A19="","",'⑦ Controller-Firm Map'!H19)</f>
        <v>1800</v>
      </c>
    </row>
    <row r="58" spans="1:8" ht="15" customHeight="1" x14ac:dyDescent="0.2">
      <c r="A58" s="101" t="str">
        <f>IF('⑦ Controller-Firm Map'!A20="","",'⑦ Controller-Firm Map'!A20)</f>
        <v>Nikita Shah</v>
      </c>
      <c r="B58" s="101" t="str">
        <f>IF('⑦ Controller-Firm Map'!A20="","",'⑦ Controller-Firm Map'!B20)</f>
        <v>RATHEL'S ACCOUNTING SERVICE, INC</v>
      </c>
      <c r="C58" s="101" t="str">
        <f>IF('⑦ Controller-Firm Map'!A20="","",'⑦ Controller-Firm Map'!C20)</f>
        <v>Accounting</v>
      </c>
      <c r="D58" s="39">
        <f>IF('⑦ Controller-Firm Map'!A20="","",'⑦ Controller-Firm Map'!D20)</f>
        <v>1</v>
      </c>
      <c r="E58" s="101" t="str">
        <f>IF('⑦ Controller-Firm Map'!A20="","",'⑦ Controller-Firm Map'!E20)</f>
        <v>ACTIVE</v>
      </c>
      <c r="F58" s="43">
        <f>IF('⑦ Controller-Firm Map'!A20="","",'⑦ Controller-Firm Map'!F20)</f>
        <v>0</v>
      </c>
      <c r="G58" s="29">
        <f>IF('⑦ Controller-Firm Map'!A20="","",'⑦ Controller-Firm Map'!G20)</f>
        <v>0</v>
      </c>
      <c r="H58" s="43">
        <f>IF('⑦ Controller-Firm Map'!A20="","",'⑦ Controller-Firm Map'!H20)</f>
        <v>0</v>
      </c>
    </row>
    <row r="59" spans="1:8" ht="15" customHeight="1" x14ac:dyDescent="0.2">
      <c r="A59" s="101" t="str">
        <f>IF('⑦ Controller-Firm Map'!A21="","",'⑦ Controller-Firm Map'!A21)</f>
        <v>Nikita Shah</v>
      </c>
      <c r="B59" s="101" t="str">
        <f>IF('⑦ Controller-Firm Map'!A21="","",'⑦ Controller-Firm Map'!B21)</f>
        <v>ROSEN KUSLANSKY CPA PC</v>
      </c>
      <c r="C59" s="101" t="str">
        <f>IF('⑦ Controller-Firm Map'!A21="","",'⑦ Controller-Firm Map'!C21)</f>
        <v>Accounting</v>
      </c>
      <c r="D59" s="39">
        <f>IF('⑦ Controller-Firm Map'!A21="","",'⑦ Controller-Firm Map'!D21)</f>
        <v>1</v>
      </c>
      <c r="E59" s="101" t="str">
        <f>IF('⑦ Controller-Firm Map'!A21="","",'⑦ Controller-Firm Map'!E21)</f>
        <v>ACTIVE</v>
      </c>
      <c r="F59" s="43">
        <f>IF('⑦ Controller-Firm Map'!A21="","",'⑦ Controller-Firm Map'!F21)</f>
        <v>1000</v>
      </c>
      <c r="G59" s="29">
        <f>IF('⑦ Controller-Firm Map'!A21="","",'⑦ Controller-Firm Map'!G21)</f>
        <v>85000</v>
      </c>
      <c r="H59" s="43">
        <f>IF('⑦ Controller-Firm Map'!A21="","",'⑦ Controller-Firm Map'!H21)</f>
        <v>1000</v>
      </c>
    </row>
    <row r="60" spans="1:8" ht="15" customHeight="1" x14ac:dyDescent="0.2">
      <c r="A60" s="101" t="str">
        <f>IF('⑦ Controller-Firm Map'!A22="","",'⑦ Controller-Firm Map'!A22)</f>
        <v>Nikita Shah</v>
      </c>
      <c r="B60" s="101" t="str">
        <f>IF('⑦ Controller-Firm Map'!A22="","",'⑦ Controller-Firm Map'!B22)</f>
        <v>SFSG BILLING PROJECT</v>
      </c>
      <c r="C60" s="101" t="str">
        <f>IF('⑦ Controller-Firm Map'!A22="","",'⑦ Controller-Firm Map'!C22)</f>
        <v>Accounting</v>
      </c>
      <c r="D60" s="39">
        <f>IF('⑦ Controller-Firm Map'!A22="","",'⑦ Controller-Firm Map'!D22)</f>
        <v>1.25</v>
      </c>
      <c r="E60" s="101" t="str">
        <f>IF('⑦ Controller-Firm Map'!A22="","",'⑦ Controller-Firm Map'!E22)</f>
        <v>ACTIVE</v>
      </c>
      <c r="F60" s="43">
        <f>IF('⑦ Controller-Firm Map'!A22="","",'⑦ Controller-Firm Map'!F22)</f>
        <v>0</v>
      </c>
      <c r="G60" s="29">
        <f>IF('⑦ Controller-Firm Map'!A22="","",'⑦ Controller-Firm Map'!G22)</f>
        <v>0</v>
      </c>
      <c r="H60" s="43">
        <f>IF('⑦ Controller-Firm Map'!A22="","",'⑦ Controller-Firm Map'!H22)</f>
        <v>0</v>
      </c>
    </row>
    <row r="61" spans="1:8" ht="15" customHeight="1" x14ac:dyDescent="0.2">
      <c r="A61" s="101" t="str">
        <f>IF('⑦ Controller-Firm Map'!A23="","",'⑦ Controller-Firm Map'!A23)</f>
        <v>Jyoti</v>
      </c>
      <c r="B61" s="101" t="str">
        <f>IF('⑦ Controller-Firm Map'!A23="","",'⑦ Controller-Firm Map'!B23)</f>
        <v>SOUTH FLORIDA SECURITY GROUP</v>
      </c>
      <c r="C61" s="101" t="str">
        <f>IF('⑦ Controller-Firm Map'!A23="","",'⑦ Controller-Firm Map'!C23)</f>
        <v>Accounting</v>
      </c>
      <c r="D61" s="39">
        <f>IF('⑦ Controller-Firm Map'!A23="","",'⑦ Controller-Firm Map'!D23)</f>
        <v>2</v>
      </c>
      <c r="E61" s="101" t="str">
        <f>IF('⑦ Controller-Firm Map'!A23="","",'⑦ Controller-Firm Map'!E23)</f>
        <v>ACTIVE</v>
      </c>
      <c r="F61" s="43">
        <f>IF('⑦ Controller-Firm Map'!A23="","",'⑦ Controller-Firm Map'!F23)</f>
        <v>2320</v>
      </c>
      <c r="G61" s="29">
        <f>IF('⑦ Controller-Firm Map'!A23="","",'⑦ Controller-Firm Map'!G23)</f>
        <v>197200</v>
      </c>
      <c r="H61" s="43">
        <f>IF('⑦ Controller-Firm Map'!A23="","",'⑦ Controller-Firm Map'!H23)</f>
        <v>1160</v>
      </c>
    </row>
    <row r="62" spans="1:8" ht="15" customHeight="1" x14ac:dyDescent="0.2">
      <c r="A62" s="101" t="str">
        <f>IF('⑦ Controller-Firm Map'!A24="","",'⑦ Controller-Firm Map'!A24)</f>
        <v>Nikita Shah</v>
      </c>
      <c r="B62" s="101" t="str">
        <f>IF('⑦ Controller-Firm Map'!A24="","",'⑦ Controller-Firm Map'!B24)</f>
        <v>TAX GEEK LLC</v>
      </c>
      <c r="C62" s="101" t="str">
        <f>IF('⑦ Controller-Firm Map'!A24="","",'⑦ Controller-Firm Map'!C24)</f>
        <v>Accounting</v>
      </c>
      <c r="D62" s="39">
        <f>IF('⑦ Controller-Firm Map'!A24="","",'⑦ Controller-Firm Map'!D24)</f>
        <v>1</v>
      </c>
      <c r="E62" s="101" t="str">
        <f>IF('⑦ Controller-Firm Map'!A24="","",'⑦ Controller-Firm Map'!E24)</f>
        <v>ACTIVE</v>
      </c>
      <c r="F62" s="43">
        <f>IF('⑦ Controller-Firm Map'!A24="","",'⑦ Controller-Firm Map'!F24)</f>
        <v>1800</v>
      </c>
      <c r="G62" s="29">
        <f>IF('⑦ Controller-Firm Map'!A24="","",'⑦ Controller-Firm Map'!G24)</f>
        <v>153000</v>
      </c>
      <c r="H62" s="43">
        <f>IF('⑦ Controller-Firm Map'!A24="","",'⑦ Controller-Firm Map'!H24)</f>
        <v>1800</v>
      </c>
    </row>
    <row r="63" spans="1:8" ht="15" customHeight="1" x14ac:dyDescent="0.2">
      <c r="A63" s="101" t="str">
        <f>IF('⑦ Controller-Firm Map'!A25="","",'⑦ Controller-Firm Map'!A25)</f>
        <v>Nikita Shah</v>
      </c>
      <c r="B63" s="101" t="str">
        <f>IF('⑦ Controller-Firm Map'!A25="","",'⑦ Controller-Firm Map'!B25)</f>
        <v>THE PROFIT SCALE THRIVE</v>
      </c>
      <c r="C63" s="101" t="str">
        <f>IF('⑦ Controller-Firm Map'!A25="","",'⑦ Controller-Firm Map'!C25)</f>
        <v>Accounting</v>
      </c>
      <c r="D63" s="39">
        <f>IF('⑦ Controller-Firm Map'!A25="","",'⑦ Controller-Firm Map'!D25)</f>
        <v>0.5</v>
      </c>
      <c r="E63" s="101" t="str">
        <f>IF('⑦ Controller-Firm Map'!A25="","",'⑦ Controller-Firm Map'!E25)</f>
        <v>ACTIVE</v>
      </c>
      <c r="F63" s="43">
        <f>IF('⑦ Controller-Firm Map'!A25="","",'⑦ Controller-Firm Map'!F25)</f>
        <v>600</v>
      </c>
      <c r="G63" s="29">
        <f>IF('⑦ Controller-Firm Map'!A25="","",'⑦ Controller-Firm Map'!G25)</f>
        <v>51000</v>
      </c>
      <c r="H63" s="43">
        <f>IF('⑦ Controller-Firm Map'!A25="","",'⑦ Controller-Firm Map'!H25)</f>
        <v>1200</v>
      </c>
    </row>
    <row r="64" spans="1:8" ht="15" customHeight="1" x14ac:dyDescent="0.2">
      <c r="A64" s="101" t="str">
        <f>IF('⑦ Controller-Firm Map'!A26="","",'⑦ Controller-Firm Map'!A26)</f>
        <v>Nikita Shah</v>
      </c>
      <c r="B64" s="101" t="str">
        <f>IF('⑦ Controller-Firm Map'!A26="","",'⑦ Controller-Firm Map'!B26)</f>
        <v>THINKING MAPS, INC.</v>
      </c>
      <c r="C64" s="101" t="str">
        <f>IF('⑦ Controller-Firm Map'!A26="","",'⑦ Controller-Firm Map'!C26)</f>
        <v>Accounting</v>
      </c>
      <c r="D64" s="39">
        <f>IF('⑦ Controller-Firm Map'!A26="","",'⑦ Controller-Firm Map'!D26)</f>
        <v>2</v>
      </c>
      <c r="E64" s="101" t="str">
        <f>IF('⑦ Controller-Firm Map'!A26="","",'⑦ Controller-Firm Map'!E26)</f>
        <v>ACTIVE</v>
      </c>
      <c r="F64" s="43">
        <f>IF('⑦ Controller-Firm Map'!A26="","",'⑦ Controller-Firm Map'!F26)</f>
        <v>2600</v>
      </c>
      <c r="G64" s="29">
        <f>IF('⑦ Controller-Firm Map'!A26="","",'⑦ Controller-Firm Map'!G26)</f>
        <v>221000</v>
      </c>
      <c r="H64" s="43">
        <f>IF('⑦ Controller-Firm Map'!A26="","",'⑦ Controller-Firm Map'!H26)</f>
        <v>1300</v>
      </c>
    </row>
    <row r="65" spans="1:8" ht="15" customHeight="1" x14ac:dyDescent="0.2">
      <c r="A65" s="101" t="str">
        <f>IF('⑦ Controller-Firm Map'!A27="","",'⑦ Controller-Firm Map'!A27)</f>
        <v>Nikita Shah</v>
      </c>
      <c r="B65" s="101" t="str">
        <f>IF('⑦ Controller-Firm Map'!A27="","",'⑦ Controller-Firm Map'!B27)</f>
        <v>TREE OF LIFE FUNDING INC</v>
      </c>
      <c r="C65" s="101" t="str">
        <f>IF('⑦ Controller-Firm Map'!A27="","",'⑦ Controller-Firm Map'!C27)</f>
        <v>Accounting</v>
      </c>
      <c r="D65" s="39">
        <f>IF('⑦ Controller-Firm Map'!A27="","",'⑦ Controller-Firm Map'!D27)</f>
        <v>1</v>
      </c>
      <c r="E65" s="101" t="str">
        <f>IF('⑦ Controller-Firm Map'!A27="","",'⑦ Controller-Firm Map'!E27)</f>
        <v>ACTIVE</v>
      </c>
      <c r="F65" s="43">
        <f>IF('⑦ Controller-Firm Map'!A27="","",'⑦ Controller-Firm Map'!F27)</f>
        <v>0</v>
      </c>
      <c r="G65" s="29">
        <f>IF('⑦ Controller-Firm Map'!A27="","",'⑦ Controller-Firm Map'!G27)</f>
        <v>0</v>
      </c>
      <c r="H65" s="43">
        <f>IF('⑦ Controller-Firm Map'!A27="","",'⑦ Controller-Firm Map'!H27)</f>
        <v>0</v>
      </c>
    </row>
    <row r="66" spans="1:8" ht="15" customHeight="1" x14ac:dyDescent="0.2">
      <c r="A66" s="101" t="str">
        <f>IF('⑦ Controller-Firm Map'!A28="","",'⑦ Controller-Firm Map'!A28)</f>
        <v>Nikita Shah</v>
      </c>
      <c r="B66" s="101" t="str">
        <f>IF('⑦ Controller-Firm Map'!A28="","",'⑦ Controller-Firm Map'!B28)</f>
        <v>WE ARE QUADRANT</v>
      </c>
      <c r="C66" s="101" t="str">
        <f>IF('⑦ Controller-Firm Map'!A28="","",'⑦ Controller-Firm Map'!C28)</f>
        <v>Accounting</v>
      </c>
      <c r="D66" s="39">
        <f>IF('⑦ Controller-Firm Map'!A28="","",'⑦ Controller-Firm Map'!D28)</f>
        <v>1.5</v>
      </c>
      <c r="E66" s="101" t="str">
        <f>IF('⑦ Controller-Firm Map'!A28="","",'⑦ Controller-Firm Map'!E28)</f>
        <v>ACTIVE</v>
      </c>
      <c r="F66" s="43">
        <f>IF('⑦ Controller-Firm Map'!A28="","",'⑦ Controller-Firm Map'!F28)</f>
        <v>0</v>
      </c>
      <c r="G66" s="29">
        <f>IF('⑦ Controller-Firm Map'!A28="","",'⑦ Controller-Firm Map'!G28)</f>
        <v>0</v>
      </c>
      <c r="H66" s="43">
        <f>IF('⑦ Controller-Firm Map'!A28="","",'⑦ Controller-Firm Map'!H28)</f>
        <v>0</v>
      </c>
    </row>
    <row r="67" spans="1:8" ht="15" customHeight="1" x14ac:dyDescent="0.2">
      <c r="A67" s="101" t="str">
        <f>IF('⑦ Controller-Firm Map'!A29="","",'⑦ Controller-Firm Map'!A29)</f>
        <v>Nikita Shah</v>
      </c>
      <c r="B67" s="101" t="str">
        <f>IF('⑦ Controller-Firm Map'!A29="","",'⑦ Controller-Firm Map'!B29)</f>
        <v>WIGGS CPA TAX &amp; ACCOUNTING</v>
      </c>
      <c r="C67" s="101" t="str">
        <f>IF('⑦ Controller-Firm Map'!A29="","",'⑦ Controller-Firm Map'!C29)</f>
        <v>Accounting</v>
      </c>
      <c r="D67" s="39">
        <f>IF('⑦ Controller-Firm Map'!A29="","",'⑦ Controller-Firm Map'!D29)</f>
        <v>0.5</v>
      </c>
      <c r="E67" s="101" t="str">
        <f>IF('⑦ Controller-Firm Map'!A29="","",'⑦ Controller-Firm Map'!E29)</f>
        <v>ACTIVE</v>
      </c>
      <c r="F67" s="43">
        <f>IF('⑦ Controller-Firm Map'!A29="","",'⑦ Controller-Firm Map'!F29)</f>
        <v>600</v>
      </c>
      <c r="G67" s="29">
        <f>IF('⑦ Controller-Firm Map'!A29="","",'⑦ Controller-Firm Map'!G29)</f>
        <v>51000</v>
      </c>
      <c r="H67" s="43">
        <f>IF('⑦ Controller-Firm Map'!A29="","",'⑦ Controller-Firm Map'!H29)</f>
        <v>1200</v>
      </c>
    </row>
    <row r="68" spans="1:8" ht="15" customHeight="1" x14ac:dyDescent="0.2">
      <c r="A68" s="101" t="str">
        <f>IF('⑦ Controller-Firm Map'!A30="","",'⑦ Controller-Firm Map'!A30)</f>
        <v>Nikita Shah</v>
      </c>
      <c r="B68" s="101" t="str">
        <f>IF('⑦ Controller-Firm Map'!A30="","",'⑦ Controller-Firm Map'!B30)</f>
        <v>XPERT BOOKKEEPING LLC</v>
      </c>
      <c r="C68" s="101" t="str">
        <f>IF('⑦ Controller-Firm Map'!A30="","",'⑦ Controller-Firm Map'!C30)</f>
        <v>Accounting</v>
      </c>
      <c r="D68" s="39">
        <f>IF('⑦ Controller-Firm Map'!A30="","",'⑦ Controller-Firm Map'!D30)</f>
        <v>1</v>
      </c>
      <c r="E68" s="101" t="str">
        <f>IF('⑦ Controller-Firm Map'!A30="","",'⑦ Controller-Firm Map'!E30)</f>
        <v>ACTIVE</v>
      </c>
      <c r="F68" s="43">
        <f>IF('⑦ Controller-Firm Map'!A30="","",'⑦ Controller-Firm Map'!F30)</f>
        <v>1100</v>
      </c>
      <c r="G68" s="29">
        <f>IF('⑦ Controller-Firm Map'!A30="","",'⑦ Controller-Firm Map'!G30)</f>
        <v>93500</v>
      </c>
      <c r="H68" s="43">
        <f>IF('⑦ Controller-Firm Map'!A30="","",'⑦ Controller-Firm Map'!H30)</f>
        <v>1100</v>
      </c>
    </row>
    <row r="69" spans="1:8" ht="15" customHeight="1" x14ac:dyDescent="0.2">
      <c r="A69" s="101" t="str">
        <f>IF('⑦ Controller-Firm Map'!A31="","",'⑦ Controller-Firm Map'!A31)</f>
        <v>Jasleen.D</v>
      </c>
      <c r="B69" s="101" t="str">
        <f>IF('⑦ Controller-Firm Map'!A31="","",'⑦ Controller-Firm Map'!B31)</f>
        <v>4P TAXES LLC</v>
      </c>
      <c r="C69" s="101" t="str">
        <f>IF('⑦ Controller-Firm Map'!A31="","",'⑦ Controller-Firm Map'!C31)</f>
        <v>Accounting</v>
      </c>
      <c r="D69" s="39">
        <f>IF('⑦ Controller-Firm Map'!A31="","",'⑦ Controller-Firm Map'!D31)</f>
        <v>1</v>
      </c>
      <c r="E69" s="101" t="str">
        <f>IF('⑦ Controller-Firm Map'!A31="","",'⑦ Controller-Firm Map'!E31)</f>
        <v>ACTIVE</v>
      </c>
      <c r="F69" s="43">
        <f>IF('⑦ Controller-Firm Map'!A31="","",'⑦ Controller-Firm Map'!F31)</f>
        <v>1200</v>
      </c>
      <c r="G69" s="29">
        <f>IF('⑦ Controller-Firm Map'!A31="","",'⑦ Controller-Firm Map'!G31)</f>
        <v>102000</v>
      </c>
      <c r="H69" s="43">
        <f>IF('⑦ Controller-Firm Map'!A31="","",'⑦ Controller-Firm Map'!H31)</f>
        <v>1200</v>
      </c>
    </row>
    <row r="70" spans="1:8" ht="15" customHeight="1" x14ac:dyDescent="0.2">
      <c r="A70" s="101" t="str">
        <f>IF('⑦ Controller-Firm Map'!A32="","",'⑦ Controller-Firm Map'!A32)</f>
        <v>Jasleen.D</v>
      </c>
      <c r="B70" s="101" t="str">
        <f>IF('⑦ Controller-Firm Map'!A32="","",'⑦ Controller-Firm Map'!B32)</f>
        <v>ABACUS BUSINESS SOLUTIONS, LLC</v>
      </c>
      <c r="C70" s="101" t="str">
        <f>IF('⑦ Controller-Firm Map'!A32="","",'⑦ Controller-Firm Map'!C32)</f>
        <v>Accounting</v>
      </c>
      <c r="D70" s="39">
        <f>IF('⑦ Controller-Firm Map'!A32="","",'⑦ Controller-Firm Map'!D32)</f>
        <v>4</v>
      </c>
      <c r="E70" s="101" t="str">
        <f>IF('⑦ Controller-Firm Map'!A32="","",'⑦ Controller-Firm Map'!E32)</f>
        <v>ACTIVE</v>
      </c>
      <c r="F70" s="43">
        <f>IF('⑦ Controller-Firm Map'!A32="","",'⑦ Controller-Firm Map'!F32)</f>
        <v>5800</v>
      </c>
      <c r="G70" s="29">
        <f>IF('⑦ Controller-Firm Map'!A32="","",'⑦ Controller-Firm Map'!G32)</f>
        <v>493000</v>
      </c>
      <c r="H70" s="43">
        <f>IF('⑦ Controller-Firm Map'!A32="","",'⑦ Controller-Firm Map'!H32)</f>
        <v>1450</v>
      </c>
    </row>
    <row r="71" spans="1:8" ht="15" customHeight="1" x14ac:dyDescent="0.2">
      <c r="A71" s="101" t="str">
        <f>IF('⑦ Controller-Firm Map'!A33="","",'⑦ Controller-Firm Map'!A33)</f>
        <v>Jasleen.D</v>
      </c>
      <c r="B71" s="101" t="str">
        <f>IF('⑦ Controller-Firm Map'!A33="","",'⑦ Controller-Firm Map'!B33)</f>
        <v>ANCIENT CITY ACCOUNTING LLC</v>
      </c>
      <c r="C71" s="101" t="str">
        <f>IF('⑦ Controller-Firm Map'!A33="","",'⑦ Controller-Firm Map'!C33)</f>
        <v>Accounting</v>
      </c>
      <c r="D71" s="39">
        <f>IF('⑦ Controller-Firm Map'!A33="","",'⑦ Controller-Firm Map'!D33)</f>
        <v>1</v>
      </c>
      <c r="E71" s="101" t="str">
        <f>IF('⑦ Controller-Firm Map'!A33="","",'⑦ Controller-Firm Map'!E33)</f>
        <v>ACTIVE</v>
      </c>
      <c r="F71" s="43">
        <f>IF('⑦ Controller-Firm Map'!A33="","",'⑦ Controller-Firm Map'!F33)</f>
        <v>1200</v>
      </c>
      <c r="G71" s="29">
        <f>IF('⑦ Controller-Firm Map'!A33="","",'⑦ Controller-Firm Map'!G33)</f>
        <v>102000</v>
      </c>
      <c r="H71" s="43">
        <f>IF('⑦ Controller-Firm Map'!A33="","",'⑦ Controller-Firm Map'!H33)</f>
        <v>1200</v>
      </c>
    </row>
    <row r="72" spans="1:8" ht="15" customHeight="1" x14ac:dyDescent="0.2">
      <c r="A72" s="101" t="str">
        <f>IF('⑦ Controller-Firm Map'!A34="","",'⑦ Controller-Firm Map'!A34)</f>
        <v>Jasleen.D</v>
      </c>
      <c r="B72" s="101" t="str">
        <f>IF('⑦ Controller-Firm Map'!A34="","",'⑦ Controller-Firm Map'!B34)</f>
        <v>BRADLEY FINANCIAL SERVICES LLC</v>
      </c>
      <c r="C72" s="101" t="str">
        <f>IF('⑦ Controller-Firm Map'!A34="","",'⑦ Controller-Firm Map'!C34)</f>
        <v>Accounting</v>
      </c>
      <c r="D72" s="39">
        <f>IF('⑦ Controller-Firm Map'!A34="","",'⑦ Controller-Firm Map'!D34)</f>
        <v>0.5</v>
      </c>
      <c r="E72" s="101" t="str">
        <f>IF('⑦ Controller-Firm Map'!A34="","",'⑦ Controller-Firm Map'!E34)</f>
        <v>ACTIVE</v>
      </c>
      <c r="F72" s="43">
        <f>IF('⑦ Controller-Firm Map'!A34="","",'⑦ Controller-Firm Map'!F34)</f>
        <v>700</v>
      </c>
      <c r="G72" s="29">
        <f>IF('⑦ Controller-Firm Map'!A34="","",'⑦ Controller-Firm Map'!G34)</f>
        <v>59500</v>
      </c>
      <c r="H72" s="43">
        <f>IF('⑦ Controller-Firm Map'!A34="","",'⑦ Controller-Firm Map'!H34)</f>
        <v>1400</v>
      </c>
    </row>
    <row r="73" spans="1:8" ht="15" customHeight="1" x14ac:dyDescent="0.2">
      <c r="A73" s="101" t="str">
        <f>IF('⑦ Controller-Firm Map'!A35="","",'⑦ Controller-Firm Map'!A35)</f>
        <v>Jasleen.D</v>
      </c>
      <c r="B73" s="101" t="str">
        <f>IF('⑦ Controller-Firm Map'!A35="","",'⑦ Controller-Firm Map'!B35)</f>
        <v>BRIGHTSKIES BUSINESS SERVICES, LLC</v>
      </c>
      <c r="C73" s="101" t="str">
        <f>IF('⑦ Controller-Firm Map'!A35="","",'⑦ Controller-Firm Map'!C35)</f>
        <v>Accounting</v>
      </c>
      <c r="D73" s="39">
        <f>IF('⑦ Controller-Firm Map'!A35="","",'⑦ Controller-Firm Map'!D35)</f>
        <v>2.5</v>
      </c>
      <c r="E73" s="101" t="str">
        <f>IF('⑦ Controller-Firm Map'!A35="","",'⑦ Controller-Firm Map'!E35)</f>
        <v>ACTIVE</v>
      </c>
      <c r="F73" s="43">
        <f>IF('⑦ Controller-Firm Map'!A35="","",'⑦ Controller-Firm Map'!F35)</f>
        <v>2600</v>
      </c>
      <c r="G73" s="29">
        <f>IF('⑦ Controller-Firm Map'!A35="","",'⑦ Controller-Firm Map'!G35)</f>
        <v>221000</v>
      </c>
      <c r="H73" s="43">
        <f>IF('⑦ Controller-Firm Map'!A35="","",'⑦ Controller-Firm Map'!H35)</f>
        <v>1040</v>
      </c>
    </row>
    <row r="74" spans="1:8" ht="15" customHeight="1" x14ac:dyDescent="0.2">
      <c r="A74" s="101" t="str">
        <f>IF('⑦ Controller-Firm Map'!A36="","",'⑦ Controller-Firm Map'!A36)</f>
        <v>Jasleen.D</v>
      </c>
      <c r="B74" s="101" t="str">
        <f>IF('⑦ Controller-Firm Map'!A36="","",'⑦ Controller-Firm Map'!B36)</f>
        <v>BUSINESS NAVIGATORS LLC</v>
      </c>
      <c r="C74" s="101" t="str">
        <f>IF('⑦ Controller-Firm Map'!A36="","",'⑦ Controller-Firm Map'!C36)</f>
        <v>Accounting</v>
      </c>
      <c r="D74" s="39">
        <f>IF('⑦ Controller-Firm Map'!A36="","",'⑦ Controller-Firm Map'!D36)</f>
        <v>1</v>
      </c>
      <c r="E74" s="101" t="str">
        <f>IF('⑦ Controller-Firm Map'!A36="","",'⑦ Controller-Firm Map'!E36)</f>
        <v>ACTIVE</v>
      </c>
      <c r="F74" s="43">
        <f>IF('⑦ Controller-Firm Map'!A36="","",'⑦ Controller-Firm Map'!F36)</f>
        <v>1000</v>
      </c>
      <c r="G74" s="29">
        <f>IF('⑦ Controller-Firm Map'!A36="","",'⑦ Controller-Firm Map'!G36)</f>
        <v>85000</v>
      </c>
      <c r="H74" s="43">
        <f>IF('⑦ Controller-Firm Map'!A36="","",'⑦ Controller-Firm Map'!H36)</f>
        <v>1000</v>
      </c>
    </row>
    <row r="75" spans="1:8" ht="15" customHeight="1" x14ac:dyDescent="0.2">
      <c r="A75" s="101" t="str">
        <f>IF('⑦ Controller-Firm Map'!A37="","",'⑦ Controller-Firm Map'!A37)</f>
        <v>Jasleen.D</v>
      </c>
      <c r="B75" s="101" t="str">
        <f>IF('⑦ Controller-Firm Map'!A37="","",'⑦ Controller-Firm Map'!B37)</f>
        <v>CASCFO Advisory- United States</v>
      </c>
      <c r="C75" s="101" t="str">
        <f>IF('⑦ Controller-Firm Map'!A37="","",'⑦ Controller-Firm Map'!C37)</f>
        <v>Accounting</v>
      </c>
      <c r="D75" s="39">
        <f>IF('⑦ Controller-Firm Map'!A37="","",'⑦ Controller-Firm Map'!D37)</f>
        <v>1</v>
      </c>
      <c r="E75" s="101" t="str">
        <f>IF('⑦ Controller-Firm Map'!A37="","",'⑦ Controller-Firm Map'!E37)</f>
        <v>ACTIVE</v>
      </c>
      <c r="F75" s="43">
        <f>IF('⑦ Controller-Firm Map'!A37="","",'⑦ Controller-Firm Map'!F37)</f>
        <v>0</v>
      </c>
      <c r="G75" s="29">
        <f>IF('⑦ Controller-Firm Map'!A37="","",'⑦ Controller-Firm Map'!G37)</f>
        <v>0</v>
      </c>
      <c r="H75" s="43">
        <f>IF('⑦ Controller-Firm Map'!A37="","",'⑦ Controller-Firm Map'!H37)</f>
        <v>0</v>
      </c>
    </row>
    <row r="76" spans="1:8" ht="15" customHeight="1" x14ac:dyDescent="0.2">
      <c r="A76" s="101" t="str">
        <f>IF('⑦ Controller-Firm Map'!A38="","",'⑦ Controller-Firm Map'!A38)</f>
        <v>Jasleen.D</v>
      </c>
      <c r="B76" s="101" t="str">
        <f>IF('⑦ Controller-Firm Map'!A38="","",'⑦ Controller-Firm Map'!B38)</f>
        <v>DEDICATED BOOKS LLC</v>
      </c>
      <c r="C76" s="101" t="str">
        <f>IF('⑦ Controller-Firm Map'!A38="","",'⑦ Controller-Firm Map'!C38)</f>
        <v>Accounting</v>
      </c>
      <c r="D76" s="39">
        <f>IF('⑦ Controller-Firm Map'!A38="","",'⑦ Controller-Firm Map'!D38)</f>
        <v>1</v>
      </c>
      <c r="E76" s="101" t="str">
        <f>IF('⑦ Controller-Firm Map'!A38="","",'⑦ Controller-Firm Map'!E38)</f>
        <v>ACTIVE</v>
      </c>
      <c r="F76" s="43">
        <f>IF('⑦ Controller-Firm Map'!A38="","",'⑦ Controller-Firm Map'!F38)</f>
        <v>1400</v>
      </c>
      <c r="G76" s="29">
        <f>IF('⑦ Controller-Firm Map'!A38="","",'⑦ Controller-Firm Map'!G38)</f>
        <v>119000</v>
      </c>
      <c r="H76" s="43">
        <f>IF('⑦ Controller-Firm Map'!A38="","",'⑦ Controller-Firm Map'!H38)</f>
        <v>1400</v>
      </c>
    </row>
    <row r="77" spans="1:8" ht="15" customHeight="1" x14ac:dyDescent="0.2">
      <c r="A77" s="101" t="str">
        <f>IF('⑦ Controller-Firm Map'!A39="","",'⑦ Controller-Firm Map'!A39)</f>
        <v>Jasleen.D</v>
      </c>
      <c r="B77" s="101" t="str">
        <f>IF('⑦ Controller-Firm Map'!A39="","",'⑦ Controller-Firm Map'!B39)</f>
        <v>EVERMORE FINANCIAL SERVICES LLC</v>
      </c>
      <c r="C77" s="101" t="str">
        <f>IF('⑦ Controller-Firm Map'!A39="","",'⑦ Controller-Firm Map'!C39)</f>
        <v>Accounting</v>
      </c>
      <c r="D77" s="39">
        <f>IF('⑦ Controller-Firm Map'!A39="","",'⑦ Controller-Firm Map'!D39)</f>
        <v>1.5</v>
      </c>
      <c r="E77" s="101" t="str">
        <f>IF('⑦ Controller-Firm Map'!A39="","",'⑦ Controller-Firm Map'!E39)</f>
        <v>ACTIVE</v>
      </c>
      <c r="F77" s="43">
        <f>IF('⑦ Controller-Firm Map'!A39="","",'⑦ Controller-Firm Map'!F39)</f>
        <v>2000</v>
      </c>
      <c r="G77" s="29">
        <f>IF('⑦ Controller-Firm Map'!A39="","",'⑦ Controller-Firm Map'!G39)</f>
        <v>170000</v>
      </c>
      <c r="H77" s="43">
        <f>IF('⑦ Controller-Firm Map'!A39="","",'⑦ Controller-Firm Map'!H39)</f>
        <v>1333.3333333333333</v>
      </c>
    </row>
    <row r="78" spans="1:8" ht="15" customHeight="1" x14ac:dyDescent="0.2">
      <c r="A78" s="101" t="str">
        <f>IF('⑦ Controller-Firm Map'!A40="","",'⑦ Controller-Firm Map'!A40)</f>
        <v>Jyoti</v>
      </c>
      <c r="B78" s="101" t="str">
        <f>IF('⑦ Controller-Firm Map'!A40="","",'⑦ Controller-Firm Map'!B40)</f>
        <v>FULL COMPLIANCE, LLC</v>
      </c>
      <c r="C78" s="101" t="str">
        <f>IF('⑦ Controller-Firm Map'!A40="","",'⑦ Controller-Firm Map'!C40)</f>
        <v>Accounting</v>
      </c>
      <c r="D78" s="39">
        <f>IF('⑦ Controller-Firm Map'!A40="","",'⑦ Controller-Firm Map'!D40)</f>
        <v>2</v>
      </c>
      <c r="E78" s="101" t="str">
        <f>IF('⑦ Controller-Firm Map'!A40="","",'⑦ Controller-Firm Map'!E40)</f>
        <v>ACTIVE</v>
      </c>
      <c r="F78" s="43">
        <f>IF('⑦ Controller-Firm Map'!A40="","",'⑦ Controller-Firm Map'!F40)</f>
        <v>2600</v>
      </c>
      <c r="G78" s="29">
        <f>IF('⑦ Controller-Firm Map'!A40="","",'⑦ Controller-Firm Map'!G40)</f>
        <v>221000</v>
      </c>
      <c r="H78" s="43">
        <f>IF('⑦ Controller-Firm Map'!A40="","",'⑦ Controller-Firm Map'!H40)</f>
        <v>1300</v>
      </c>
    </row>
    <row r="79" spans="1:8" ht="15" customHeight="1" x14ac:dyDescent="0.2">
      <c r="A79" s="101" t="str">
        <f>IF('⑦ Controller-Firm Map'!A41="","",'⑦ Controller-Firm Map'!A41)</f>
        <v>Jasleen.D</v>
      </c>
      <c r="B79" s="101" t="str">
        <f>IF('⑦ Controller-Firm Map'!A41="","",'⑦ Controller-Firm Map'!B41)</f>
        <v>HIA TAX</v>
      </c>
      <c r="C79" s="101" t="str">
        <f>IF('⑦ Controller-Firm Map'!A41="","",'⑦ Controller-Firm Map'!C41)</f>
        <v>Accounting</v>
      </c>
      <c r="D79" s="39">
        <f>IF('⑦ Controller-Firm Map'!A41="","",'⑦ Controller-Firm Map'!D41)</f>
        <v>1</v>
      </c>
      <c r="E79" s="101" t="str">
        <f>IF('⑦ Controller-Firm Map'!A41="","",'⑦ Controller-Firm Map'!E41)</f>
        <v>ACTIVE</v>
      </c>
      <c r="F79" s="43">
        <f>IF('⑦ Controller-Firm Map'!A41="","",'⑦ Controller-Firm Map'!F41)</f>
        <v>1200</v>
      </c>
      <c r="G79" s="29">
        <f>IF('⑦ Controller-Firm Map'!A41="","",'⑦ Controller-Firm Map'!G41)</f>
        <v>102000</v>
      </c>
      <c r="H79" s="43">
        <f>IF('⑦ Controller-Firm Map'!A41="","",'⑦ Controller-Firm Map'!H41)</f>
        <v>1200</v>
      </c>
    </row>
    <row r="80" spans="1:8" ht="15" customHeight="1" x14ac:dyDescent="0.2">
      <c r="A80" s="101" t="str">
        <f>IF('⑦ Controller-Firm Map'!A42="","",'⑦ Controller-Firm Map'!A42)</f>
        <v>Jasleen.D</v>
      </c>
      <c r="B80" s="101" t="str">
        <f>IF('⑦ Controller-Firm Map'!A42="","",'⑦ Controller-Firm Map'!B42)</f>
        <v>IAM ACCOUNTING LLC</v>
      </c>
      <c r="C80" s="101" t="str">
        <f>IF('⑦ Controller-Firm Map'!A42="","",'⑦ Controller-Firm Map'!C42)</f>
        <v>Accounting</v>
      </c>
      <c r="D80" s="39">
        <f>IF('⑦ Controller-Firm Map'!A42="","",'⑦ Controller-Firm Map'!D42)</f>
        <v>3</v>
      </c>
      <c r="E80" s="101" t="str">
        <f>IF('⑦ Controller-Firm Map'!A42="","",'⑦ Controller-Firm Map'!E42)</f>
        <v>ACTIVE</v>
      </c>
      <c r="F80" s="43">
        <f>IF('⑦ Controller-Firm Map'!A42="","",'⑦ Controller-Firm Map'!F42)</f>
        <v>0</v>
      </c>
      <c r="G80" s="29">
        <f>IF('⑦ Controller-Firm Map'!A42="","",'⑦ Controller-Firm Map'!G42)</f>
        <v>0</v>
      </c>
      <c r="H80" s="43">
        <f>IF('⑦ Controller-Firm Map'!A42="","",'⑦ Controller-Firm Map'!H42)</f>
        <v>0</v>
      </c>
    </row>
    <row r="81" spans="1:8" ht="15" customHeight="1" x14ac:dyDescent="0.2">
      <c r="A81" s="101" t="str">
        <f>IF('⑦ Controller-Firm Map'!A43="","",'⑦ Controller-Firm Map'!A43)</f>
        <v>Jasleen.D</v>
      </c>
      <c r="B81" s="101" t="str">
        <f>IF('⑦ Controller-Firm Map'!A43="","",'⑦ Controller-Firm Map'!B43)</f>
        <v>INVENT WEALTH, CPA</v>
      </c>
      <c r="C81" s="101" t="str">
        <f>IF('⑦ Controller-Firm Map'!A43="","",'⑦ Controller-Firm Map'!C43)</f>
        <v>Accounting</v>
      </c>
      <c r="D81" s="39">
        <f>IF('⑦ Controller-Firm Map'!A43="","",'⑦ Controller-Firm Map'!D43)</f>
        <v>2</v>
      </c>
      <c r="E81" s="101" t="str">
        <f>IF('⑦ Controller-Firm Map'!A43="","",'⑦ Controller-Firm Map'!E43)</f>
        <v>ACTIVE</v>
      </c>
      <c r="F81" s="43">
        <f>IF('⑦ Controller-Firm Map'!A43="","",'⑦ Controller-Firm Map'!F43)</f>
        <v>2640</v>
      </c>
      <c r="G81" s="29">
        <f>IF('⑦ Controller-Firm Map'!A43="","",'⑦ Controller-Firm Map'!G43)</f>
        <v>224400</v>
      </c>
      <c r="H81" s="43">
        <f>IF('⑦ Controller-Firm Map'!A43="","",'⑦ Controller-Firm Map'!H43)</f>
        <v>1320</v>
      </c>
    </row>
    <row r="82" spans="1:8" ht="15" customHeight="1" x14ac:dyDescent="0.2">
      <c r="A82" s="101" t="str">
        <f>IF('⑦ Controller-Firm Map'!A44="","",'⑦ Controller-Firm Map'!A44)</f>
        <v>Jasleen.D</v>
      </c>
      <c r="B82" s="101" t="str">
        <f>IF('⑦ Controller-Firm Map'!A44="","",'⑦ Controller-Firm Map'!B44)</f>
        <v>MAINSPRING SOLUTIONS</v>
      </c>
      <c r="C82" s="101" t="str">
        <f>IF('⑦ Controller-Firm Map'!A44="","",'⑦ Controller-Firm Map'!C44)</f>
        <v>Accounting</v>
      </c>
      <c r="D82" s="39">
        <f>IF('⑦ Controller-Firm Map'!A44="","",'⑦ Controller-Firm Map'!D44)</f>
        <v>1</v>
      </c>
      <c r="E82" s="101" t="str">
        <f>IF('⑦ Controller-Firm Map'!A44="","",'⑦ Controller-Firm Map'!E44)</f>
        <v>ACTIVE</v>
      </c>
      <c r="F82" s="43">
        <f>IF('⑦ Controller-Firm Map'!A44="","",'⑦ Controller-Firm Map'!F44)</f>
        <v>1200</v>
      </c>
      <c r="G82" s="29">
        <f>IF('⑦ Controller-Firm Map'!A44="","",'⑦ Controller-Firm Map'!G44)</f>
        <v>102000</v>
      </c>
      <c r="H82" s="43">
        <f>IF('⑦ Controller-Firm Map'!A44="","",'⑦ Controller-Firm Map'!H44)</f>
        <v>1200</v>
      </c>
    </row>
    <row r="83" spans="1:8" ht="15" customHeight="1" x14ac:dyDescent="0.2">
      <c r="A83" s="101" t="str">
        <f>IF('⑦ Controller-Firm Map'!A45="","",'⑦ Controller-Firm Map'!A45)</f>
        <v>Jasleen.D</v>
      </c>
      <c r="B83" s="101" t="str">
        <f>IF('⑦ Controller-Firm Map'!A45="","",'⑦ Controller-Firm Map'!B45)</f>
        <v>MATHESON &amp; ASSOCIATES</v>
      </c>
      <c r="C83" s="101" t="str">
        <f>IF('⑦ Controller-Firm Map'!A45="","",'⑦ Controller-Firm Map'!C45)</f>
        <v>Accounting</v>
      </c>
      <c r="D83" s="39">
        <f>IF('⑦ Controller-Firm Map'!A45="","",'⑦ Controller-Firm Map'!D45)</f>
        <v>1</v>
      </c>
      <c r="E83" s="101" t="str">
        <f>IF('⑦ Controller-Firm Map'!A45="","",'⑦ Controller-Firm Map'!E45)</f>
        <v>ACTIVE</v>
      </c>
      <c r="F83" s="43">
        <f>IF('⑦ Controller-Firm Map'!A45="","",'⑦ Controller-Firm Map'!F45)</f>
        <v>1200</v>
      </c>
      <c r="G83" s="29">
        <f>IF('⑦ Controller-Firm Map'!A45="","",'⑦ Controller-Firm Map'!G45)</f>
        <v>102000</v>
      </c>
      <c r="H83" s="43">
        <f>IF('⑦ Controller-Firm Map'!A45="","",'⑦ Controller-Firm Map'!H45)</f>
        <v>1200</v>
      </c>
    </row>
    <row r="84" spans="1:8" ht="15" customHeight="1" x14ac:dyDescent="0.2">
      <c r="A84" s="101" t="str">
        <f>IF('⑦ Controller-Firm Map'!A46="","",'⑦ Controller-Firm Map'!A46)</f>
        <v>Jasleen.D</v>
      </c>
      <c r="B84" s="101" t="str">
        <f>IF('⑦ Controller-Firm Map'!A46="","",'⑦ Controller-Firm Map'!B46)</f>
        <v>NEWELL TAYLOR CPA</v>
      </c>
      <c r="C84" s="101" t="str">
        <f>IF('⑦ Controller-Firm Map'!A46="","",'⑦ Controller-Firm Map'!C46)</f>
        <v>Accounting</v>
      </c>
      <c r="D84" s="39">
        <f>IF('⑦ Controller-Firm Map'!A46="","",'⑦ Controller-Firm Map'!D46)</f>
        <v>1</v>
      </c>
      <c r="E84" s="101" t="str">
        <f>IF('⑦ Controller-Firm Map'!A46="","",'⑦ Controller-Firm Map'!E46)</f>
        <v>ACTIVE</v>
      </c>
      <c r="F84" s="43">
        <f>IF('⑦ Controller-Firm Map'!A46="","",'⑦ Controller-Firm Map'!F46)</f>
        <v>1000</v>
      </c>
      <c r="G84" s="29">
        <f>IF('⑦ Controller-Firm Map'!A46="","",'⑦ Controller-Firm Map'!G46)</f>
        <v>85000</v>
      </c>
      <c r="H84" s="43">
        <f>IF('⑦ Controller-Firm Map'!A46="","",'⑦ Controller-Firm Map'!H46)</f>
        <v>1000</v>
      </c>
    </row>
    <row r="85" spans="1:8" ht="15" customHeight="1" x14ac:dyDescent="0.2">
      <c r="A85" s="101" t="str">
        <f>IF('⑦ Controller-Firm Map'!A47="","",'⑦ Controller-Firm Map'!A47)</f>
        <v>Jasleen.D</v>
      </c>
      <c r="B85" s="101" t="str">
        <f>IF('⑦ Controller-Firm Map'!A47="","",'⑦ Controller-Firm Map'!B47)</f>
        <v>RRAW CPA LLP</v>
      </c>
      <c r="C85" s="101" t="str">
        <f>IF('⑦ Controller-Firm Map'!A47="","",'⑦ Controller-Firm Map'!C47)</f>
        <v>Accounting</v>
      </c>
      <c r="D85" s="39">
        <f>IF('⑦ Controller-Firm Map'!A47="","",'⑦ Controller-Firm Map'!D47)</f>
        <v>0.25</v>
      </c>
      <c r="E85" s="101" t="str">
        <f>IF('⑦ Controller-Firm Map'!A47="","",'⑦ Controller-Firm Map'!E47)</f>
        <v>ACTIVE</v>
      </c>
      <c r="F85" s="43">
        <f>IF('⑦ Controller-Firm Map'!A47="","",'⑦ Controller-Firm Map'!F47)</f>
        <v>400</v>
      </c>
      <c r="G85" s="29">
        <f>IF('⑦ Controller-Firm Map'!A47="","",'⑦ Controller-Firm Map'!G47)</f>
        <v>34000</v>
      </c>
      <c r="H85" s="43">
        <f>IF('⑦ Controller-Firm Map'!A47="","",'⑦ Controller-Firm Map'!H47)</f>
        <v>1600</v>
      </c>
    </row>
    <row r="86" spans="1:8" ht="15" customHeight="1" x14ac:dyDescent="0.2">
      <c r="A86" s="101" t="str">
        <f>IF('⑦ Controller-Firm Map'!A48="","",'⑦ Controller-Firm Map'!A48)</f>
        <v>Anshul.O</v>
      </c>
      <c r="B86" s="101" t="str">
        <f>IF('⑦ Controller-Firm Map'!A48="","",'⑦ Controller-Firm Map'!B48)</f>
        <v>WB MORROW</v>
      </c>
      <c r="C86" s="101" t="str">
        <f>IF('⑦ Controller-Firm Map'!A48="","",'⑦ Controller-Firm Map'!C48)</f>
        <v>Accounting</v>
      </c>
      <c r="D86" s="39">
        <f>IF('⑦ Controller-Firm Map'!A48="","",'⑦ Controller-Firm Map'!D48)</f>
        <v>1</v>
      </c>
      <c r="E86" s="101" t="str">
        <f>IF('⑦ Controller-Firm Map'!A48="","",'⑦ Controller-Firm Map'!E48)</f>
        <v>ACTIVE</v>
      </c>
      <c r="F86" s="43">
        <f>IF('⑦ Controller-Firm Map'!A48="","",'⑦ Controller-Firm Map'!F48)</f>
        <v>1800</v>
      </c>
      <c r="G86" s="29">
        <f>IF('⑦ Controller-Firm Map'!A48="","",'⑦ Controller-Firm Map'!G48)</f>
        <v>153000</v>
      </c>
      <c r="H86" s="43">
        <f>IF('⑦ Controller-Firm Map'!A48="","",'⑦ Controller-Firm Map'!H48)</f>
        <v>1800</v>
      </c>
    </row>
    <row r="87" spans="1:8" ht="15" customHeight="1" x14ac:dyDescent="0.2">
      <c r="A87" s="101" t="str">
        <f>IF('⑦ Controller-Firm Map'!A49="","",'⑦ Controller-Firm Map'!A49)</f>
        <v>Ayushi</v>
      </c>
      <c r="B87" s="101" t="str">
        <f>IF('⑦ Controller-Firm Map'!A49="","",'⑦ Controller-Firm Map'!B49)</f>
        <v>CLARK FINANCIALS</v>
      </c>
      <c r="C87" s="101" t="str">
        <f>IF('⑦ Controller-Firm Map'!A49="","",'⑦ Controller-Firm Map'!C49)</f>
        <v>Accounting</v>
      </c>
      <c r="D87" s="39">
        <f>IF('⑦ Controller-Firm Map'!A49="","",'⑦ Controller-Firm Map'!D49)</f>
        <v>0.5</v>
      </c>
      <c r="E87" s="101" t="str">
        <f>IF('⑦ Controller-Firm Map'!A49="","",'⑦ Controller-Firm Map'!E49)</f>
        <v>ACTIVE</v>
      </c>
      <c r="F87" s="43">
        <f>IF('⑦ Controller-Firm Map'!A49="","",'⑦ Controller-Firm Map'!F49)</f>
        <v>700</v>
      </c>
      <c r="G87" s="29">
        <f>IF('⑦ Controller-Firm Map'!A49="","",'⑦ Controller-Firm Map'!G49)</f>
        <v>59500</v>
      </c>
      <c r="H87" s="43">
        <f>IF('⑦ Controller-Firm Map'!A49="","",'⑦ Controller-Firm Map'!H49)</f>
        <v>1400</v>
      </c>
    </row>
    <row r="88" spans="1:8" ht="15" customHeight="1" x14ac:dyDescent="0.2">
      <c r="A88" s="101" t="str">
        <f>IF('⑦ Controller-Firm Map'!A50="","",'⑦ Controller-Firm Map'!A50)</f>
        <v>Ayushi</v>
      </c>
      <c r="B88" s="101" t="str">
        <f>IF('⑦ Controller-Firm Map'!A50="","",'⑦ Controller-Firm Map'!B50)</f>
        <v>DOR BUSINESS GROUP LLC</v>
      </c>
      <c r="C88" s="101" t="str">
        <f>IF('⑦ Controller-Firm Map'!A50="","",'⑦ Controller-Firm Map'!C50)</f>
        <v>Accounting</v>
      </c>
      <c r="D88" s="39">
        <f>IF('⑦ Controller-Firm Map'!A50="","",'⑦ Controller-Firm Map'!D50)</f>
        <v>0.25</v>
      </c>
      <c r="E88" s="101" t="str">
        <f>IF('⑦ Controller-Firm Map'!A50="","",'⑦ Controller-Firm Map'!E50)</f>
        <v>ACTIVE</v>
      </c>
      <c r="F88" s="43">
        <f>IF('⑦ Controller-Firm Map'!A50="","",'⑦ Controller-Firm Map'!F50)</f>
        <v>350</v>
      </c>
      <c r="G88" s="29">
        <f>IF('⑦ Controller-Firm Map'!A50="","",'⑦ Controller-Firm Map'!G50)</f>
        <v>29750</v>
      </c>
      <c r="H88" s="43">
        <f>IF('⑦ Controller-Firm Map'!A50="","",'⑦ Controller-Firm Map'!H50)</f>
        <v>1400</v>
      </c>
    </row>
    <row r="89" spans="1:8" ht="15" customHeight="1" x14ac:dyDescent="0.2">
      <c r="A89" s="101" t="str">
        <f>IF('⑦ Controller-Firm Map'!A51="","",'⑦ Controller-Firm Map'!A51)</f>
        <v>Ayushi</v>
      </c>
      <c r="B89" s="101" t="str">
        <f>IF('⑦ Controller-Firm Map'!A51="","",'⑦ Controller-Firm Map'!B51)</f>
        <v>HELLO ACCOUNTAX</v>
      </c>
      <c r="C89" s="101" t="str">
        <f>IF('⑦ Controller-Firm Map'!A51="","",'⑦ Controller-Firm Map'!C51)</f>
        <v>Accounting</v>
      </c>
      <c r="D89" s="39">
        <f>IF('⑦ Controller-Firm Map'!A51="","",'⑦ Controller-Firm Map'!D51)</f>
        <v>0.5</v>
      </c>
      <c r="E89" s="101" t="str">
        <f>IF('⑦ Controller-Firm Map'!A51="","",'⑦ Controller-Firm Map'!E51)</f>
        <v>ACTIVE</v>
      </c>
      <c r="F89" s="43">
        <f>IF('⑦ Controller-Firm Map'!A51="","",'⑦ Controller-Firm Map'!F51)</f>
        <v>600</v>
      </c>
      <c r="G89" s="29">
        <f>IF('⑦ Controller-Firm Map'!A51="","",'⑦ Controller-Firm Map'!G51)</f>
        <v>51000</v>
      </c>
      <c r="H89" s="43">
        <f>IF('⑦ Controller-Firm Map'!A51="","",'⑦ Controller-Firm Map'!H51)</f>
        <v>1200</v>
      </c>
    </row>
    <row r="90" spans="1:8" ht="15" customHeight="1" x14ac:dyDescent="0.2">
      <c r="A90" s="101" t="str">
        <f>IF('⑦ Controller-Firm Map'!A52="","",'⑦ Controller-Firm Map'!A52)</f>
        <v>Ayushi</v>
      </c>
      <c r="B90" s="101" t="str">
        <f>IF('⑦ Controller-Firm Map'!A52="","",'⑦ Controller-Firm Map'!B52)</f>
        <v>INNOVATIVE CONSULTING &amp; SOLUTIONS, LLC</v>
      </c>
      <c r="C90" s="101" t="str">
        <f>IF('⑦ Controller-Firm Map'!A52="","",'⑦ Controller-Firm Map'!C52)</f>
        <v>Accounting</v>
      </c>
      <c r="D90" s="39">
        <f>IF('⑦ Controller-Firm Map'!A52="","",'⑦ Controller-Firm Map'!D52)</f>
        <v>0.5</v>
      </c>
      <c r="E90" s="101" t="str">
        <f>IF('⑦ Controller-Firm Map'!A52="","",'⑦ Controller-Firm Map'!E52)</f>
        <v>ACTIVE</v>
      </c>
      <c r="F90" s="43">
        <f>IF('⑦ Controller-Firm Map'!A52="","",'⑦ Controller-Firm Map'!F52)</f>
        <v>450</v>
      </c>
      <c r="G90" s="29">
        <f>IF('⑦ Controller-Firm Map'!A52="","",'⑦ Controller-Firm Map'!G52)</f>
        <v>38250</v>
      </c>
      <c r="H90" s="43">
        <f>IF('⑦ Controller-Firm Map'!A52="","",'⑦ Controller-Firm Map'!H52)</f>
        <v>900</v>
      </c>
    </row>
    <row r="91" spans="1:8" ht="15" customHeight="1" x14ac:dyDescent="0.2">
      <c r="A91" s="101" t="str">
        <f>IF('⑦ Controller-Firm Map'!A53="","",'⑦ Controller-Firm Map'!A53)</f>
        <v>Ayushi</v>
      </c>
      <c r="B91" s="101" t="str">
        <f>IF('⑦ Controller-Firm Map'!A53="","",'⑦ Controller-Firm Map'!B53)</f>
        <v>LIFETIME FUNDING, LLC</v>
      </c>
      <c r="C91" s="101" t="str">
        <f>IF('⑦ Controller-Firm Map'!A53="","",'⑦ Controller-Firm Map'!C53)</f>
        <v>Accounting</v>
      </c>
      <c r="D91" s="39">
        <f>IF('⑦ Controller-Firm Map'!A53="","",'⑦ Controller-Firm Map'!D53)</f>
        <v>1.5</v>
      </c>
      <c r="E91" s="101" t="str">
        <f>IF('⑦ Controller-Firm Map'!A53="","",'⑦ Controller-Firm Map'!E53)</f>
        <v>ACTIVE</v>
      </c>
      <c r="F91" s="43">
        <f>IF('⑦ Controller-Firm Map'!A53="","",'⑦ Controller-Firm Map'!F53)</f>
        <v>1900</v>
      </c>
      <c r="G91" s="29">
        <f>IF('⑦ Controller-Firm Map'!A53="","",'⑦ Controller-Firm Map'!G53)</f>
        <v>161500</v>
      </c>
      <c r="H91" s="43">
        <f>IF('⑦ Controller-Firm Map'!A53="","",'⑦ Controller-Firm Map'!H53)</f>
        <v>1266.6666666666667</v>
      </c>
    </row>
    <row r="92" spans="1:8" ht="15" customHeight="1" x14ac:dyDescent="0.2">
      <c r="A92" s="101" t="str">
        <f>IF('⑦ Controller-Firm Map'!A54="","",'⑦ Controller-Firm Map'!A54)</f>
        <v>Ayushi</v>
      </c>
      <c r="B92" s="101" t="str">
        <f>IF('⑦ Controller-Firm Map'!A54="","",'⑦ Controller-Firm Map'!B54)</f>
        <v>MERAKI ACCOUNTING &amp; TAX LLC</v>
      </c>
      <c r="C92" s="101" t="str">
        <f>IF('⑦ Controller-Firm Map'!A54="","",'⑦ Controller-Firm Map'!C54)</f>
        <v>Accounting</v>
      </c>
      <c r="D92" s="39">
        <f>IF('⑦ Controller-Firm Map'!A54="","",'⑦ Controller-Firm Map'!D54)</f>
        <v>0.5</v>
      </c>
      <c r="E92" s="101" t="str">
        <f>IF('⑦ Controller-Firm Map'!A54="","",'⑦ Controller-Firm Map'!E54)</f>
        <v>ACTIVE</v>
      </c>
      <c r="F92" s="43">
        <f>IF('⑦ Controller-Firm Map'!A54="","",'⑦ Controller-Firm Map'!F54)</f>
        <v>600</v>
      </c>
      <c r="G92" s="29">
        <f>IF('⑦ Controller-Firm Map'!A54="","",'⑦ Controller-Firm Map'!G54)</f>
        <v>51000</v>
      </c>
      <c r="H92" s="43">
        <f>IF('⑦ Controller-Firm Map'!A54="","",'⑦ Controller-Firm Map'!H54)</f>
        <v>1200</v>
      </c>
    </row>
    <row r="93" spans="1:8" ht="15" customHeight="1" x14ac:dyDescent="0.2">
      <c r="A93" s="101" t="str">
        <f>IF('⑦ Controller-Firm Map'!A55="","",'⑦ Controller-Firm Map'!A55)</f>
        <v>Ayushi</v>
      </c>
      <c r="B93" s="101" t="str">
        <f>IF('⑦ Controller-Firm Map'!A55="","",'⑦ Controller-Firm Map'!B55)</f>
        <v>NATIONAL TAX CENTERS, LLC</v>
      </c>
      <c r="C93" s="101" t="str">
        <f>IF('⑦ Controller-Firm Map'!A55="","",'⑦ Controller-Firm Map'!C55)</f>
        <v>Accounting</v>
      </c>
      <c r="D93" s="39">
        <f>IF('⑦ Controller-Firm Map'!A55="","",'⑦ Controller-Firm Map'!D55)</f>
        <v>2</v>
      </c>
      <c r="E93" s="101" t="str">
        <f>IF('⑦ Controller-Firm Map'!A55="","",'⑦ Controller-Firm Map'!E55)</f>
        <v>ACTIVE</v>
      </c>
      <c r="F93" s="43">
        <f>IF('⑦ Controller-Firm Map'!A55="","",'⑦ Controller-Firm Map'!F55)</f>
        <v>4000</v>
      </c>
      <c r="G93" s="29">
        <f>IF('⑦ Controller-Firm Map'!A55="","",'⑦ Controller-Firm Map'!G55)</f>
        <v>340000</v>
      </c>
      <c r="H93" s="43">
        <f>IF('⑦ Controller-Firm Map'!A55="","",'⑦ Controller-Firm Map'!H55)</f>
        <v>2000</v>
      </c>
    </row>
    <row r="94" spans="1:8" ht="15" customHeight="1" x14ac:dyDescent="0.2">
      <c r="A94" s="101" t="str">
        <f>IF('⑦ Controller-Firm Map'!A56="","",'⑦ Controller-Firm Map'!A56)</f>
        <v>Ayushi</v>
      </c>
      <c r="B94" s="101" t="str">
        <f>IF('⑦ Controller-Firm Map'!A56="","",'⑦ Controller-Firm Map'!B56)</f>
        <v>NEW AGE IRON WORKS, INC.</v>
      </c>
      <c r="C94" s="101" t="str">
        <f>IF('⑦ Controller-Firm Map'!A56="","",'⑦ Controller-Firm Map'!C56)</f>
        <v>Accounting</v>
      </c>
      <c r="D94" s="39">
        <f>IF('⑦ Controller-Firm Map'!A56="","",'⑦ Controller-Firm Map'!D56)</f>
        <v>1</v>
      </c>
      <c r="E94" s="101" t="str">
        <f>IF('⑦ Controller-Firm Map'!A56="","",'⑦ Controller-Firm Map'!E56)</f>
        <v>ACTIVE</v>
      </c>
      <c r="F94" s="43">
        <f>IF('⑦ Controller-Firm Map'!A56="","",'⑦ Controller-Firm Map'!F56)</f>
        <v>1000</v>
      </c>
      <c r="G94" s="29">
        <f>IF('⑦ Controller-Firm Map'!A56="","",'⑦ Controller-Firm Map'!G56)</f>
        <v>85000</v>
      </c>
      <c r="H94" s="43">
        <f>IF('⑦ Controller-Firm Map'!A56="","",'⑦ Controller-Firm Map'!H56)</f>
        <v>1000</v>
      </c>
    </row>
    <row r="95" spans="1:8" ht="15" customHeight="1" x14ac:dyDescent="0.2">
      <c r="A95" s="101" t="str">
        <f>IF('⑦ Controller-Firm Map'!A57="","",'⑦ Controller-Firm Map'!A57)</f>
        <v>Ayushi</v>
      </c>
      <c r="B95" s="101" t="str">
        <f>IF('⑦ Controller-Firm Map'!A57="","",'⑦ Controller-Firm Map'!B57)</f>
        <v>NUMBER NUTTZ CONSULTING</v>
      </c>
      <c r="C95" s="101" t="str">
        <f>IF('⑦ Controller-Firm Map'!A57="","",'⑦ Controller-Firm Map'!C57)</f>
        <v>Accounting</v>
      </c>
      <c r="D95" s="39">
        <f>IF('⑦ Controller-Firm Map'!A57="","",'⑦ Controller-Firm Map'!D57)</f>
        <v>0.25</v>
      </c>
      <c r="E95" s="101" t="str">
        <f>IF('⑦ Controller-Firm Map'!A57="","",'⑦ Controller-Firm Map'!E57)</f>
        <v>ACTIVE</v>
      </c>
      <c r="F95" s="43">
        <f>IF('⑦ Controller-Firm Map'!A57="","",'⑦ Controller-Firm Map'!F57)</f>
        <v>450</v>
      </c>
      <c r="G95" s="29">
        <f>IF('⑦ Controller-Firm Map'!A57="","",'⑦ Controller-Firm Map'!G57)</f>
        <v>38250</v>
      </c>
      <c r="H95" s="43">
        <f>IF('⑦ Controller-Firm Map'!A57="","",'⑦ Controller-Firm Map'!H57)</f>
        <v>1800</v>
      </c>
    </row>
    <row r="96" spans="1:8" ht="15" customHeight="1" x14ac:dyDescent="0.2">
      <c r="A96" s="101" t="str">
        <f>IF('⑦ Controller-Firm Map'!A58="","",'⑦ Controller-Firm Map'!A58)</f>
        <v>Ayushi</v>
      </c>
      <c r="B96" s="101" t="str">
        <f>IF('⑦ Controller-Firm Map'!A58="","",'⑦ Controller-Firm Map'!B58)</f>
        <v>RTW XXACT ENTERPRISES, LLC</v>
      </c>
      <c r="C96" s="101" t="str">
        <f>IF('⑦ Controller-Firm Map'!A58="","",'⑦ Controller-Firm Map'!C58)</f>
        <v>Accounting</v>
      </c>
      <c r="D96" s="39">
        <f>IF('⑦ Controller-Firm Map'!A58="","",'⑦ Controller-Firm Map'!D58)</f>
        <v>1</v>
      </c>
      <c r="E96" s="101" t="str">
        <f>IF('⑦ Controller-Firm Map'!A58="","",'⑦ Controller-Firm Map'!E58)</f>
        <v>ACTIVE</v>
      </c>
      <c r="F96" s="43">
        <f>IF('⑦ Controller-Firm Map'!A58="","",'⑦ Controller-Firm Map'!F58)</f>
        <v>0</v>
      </c>
      <c r="G96" s="29">
        <f>IF('⑦ Controller-Firm Map'!A58="","",'⑦ Controller-Firm Map'!G58)</f>
        <v>0</v>
      </c>
      <c r="H96" s="43">
        <f>IF('⑦ Controller-Firm Map'!A58="","",'⑦ Controller-Firm Map'!H58)</f>
        <v>0</v>
      </c>
    </row>
    <row r="97" spans="1:8" ht="15" customHeight="1" x14ac:dyDescent="0.2">
      <c r="A97" s="101" t="str">
        <f>IF('⑦ Controller-Firm Map'!A59="","",'⑦ Controller-Firm Map'!A59)</f>
        <v>Ayushi</v>
      </c>
      <c r="B97" s="101" t="str">
        <f>IF('⑦ Controller-Firm Map'!A59="","",'⑦ Controller-Firm Map'!B59)</f>
        <v>TRI SCAPES</v>
      </c>
      <c r="C97" s="101" t="str">
        <f>IF('⑦ Controller-Firm Map'!A59="","",'⑦ Controller-Firm Map'!C59)</f>
        <v>Accounting</v>
      </c>
      <c r="D97" s="39">
        <f>IF('⑦ Controller-Firm Map'!A59="","",'⑦ Controller-Firm Map'!D59)</f>
        <v>2</v>
      </c>
      <c r="E97" s="101" t="str">
        <f>IF('⑦ Controller-Firm Map'!A59="","",'⑦ Controller-Firm Map'!E59)</f>
        <v>ACTIVE</v>
      </c>
      <c r="F97" s="43">
        <f>IF('⑦ Controller-Firm Map'!A59="","",'⑦ Controller-Firm Map'!F59)</f>
        <v>0</v>
      </c>
      <c r="G97" s="29">
        <f>IF('⑦ Controller-Firm Map'!A59="","",'⑦ Controller-Firm Map'!G59)</f>
        <v>0</v>
      </c>
      <c r="H97" s="43">
        <f>IF('⑦ Controller-Firm Map'!A59="","",'⑦ Controller-Firm Map'!H59)</f>
        <v>0</v>
      </c>
    </row>
    <row r="98" spans="1:8" ht="15" customHeight="1" x14ac:dyDescent="0.2">
      <c r="A98" s="101" t="str">
        <f>IF('⑦ Controller-Firm Map'!A60="","",'⑦ Controller-Firm Map'!A60)</f>
        <v>Ayushi</v>
      </c>
      <c r="B98" s="101" t="str">
        <f>IF('⑦ Controller-Firm Map'!A60="","",'⑦ Controller-Firm Map'!B60)</f>
        <v>WE ARE QUADRANT</v>
      </c>
      <c r="C98" s="101" t="str">
        <f>IF('⑦ Controller-Firm Map'!A60="","",'⑦ Controller-Firm Map'!C60)</f>
        <v>Accounting</v>
      </c>
      <c r="D98" s="39">
        <f>IF('⑦ Controller-Firm Map'!A60="","",'⑦ Controller-Firm Map'!D60)</f>
        <v>1</v>
      </c>
      <c r="E98" s="101" t="str">
        <f>IF('⑦ Controller-Firm Map'!A60="","",'⑦ Controller-Firm Map'!E60)</f>
        <v>ACTIVE</v>
      </c>
      <c r="F98" s="43">
        <f>IF('⑦ Controller-Firm Map'!A60="","",'⑦ Controller-Firm Map'!F60)</f>
        <v>0</v>
      </c>
      <c r="G98" s="29">
        <f>IF('⑦ Controller-Firm Map'!A60="","",'⑦ Controller-Firm Map'!G60)</f>
        <v>0</v>
      </c>
      <c r="H98" s="43">
        <f>IF('⑦ Controller-Firm Map'!A60="","",'⑦ Controller-Firm Map'!H60)</f>
        <v>0</v>
      </c>
    </row>
    <row r="99" spans="1:8" ht="15" customHeight="1" x14ac:dyDescent="0.2">
      <c r="A99" s="101" t="str">
        <f>IF('⑦ Controller-Firm Map'!A61="","",'⑦ Controller-Firm Map'!A61)</f>
        <v>Ammie</v>
      </c>
      <c r="B99" s="101" t="str">
        <f>IF('⑦ Controller-Firm Map'!A61="","",'⑦ Controller-Firm Map'!B61)</f>
        <v>ACTION ACCOUNTING</v>
      </c>
      <c r="C99" s="101" t="str">
        <f>IF('⑦ Controller-Firm Map'!A61="","",'⑦ Controller-Firm Map'!C61)</f>
        <v>Individual Tax</v>
      </c>
      <c r="D99" s="39">
        <f>IF('⑦ Controller-Firm Map'!A61="","",'⑦ Controller-Firm Map'!D61)</f>
        <v>0.35</v>
      </c>
      <c r="E99" s="101" t="str">
        <f>IF('⑦ Controller-Firm Map'!A61="","",'⑦ Controller-Firm Map'!E61)</f>
        <v>ACTIVE</v>
      </c>
      <c r="F99" s="43">
        <f>IF('⑦ Controller-Firm Map'!A61="","",'⑦ Controller-Firm Map'!F61)</f>
        <v>1200</v>
      </c>
      <c r="G99" s="29">
        <f>IF('⑦ Controller-Firm Map'!A61="","",'⑦ Controller-Firm Map'!G61)</f>
        <v>102000</v>
      </c>
      <c r="H99" s="43">
        <f>IF('⑦ Controller-Firm Map'!A61="","",'⑦ Controller-Firm Map'!H61)</f>
        <v>3428.5714285714289</v>
      </c>
    </row>
    <row r="100" spans="1:8" ht="15" customHeight="1" x14ac:dyDescent="0.2">
      <c r="A100" s="101" t="str">
        <f>IF('⑦ Controller-Firm Map'!A62="","",'⑦ Controller-Firm Map'!A62)</f>
        <v>Ammie</v>
      </c>
      <c r="B100" s="101" t="str">
        <f>IF('⑦ Controller-Firm Map'!A62="","",'⑦ Controller-Firm Map'!B62)</f>
        <v>CHRIS WHALEN CPA, LLC</v>
      </c>
      <c r="C100" s="101" t="str">
        <f>IF('⑦ Controller-Firm Map'!A62="","",'⑦ Controller-Firm Map'!C62)</f>
        <v>Individual Tax</v>
      </c>
      <c r="D100" s="39">
        <f>IF('⑦ Controller-Firm Map'!A62="","",'⑦ Controller-Firm Map'!D62)</f>
        <v>1</v>
      </c>
      <c r="E100" s="101" t="str">
        <f>IF('⑦ Controller-Firm Map'!A62="","",'⑦ Controller-Firm Map'!E62)</f>
        <v>ACTIVE</v>
      </c>
      <c r="F100" s="43">
        <f>IF('⑦ Controller-Firm Map'!A62="","",'⑦ Controller-Firm Map'!F62)</f>
        <v>1880</v>
      </c>
      <c r="G100" s="29">
        <f>IF('⑦ Controller-Firm Map'!A62="","",'⑦ Controller-Firm Map'!G62)</f>
        <v>159800</v>
      </c>
      <c r="H100" s="43">
        <f>IF('⑦ Controller-Firm Map'!A62="","",'⑦ Controller-Firm Map'!H62)</f>
        <v>1880</v>
      </c>
    </row>
    <row r="101" spans="1:8" ht="15" customHeight="1" x14ac:dyDescent="0.2">
      <c r="A101" s="101" t="str">
        <f>IF('⑦ Controller-Firm Map'!A63="","",'⑦ Controller-Firm Map'!A63)</f>
        <v>Ammie</v>
      </c>
      <c r="B101" s="101" t="str">
        <f>IF('⑦ Controller-Firm Map'!A63="","",'⑦ Controller-Firm Map'!B63)</f>
        <v>FULL COMPLIANCE, LLC</v>
      </c>
      <c r="C101" s="101" t="str">
        <f>IF('⑦ Controller-Firm Map'!A63="","",'⑦ Controller-Firm Map'!C63)</f>
        <v>Individual Tax</v>
      </c>
      <c r="D101" s="39">
        <f>IF('⑦ Controller-Firm Map'!A63="","",'⑦ Controller-Firm Map'!D63)</f>
        <v>0.7</v>
      </c>
      <c r="E101" s="101" t="str">
        <f>IF('⑦ Controller-Firm Map'!A63="","",'⑦ Controller-Firm Map'!E63)</f>
        <v>ACTIVE</v>
      </c>
      <c r="F101" s="43">
        <f>IF('⑦ Controller-Firm Map'!A63="","",'⑦ Controller-Firm Map'!F63)</f>
        <v>2600</v>
      </c>
      <c r="G101" s="29">
        <f>IF('⑦ Controller-Firm Map'!A63="","",'⑦ Controller-Firm Map'!G63)</f>
        <v>221000</v>
      </c>
      <c r="H101" s="43">
        <f>IF('⑦ Controller-Firm Map'!A63="","",'⑦ Controller-Firm Map'!H63)</f>
        <v>3714.2857142857147</v>
      </c>
    </row>
    <row r="102" spans="1:8" ht="15" customHeight="1" x14ac:dyDescent="0.2">
      <c r="A102" s="101" t="str">
        <f>IF('⑦ Controller-Firm Map'!A64="","",'⑦ Controller-Firm Map'!A64)</f>
        <v>Ammie</v>
      </c>
      <c r="B102" s="101" t="str">
        <f>IF('⑦ Controller-Firm Map'!A64="","",'⑦ Controller-Firm Map'!B64)</f>
        <v>INVENT WEALTH, CPA</v>
      </c>
      <c r="C102" s="101" t="str">
        <f>IF('⑦ Controller-Firm Map'!A64="","",'⑦ Controller-Firm Map'!C64)</f>
        <v>Individual Tax</v>
      </c>
      <c r="D102" s="39">
        <f>IF('⑦ Controller-Firm Map'!A64="","",'⑦ Controller-Firm Map'!D64)</f>
        <v>0.7</v>
      </c>
      <c r="E102" s="101" t="str">
        <f>IF('⑦ Controller-Firm Map'!A64="","",'⑦ Controller-Firm Map'!E64)</f>
        <v>ACTIVE</v>
      </c>
      <c r="F102" s="43">
        <f>IF('⑦ Controller-Firm Map'!A64="","",'⑦ Controller-Firm Map'!F64)</f>
        <v>2640</v>
      </c>
      <c r="G102" s="29">
        <f>IF('⑦ Controller-Firm Map'!A64="","",'⑦ Controller-Firm Map'!G64)</f>
        <v>224400</v>
      </c>
      <c r="H102" s="43">
        <f>IF('⑦ Controller-Firm Map'!A64="","",'⑦ Controller-Firm Map'!H64)</f>
        <v>3771.4285714285716</v>
      </c>
    </row>
    <row r="103" spans="1:8" ht="15" customHeight="1" x14ac:dyDescent="0.2">
      <c r="A103" s="101" t="str">
        <f>IF('⑦ Controller-Firm Map'!A65="","",'⑦ Controller-Firm Map'!A65)</f>
        <v>Ammie</v>
      </c>
      <c r="B103" s="101" t="str">
        <f>IF('⑦ Controller-Firm Map'!A65="","",'⑦ Controller-Firm Map'!B65)</f>
        <v>jmWILLIAMS, CPA, LLP</v>
      </c>
      <c r="C103" s="101" t="str">
        <f>IF('⑦ Controller-Firm Map'!A65="","",'⑦ Controller-Firm Map'!C65)</f>
        <v>Individual Tax</v>
      </c>
      <c r="D103" s="39">
        <f>IF('⑦ Controller-Firm Map'!A65="","",'⑦ Controller-Firm Map'!D65)</f>
        <v>0.7</v>
      </c>
      <c r="E103" s="101" t="str">
        <f>IF('⑦ Controller-Firm Map'!A65="","",'⑦ Controller-Firm Map'!E65)</f>
        <v>ACTIVE</v>
      </c>
      <c r="F103" s="43">
        <f>IF('⑦ Controller-Firm Map'!A65="","",'⑦ Controller-Firm Map'!F65)</f>
        <v>0</v>
      </c>
      <c r="G103" s="29">
        <f>IF('⑦ Controller-Firm Map'!A65="","",'⑦ Controller-Firm Map'!G65)</f>
        <v>0</v>
      </c>
      <c r="H103" s="43">
        <f>IF('⑦ Controller-Firm Map'!A65="","",'⑦ Controller-Firm Map'!H65)</f>
        <v>0</v>
      </c>
    </row>
    <row r="104" spans="1:8" ht="15" customHeight="1" x14ac:dyDescent="0.2">
      <c r="A104" s="101" t="str">
        <f>IF('⑦ Controller-Firm Map'!A66="","",'⑦ Controller-Firm Map'!A66)</f>
        <v>Ammie</v>
      </c>
      <c r="B104" s="101" t="str">
        <f>IF('⑦ Controller-Firm Map'!A66="","",'⑦ Controller-Firm Map'!B66)</f>
        <v>MARTIN D. EISENSTEIN, CPA</v>
      </c>
      <c r="C104" s="101" t="str">
        <f>IF('⑦ Controller-Firm Map'!A66="","",'⑦ Controller-Firm Map'!C66)</f>
        <v>Individual Tax</v>
      </c>
      <c r="D104" s="39">
        <f>IF('⑦ Controller-Firm Map'!A66="","",'⑦ Controller-Firm Map'!D66)</f>
        <v>0.7</v>
      </c>
      <c r="E104" s="101" t="str">
        <f>IF('⑦ Controller-Firm Map'!A66="","",'⑦ Controller-Firm Map'!E66)</f>
        <v>ACTIVE</v>
      </c>
      <c r="F104" s="43">
        <f>IF('⑦ Controller-Firm Map'!A66="","",'⑦ Controller-Firm Map'!F66)</f>
        <v>0</v>
      </c>
      <c r="G104" s="29">
        <f>IF('⑦ Controller-Firm Map'!A66="","",'⑦ Controller-Firm Map'!G66)</f>
        <v>0</v>
      </c>
      <c r="H104" s="43">
        <f>IF('⑦ Controller-Firm Map'!A66="","",'⑦ Controller-Firm Map'!H66)</f>
        <v>0</v>
      </c>
    </row>
    <row r="105" spans="1:8" ht="15" customHeight="1" x14ac:dyDescent="0.2">
      <c r="A105" s="101" t="str">
        <f>IF('⑦ Controller-Firm Map'!A67="","",'⑦ Controller-Firm Map'!A67)</f>
        <v>Ammie</v>
      </c>
      <c r="B105" s="101" t="str">
        <f>IF('⑦ Controller-Firm Map'!A67="","",'⑦ Controller-Firm Map'!B67)</f>
        <v>PROVISION ACCOUNTING SOLUTIONS</v>
      </c>
      <c r="C105" s="101" t="str">
        <f>IF('⑦ Controller-Firm Map'!A67="","",'⑦ Controller-Firm Map'!C67)</f>
        <v>Individual Tax</v>
      </c>
      <c r="D105" s="39">
        <f>IF('⑦ Controller-Firm Map'!A67="","",'⑦ Controller-Firm Map'!D67)</f>
        <v>0.35</v>
      </c>
      <c r="E105" s="101" t="str">
        <f>IF('⑦ Controller-Firm Map'!A67="","",'⑦ Controller-Firm Map'!E67)</f>
        <v>ACTIVE</v>
      </c>
      <c r="F105" s="43">
        <f>IF('⑦ Controller-Firm Map'!A67="","",'⑦ Controller-Firm Map'!F67)</f>
        <v>250</v>
      </c>
      <c r="G105" s="29">
        <f>IF('⑦ Controller-Firm Map'!A67="","",'⑦ Controller-Firm Map'!G67)</f>
        <v>21250</v>
      </c>
      <c r="H105" s="43">
        <f>IF('⑦ Controller-Firm Map'!A67="","",'⑦ Controller-Firm Map'!H67)</f>
        <v>714.28571428571433</v>
      </c>
    </row>
    <row r="106" spans="1:8" ht="15" customHeight="1" x14ac:dyDescent="0.2">
      <c r="A106" s="101" t="str">
        <f>IF('⑦ Controller-Firm Map'!A68="","",'⑦ Controller-Firm Map'!A68)</f>
        <v>Ammie</v>
      </c>
      <c r="B106" s="101" t="str">
        <f>IF('⑦ Controller-Firm Map'!A68="","",'⑦ Controller-Firm Map'!B68)</f>
        <v>PW ADVISORS LLC</v>
      </c>
      <c r="C106" s="101" t="str">
        <f>IF('⑦ Controller-Firm Map'!A68="","",'⑦ Controller-Firm Map'!C68)</f>
        <v>Individual Tax</v>
      </c>
      <c r="D106" s="39">
        <f>IF('⑦ Controller-Firm Map'!A68="","",'⑦ Controller-Firm Map'!D68)</f>
        <v>0.7</v>
      </c>
      <c r="E106" s="101" t="str">
        <f>IF('⑦ Controller-Firm Map'!A68="","",'⑦ Controller-Firm Map'!E68)</f>
        <v>ACTIVE</v>
      </c>
      <c r="F106" s="43">
        <f>IF('⑦ Controller-Firm Map'!A68="","",'⑦ Controller-Firm Map'!F68)</f>
        <v>3600</v>
      </c>
      <c r="G106" s="29">
        <f>IF('⑦ Controller-Firm Map'!A68="","",'⑦ Controller-Firm Map'!G68)</f>
        <v>306000</v>
      </c>
      <c r="H106" s="43">
        <f>IF('⑦ Controller-Firm Map'!A68="","",'⑦ Controller-Firm Map'!H68)</f>
        <v>5142.8571428571431</v>
      </c>
    </row>
    <row r="107" spans="1:8" ht="15" customHeight="1" x14ac:dyDescent="0.2">
      <c r="A107" s="101" t="str">
        <f>IF('⑦ Controller-Firm Map'!A69="","",'⑦ Controller-Firm Map'!A69)</f>
        <v>Ammie</v>
      </c>
      <c r="B107" s="101" t="str">
        <f>IF('⑦ Controller-Firm Map'!A69="","",'⑦ Controller-Firm Map'!B69)</f>
        <v>TAX GEEK LLC</v>
      </c>
      <c r="C107" s="101" t="str">
        <f>IF('⑦ Controller-Firm Map'!A69="","",'⑦ Controller-Firm Map'!C69)</f>
        <v>Individual Tax</v>
      </c>
      <c r="D107" s="39">
        <f>IF('⑦ Controller-Firm Map'!A69="","",'⑦ Controller-Firm Map'!D69)</f>
        <v>0.35</v>
      </c>
      <c r="E107" s="101" t="str">
        <f>IF('⑦ Controller-Firm Map'!A69="","",'⑦ Controller-Firm Map'!E69)</f>
        <v>ACTIVE</v>
      </c>
      <c r="F107" s="43">
        <f>IF('⑦ Controller-Firm Map'!A69="","",'⑦ Controller-Firm Map'!F69)</f>
        <v>1800</v>
      </c>
      <c r="G107" s="29">
        <f>IF('⑦ Controller-Firm Map'!A69="","",'⑦ Controller-Firm Map'!G69)</f>
        <v>153000</v>
      </c>
      <c r="H107" s="43">
        <f>IF('⑦ Controller-Firm Map'!A69="","",'⑦ Controller-Firm Map'!H69)</f>
        <v>5142.8571428571431</v>
      </c>
    </row>
    <row r="108" spans="1:8" ht="15" customHeight="1" x14ac:dyDescent="0.2">
      <c r="A108" s="101" t="str">
        <f>IF('⑦ Controller-Firm Map'!A70="","",'⑦ Controller-Firm Map'!A70)</f>
        <v>Jyoti</v>
      </c>
      <c r="B108" s="101" t="str">
        <f>IF('⑦ Controller-Firm Map'!A70="","",'⑦ Controller-Firm Map'!B70)</f>
        <v>ACTION ACCOUNTING</v>
      </c>
      <c r="C108" s="101" t="str">
        <f>IF('⑦ Controller-Firm Map'!A70="","",'⑦ Controller-Firm Map'!C70)</f>
        <v>Business Tax</v>
      </c>
      <c r="D108" s="39">
        <f>IF('⑦ Controller-Firm Map'!A70="","",'⑦ Controller-Firm Map'!D70)</f>
        <v>0.15</v>
      </c>
      <c r="E108" s="101" t="str">
        <f>IF('⑦ Controller-Firm Map'!A70="","",'⑦ Controller-Firm Map'!E70)</f>
        <v>ACTIVE</v>
      </c>
      <c r="F108" s="43">
        <f>IF('⑦ Controller-Firm Map'!A70="","",'⑦ Controller-Firm Map'!F70)</f>
        <v>1200</v>
      </c>
      <c r="G108" s="29">
        <f>IF('⑦ Controller-Firm Map'!A70="","",'⑦ Controller-Firm Map'!G70)</f>
        <v>102000</v>
      </c>
      <c r="H108" s="43">
        <f>IF('⑦ Controller-Firm Map'!A70="","",'⑦ Controller-Firm Map'!H70)</f>
        <v>8000</v>
      </c>
    </row>
    <row r="109" spans="1:8" ht="15" customHeight="1" x14ac:dyDescent="0.2">
      <c r="A109" s="101" t="str">
        <f>IF('⑦ Controller-Firm Map'!A71="","",'⑦ Controller-Firm Map'!A71)</f>
        <v>Jyoti</v>
      </c>
      <c r="B109" s="101" t="str">
        <f>IF('⑦ Controller-Firm Map'!A71="","",'⑦ Controller-Firm Map'!B71)</f>
        <v>FULL COMPLIANCE, LLC</v>
      </c>
      <c r="C109" s="101" t="str">
        <f>IF('⑦ Controller-Firm Map'!A71="","",'⑦ Controller-Firm Map'!C71)</f>
        <v>Business Tax</v>
      </c>
      <c r="D109" s="39">
        <f>IF('⑦ Controller-Firm Map'!A71="","",'⑦ Controller-Firm Map'!D71)</f>
        <v>0.3</v>
      </c>
      <c r="E109" s="101" t="str">
        <f>IF('⑦ Controller-Firm Map'!A71="","",'⑦ Controller-Firm Map'!E71)</f>
        <v>ACTIVE</v>
      </c>
      <c r="F109" s="43">
        <f>IF('⑦ Controller-Firm Map'!A71="","",'⑦ Controller-Firm Map'!F71)</f>
        <v>2600</v>
      </c>
      <c r="G109" s="29">
        <f>IF('⑦ Controller-Firm Map'!A71="","",'⑦ Controller-Firm Map'!G71)</f>
        <v>221000</v>
      </c>
      <c r="H109" s="43">
        <f>IF('⑦ Controller-Firm Map'!A71="","",'⑦ Controller-Firm Map'!H71)</f>
        <v>8666.6666666666679</v>
      </c>
    </row>
    <row r="110" spans="1:8" ht="15" customHeight="1" x14ac:dyDescent="0.2">
      <c r="A110" s="101" t="str">
        <f>IF('⑦ Controller-Firm Map'!A72="","",'⑦ Controller-Firm Map'!A72)</f>
        <v>Jyoti</v>
      </c>
      <c r="B110" s="101" t="str">
        <f>IF('⑦ Controller-Firm Map'!A72="","",'⑦ Controller-Firm Map'!B72)</f>
        <v>INVENT WEALTH, CPA</v>
      </c>
      <c r="C110" s="101" t="str">
        <f>IF('⑦ Controller-Firm Map'!A72="","",'⑦ Controller-Firm Map'!C72)</f>
        <v>Business Tax</v>
      </c>
      <c r="D110" s="39">
        <f>IF('⑦ Controller-Firm Map'!A72="","",'⑦ Controller-Firm Map'!D72)</f>
        <v>0.3</v>
      </c>
      <c r="E110" s="101" t="str">
        <f>IF('⑦ Controller-Firm Map'!A72="","",'⑦ Controller-Firm Map'!E72)</f>
        <v>ACTIVE</v>
      </c>
      <c r="F110" s="43">
        <f>IF('⑦ Controller-Firm Map'!A72="","",'⑦ Controller-Firm Map'!F72)</f>
        <v>2640</v>
      </c>
      <c r="G110" s="29">
        <f>IF('⑦ Controller-Firm Map'!A72="","",'⑦ Controller-Firm Map'!G72)</f>
        <v>224400</v>
      </c>
      <c r="H110" s="43">
        <f>IF('⑦ Controller-Firm Map'!A72="","",'⑦ Controller-Firm Map'!H72)</f>
        <v>8800</v>
      </c>
    </row>
    <row r="111" spans="1:8" ht="15" customHeight="1" x14ac:dyDescent="0.2">
      <c r="A111" s="101" t="str">
        <f>IF('⑦ Controller-Firm Map'!A73="","",'⑦ Controller-Firm Map'!A73)</f>
        <v>Jyoti</v>
      </c>
      <c r="B111" s="101" t="str">
        <f>IF('⑦ Controller-Firm Map'!A73="","",'⑦ Controller-Firm Map'!B73)</f>
        <v>jmWILLIAMS, CPA, LLP</v>
      </c>
      <c r="C111" s="101" t="str">
        <f>IF('⑦ Controller-Firm Map'!A73="","",'⑦ Controller-Firm Map'!C73)</f>
        <v>Business Tax</v>
      </c>
      <c r="D111" s="39">
        <f>IF('⑦ Controller-Firm Map'!A73="","",'⑦ Controller-Firm Map'!D73)</f>
        <v>0.3</v>
      </c>
      <c r="E111" s="101" t="str">
        <f>IF('⑦ Controller-Firm Map'!A73="","",'⑦ Controller-Firm Map'!E73)</f>
        <v>ACTIVE</v>
      </c>
      <c r="F111" s="43">
        <f>IF('⑦ Controller-Firm Map'!A73="","",'⑦ Controller-Firm Map'!F73)</f>
        <v>0</v>
      </c>
      <c r="G111" s="29">
        <f>IF('⑦ Controller-Firm Map'!A73="","",'⑦ Controller-Firm Map'!G73)</f>
        <v>0</v>
      </c>
      <c r="H111" s="43">
        <f>IF('⑦ Controller-Firm Map'!A73="","",'⑦ Controller-Firm Map'!H73)</f>
        <v>0</v>
      </c>
    </row>
    <row r="112" spans="1:8" ht="15" customHeight="1" x14ac:dyDescent="0.2">
      <c r="A112" s="101" t="str">
        <f>IF('⑦ Controller-Firm Map'!A74="","",'⑦ Controller-Firm Map'!A74)</f>
        <v>Jyoti</v>
      </c>
      <c r="B112" s="101" t="str">
        <f>IF('⑦ Controller-Firm Map'!A74="","",'⑦ Controller-Firm Map'!B74)</f>
        <v>MARTIN D. EISENSTEIN, CPA</v>
      </c>
      <c r="C112" s="101" t="str">
        <f>IF('⑦ Controller-Firm Map'!A74="","",'⑦ Controller-Firm Map'!C74)</f>
        <v>Business Tax</v>
      </c>
      <c r="D112" s="39">
        <f>IF('⑦ Controller-Firm Map'!A74="","",'⑦ Controller-Firm Map'!D74)</f>
        <v>0.3</v>
      </c>
      <c r="E112" s="101" t="str">
        <f>IF('⑦ Controller-Firm Map'!A74="","",'⑦ Controller-Firm Map'!E74)</f>
        <v>ACTIVE</v>
      </c>
      <c r="F112" s="43">
        <f>IF('⑦ Controller-Firm Map'!A74="","",'⑦ Controller-Firm Map'!F74)</f>
        <v>0</v>
      </c>
      <c r="G112" s="29">
        <f>IF('⑦ Controller-Firm Map'!A74="","",'⑦ Controller-Firm Map'!G74)</f>
        <v>0</v>
      </c>
      <c r="H112" s="43">
        <f>IF('⑦ Controller-Firm Map'!A74="","",'⑦ Controller-Firm Map'!H74)</f>
        <v>0</v>
      </c>
    </row>
    <row r="113" spans="1:8" ht="15" customHeight="1" x14ac:dyDescent="0.2">
      <c r="A113" s="101" t="str">
        <f>IF('⑦ Controller-Firm Map'!A75="","",'⑦ Controller-Firm Map'!A75)</f>
        <v>Jyoti</v>
      </c>
      <c r="B113" s="101" t="str">
        <f>IF('⑦ Controller-Firm Map'!A75="","",'⑦ Controller-Firm Map'!B75)</f>
        <v>PROVISION ACCOUNTING SOLUTIONS</v>
      </c>
      <c r="C113" s="101" t="str">
        <f>IF('⑦ Controller-Firm Map'!A75="","",'⑦ Controller-Firm Map'!C75)</f>
        <v>Business Tax</v>
      </c>
      <c r="D113" s="39">
        <f>IF('⑦ Controller-Firm Map'!A75="","",'⑦ Controller-Firm Map'!D75)</f>
        <v>0.15</v>
      </c>
      <c r="E113" s="101" t="str">
        <f>IF('⑦ Controller-Firm Map'!A75="","",'⑦ Controller-Firm Map'!E75)</f>
        <v>ACTIVE</v>
      </c>
      <c r="F113" s="43">
        <f>IF('⑦ Controller-Firm Map'!A75="","",'⑦ Controller-Firm Map'!F75)</f>
        <v>250</v>
      </c>
      <c r="G113" s="29">
        <f>IF('⑦ Controller-Firm Map'!A75="","",'⑦ Controller-Firm Map'!G75)</f>
        <v>21250</v>
      </c>
      <c r="H113" s="43">
        <f>IF('⑦ Controller-Firm Map'!A75="","",'⑦ Controller-Firm Map'!H75)</f>
        <v>1666.6666666666667</v>
      </c>
    </row>
    <row r="114" spans="1:8" ht="15" customHeight="1" x14ac:dyDescent="0.2">
      <c r="A114" s="101" t="str">
        <f>IF('⑦ Controller-Firm Map'!A76="","",'⑦ Controller-Firm Map'!A76)</f>
        <v>Jyoti</v>
      </c>
      <c r="B114" s="101" t="str">
        <f>IF('⑦ Controller-Firm Map'!A76="","",'⑦ Controller-Firm Map'!B76)</f>
        <v>PW ADVISORS LLC</v>
      </c>
      <c r="C114" s="101" t="str">
        <f>IF('⑦ Controller-Firm Map'!A76="","",'⑦ Controller-Firm Map'!C76)</f>
        <v>Business Tax</v>
      </c>
      <c r="D114" s="39">
        <f>IF('⑦ Controller-Firm Map'!A76="","",'⑦ Controller-Firm Map'!D76)</f>
        <v>0.3</v>
      </c>
      <c r="E114" s="101" t="str">
        <f>IF('⑦ Controller-Firm Map'!A76="","",'⑦ Controller-Firm Map'!E76)</f>
        <v>ACTIVE</v>
      </c>
      <c r="F114" s="43">
        <f>IF('⑦ Controller-Firm Map'!A76="","",'⑦ Controller-Firm Map'!F76)</f>
        <v>3600</v>
      </c>
      <c r="G114" s="29">
        <f>IF('⑦ Controller-Firm Map'!A76="","",'⑦ Controller-Firm Map'!G76)</f>
        <v>306000</v>
      </c>
      <c r="H114" s="43">
        <f>IF('⑦ Controller-Firm Map'!A76="","",'⑦ Controller-Firm Map'!H76)</f>
        <v>12000</v>
      </c>
    </row>
    <row r="115" spans="1:8" ht="15" customHeight="1" x14ac:dyDescent="0.2">
      <c r="A115" s="101" t="str">
        <f>IF('⑦ Controller-Firm Map'!A77="","",'⑦ Controller-Firm Map'!A77)</f>
        <v>Jyoti</v>
      </c>
      <c r="B115" s="101" t="str">
        <f>IF('⑦ Controller-Firm Map'!A77="","",'⑦ Controller-Firm Map'!B77)</f>
        <v>TAX GEEK LLC</v>
      </c>
      <c r="C115" s="101" t="str">
        <f>IF('⑦ Controller-Firm Map'!A77="","",'⑦ Controller-Firm Map'!C77)</f>
        <v>Business Tax</v>
      </c>
      <c r="D115" s="39">
        <f>IF('⑦ Controller-Firm Map'!A77="","",'⑦ Controller-Firm Map'!D77)</f>
        <v>0.15</v>
      </c>
      <c r="E115" s="101" t="str">
        <f>IF('⑦ Controller-Firm Map'!A77="","",'⑦ Controller-Firm Map'!E77)</f>
        <v>ACTIVE</v>
      </c>
      <c r="F115" s="43">
        <f>IF('⑦ Controller-Firm Map'!A77="","",'⑦ Controller-Firm Map'!F77)</f>
        <v>1800</v>
      </c>
      <c r="G115" s="29">
        <f>IF('⑦ Controller-Firm Map'!A77="","",'⑦ Controller-Firm Map'!G77)</f>
        <v>153000</v>
      </c>
      <c r="H115" s="43">
        <f>IF('⑦ Controller-Firm Map'!A77="","",'⑦ Controller-Firm Map'!H77)</f>
        <v>12000</v>
      </c>
    </row>
    <row r="116" spans="1:8" ht="15" customHeight="1" x14ac:dyDescent="0.2">
      <c r="A116" s="101" t="str">
        <f>IF('⑦ Controller-Firm Map'!A78="","",'⑦ Controller-Firm Map'!A78)</f>
        <v>Jyoti</v>
      </c>
      <c r="B116" s="101" t="str">
        <f>IF('⑦ Controller-Firm Map'!A78="","",'⑦ Controller-Firm Map'!B78)</f>
        <v>406 CONSULTING LLC</v>
      </c>
      <c r="C116" s="101" t="str">
        <f>IF('⑦ Controller-Firm Map'!A78="","",'⑦ Controller-Firm Map'!C78)</f>
        <v>Business Tax</v>
      </c>
      <c r="D116" s="39">
        <f>IF('⑦ Controller-Firm Map'!A78="","",'⑦ Controller-Firm Map'!D78)</f>
        <v>0.6</v>
      </c>
      <c r="E116" s="101" t="str">
        <f>IF('⑦ Controller-Firm Map'!A78="","",'⑦ Controller-Firm Map'!E78)</f>
        <v>ACTIVE</v>
      </c>
      <c r="F116" s="43">
        <f>IF('⑦ Controller-Firm Map'!A78="","",'⑦ Controller-Firm Map'!F78)</f>
        <v>3600</v>
      </c>
      <c r="G116" s="29">
        <f>IF('⑦ Controller-Firm Map'!A78="","",'⑦ Controller-Firm Map'!G78)</f>
        <v>306000</v>
      </c>
      <c r="H116" s="43">
        <f>IF('⑦ Controller-Firm Map'!A78="","",'⑦ Controller-Firm Map'!H78)</f>
        <v>6000</v>
      </c>
    </row>
    <row r="117" spans="1:8" ht="15" customHeight="1" x14ac:dyDescent="0.2">
      <c r="A117" s="101" t="str">
        <f>IF('⑦ Controller-Firm Map'!A79="","",'⑦ Controller-Firm Map'!A79)</f>
        <v>Ammie</v>
      </c>
      <c r="B117" s="101" t="str">
        <f>IF('⑦ Controller-Firm Map'!A79="","",'⑦ Controller-Firm Map'!B79)</f>
        <v>406 CONSULTING LLC</v>
      </c>
      <c r="C117" s="101" t="str">
        <f>IF('⑦ Controller-Firm Map'!A79="","",'⑦ Controller-Firm Map'!C79)</f>
        <v>Individual Tax</v>
      </c>
      <c r="D117" s="39">
        <f>IF('⑦ Controller-Firm Map'!A79="","",'⑦ Controller-Firm Map'!D79)</f>
        <v>1.4</v>
      </c>
      <c r="E117" s="101" t="str">
        <f>IF('⑦ Controller-Firm Map'!A79="","",'⑦ Controller-Firm Map'!E79)</f>
        <v>ACTIVE</v>
      </c>
      <c r="F117" s="43">
        <f>IF('⑦ Controller-Firm Map'!A79="","",'⑦ Controller-Firm Map'!F79)</f>
        <v>3600</v>
      </c>
      <c r="G117" s="29">
        <f>IF('⑦ Controller-Firm Map'!A79="","",'⑦ Controller-Firm Map'!G79)</f>
        <v>306000</v>
      </c>
      <c r="H117" s="43">
        <f>IF('⑦ Controller-Firm Map'!A79="","",'⑦ Controller-Firm Map'!H79)</f>
        <v>2571.4285714285716</v>
      </c>
    </row>
    <row r="118" spans="1:8" ht="15" customHeight="1" x14ac:dyDescent="0.2">
      <c r="A118" s="101" t="str">
        <f>IF('⑦ Controller-Firm Map'!A80="","",'⑦ Controller-Firm Map'!A80)</f>
        <v>Sachi Mazumdar</v>
      </c>
      <c r="B118" s="101" t="str">
        <f>IF('⑦ Controller-Firm Map'!A80="","",'⑦ Controller-Firm Map'!B80)</f>
        <v>AMI US HOLDING INC.</v>
      </c>
      <c r="C118" s="101" t="str">
        <f>IF('⑦ Controller-Firm Map'!A80="","",'⑦ Controller-Firm Map'!C80)</f>
        <v>FP&amp;A</v>
      </c>
      <c r="D118" s="39">
        <f>IF('⑦ Controller-Firm Map'!A80="","",'⑦ Controller-Firm Map'!D80)</f>
        <v>5</v>
      </c>
      <c r="E118" s="101" t="str">
        <f>IF('⑦ Controller-Firm Map'!A80="","",'⑦ Controller-Firm Map'!E80)</f>
        <v>ACTIVE</v>
      </c>
      <c r="F118" s="43">
        <f>IF('⑦ Controller-Firm Map'!A80="","",'⑦ Controller-Firm Map'!F80)</f>
        <v>0</v>
      </c>
      <c r="G118" s="29">
        <f>IF('⑦ Controller-Firm Map'!A80="","",'⑦ Controller-Firm Map'!G80)</f>
        <v>0</v>
      </c>
      <c r="H118" s="43">
        <f>IF('⑦ Controller-Firm Map'!A80="","",'⑦ Controller-Firm Map'!H80)</f>
        <v>0</v>
      </c>
    </row>
    <row r="119" spans="1:8" ht="15" customHeight="1" x14ac:dyDescent="0.2">
      <c r="A119" s="101" t="str">
        <f>IF('⑦ Controller-Firm Map'!A81="","",'⑦ Controller-Firm Map'!A81)</f>
        <v>Vinita Dagar</v>
      </c>
      <c r="B119" s="101" t="str">
        <f>IF('⑦ Controller-Firm Map'!A81="","",'⑦ Controller-Firm Map'!B81)</f>
        <v>AMI US HOLDING INC.</v>
      </c>
      <c r="C119" s="101" t="str">
        <f>IF('⑦ Controller-Firm Map'!A81="","",'⑦ Controller-Firm Map'!C81)</f>
        <v>HR</v>
      </c>
      <c r="D119" s="39">
        <f>IF('⑦ Controller-Firm Map'!A81="","",'⑦ Controller-Firm Map'!D81)</f>
        <v>1</v>
      </c>
      <c r="E119" s="101" t="str">
        <f>IF('⑦ Controller-Firm Map'!A81="","",'⑦ Controller-Firm Map'!E81)</f>
        <v>ACTIVE</v>
      </c>
      <c r="F119" s="43">
        <f>IF('⑦ Controller-Firm Map'!A81="","",'⑦ Controller-Firm Map'!F81)</f>
        <v>0</v>
      </c>
      <c r="G119" s="29">
        <f>IF('⑦ Controller-Firm Map'!A81="","",'⑦ Controller-Firm Map'!G81)</f>
        <v>0</v>
      </c>
      <c r="H119" s="43">
        <f>IF('⑦ Controller-Firm Map'!A81="","",'⑦ Controller-Firm Map'!H81)</f>
        <v>0</v>
      </c>
    </row>
    <row r="120" spans="1:8" ht="15" customHeight="1" x14ac:dyDescent="0.2">
      <c r="A120" s="101" t="str">
        <f>IF('⑦ Controller-Firm Map'!A82="","",'⑦ Controller-Firm Map'!A82)</f>
        <v>Ayushi</v>
      </c>
      <c r="B120" s="101" t="str">
        <f>IF('⑦ Controller-Firm Map'!A82="","",'⑦ Controller-Firm Map'!B82)</f>
        <v>COHEN AND ASSOCIATES</v>
      </c>
      <c r="C120" s="101" t="str">
        <f>IF('⑦ Controller-Firm Map'!A82="","",'⑦ Controller-Firm Map'!C82)</f>
        <v>Accounting</v>
      </c>
      <c r="D120" s="39">
        <f>IF('⑦ Controller-Firm Map'!A82="","",'⑦ Controller-Firm Map'!D82)</f>
        <v>0.5</v>
      </c>
      <c r="E120" s="101" t="str">
        <f>IF('⑦ Controller-Firm Map'!A82="","",'⑦ Controller-Firm Map'!E82)</f>
        <v>ACTIVE</v>
      </c>
      <c r="F120" s="43">
        <f>IF('⑦ Controller-Firm Map'!A82="","",'⑦ Controller-Firm Map'!F82)</f>
        <v>0</v>
      </c>
      <c r="G120" s="29">
        <f>IF('⑦ Controller-Firm Map'!A82="","",'⑦ Controller-Firm Map'!G82)</f>
        <v>0</v>
      </c>
      <c r="H120" s="43">
        <f>IF('⑦ Controller-Firm Map'!A82="","",'⑦ Controller-Firm Map'!H82)</f>
        <v>0</v>
      </c>
    </row>
    <row r="121" spans="1:8" ht="15" customHeight="1" x14ac:dyDescent="0.2">
      <c r="A121" s="101" t="str">
        <f>IF('⑦ Controller-Firm Map'!A83="","",'⑦ Controller-Firm Map'!A83)</f>
        <v>Snehal Kothari</v>
      </c>
      <c r="B121" s="101" t="str">
        <f>IF('⑦ Controller-Firm Map'!A83="","",'⑦ Controller-Firm Map'!B83)</f>
        <v>Fleming Accounting Solutions</v>
      </c>
      <c r="C121" s="101" t="str">
        <f>IF('⑦ Controller-Firm Map'!A83="","",'⑦ Controller-Firm Map'!C83)</f>
        <v>Accounting</v>
      </c>
      <c r="D121" s="39">
        <f>IF('⑦ Controller-Firm Map'!A83="","",'⑦ Controller-Firm Map'!D83)</f>
        <v>1</v>
      </c>
      <c r="E121" s="101" t="str">
        <f>IF('⑦ Controller-Firm Map'!A83="","",'⑦ Controller-Firm Map'!E83)</f>
        <v>ACTIVE</v>
      </c>
      <c r="F121" s="43">
        <f>IF('⑦ Controller-Firm Map'!A83="","",'⑦ Controller-Firm Map'!F83)</f>
        <v>3000</v>
      </c>
      <c r="G121" s="29">
        <f>IF('⑦ Controller-Firm Map'!A83="","",'⑦ Controller-Firm Map'!G83)</f>
        <v>255000</v>
      </c>
      <c r="H121" s="43">
        <f>IF('⑦ Controller-Firm Map'!A83="","",'⑦ Controller-Firm Map'!H83)</f>
        <v>3000</v>
      </c>
    </row>
    <row r="122" spans="1:8" ht="15" customHeight="1" x14ac:dyDescent="0.2">
      <c r="A122" s="101" t="str">
        <f>IF('⑦ Controller-Firm Map'!A84="","",'⑦ Controller-Firm Map'!A84)</f>
        <v>Jyoti</v>
      </c>
      <c r="B122" s="101" t="str">
        <f>IF('⑦ Controller-Firm Map'!A84="","",'⑦ Controller-Firm Map'!B84)</f>
        <v>Fleming Accounting Solutions</v>
      </c>
      <c r="C122" s="101" t="str">
        <f>IF('⑦ Controller-Firm Map'!A84="","",'⑦ Controller-Firm Map'!C84)</f>
        <v>Business Tax</v>
      </c>
      <c r="D122" s="39">
        <f>IF('⑦ Controller-Firm Map'!A84="","",'⑦ Controller-Firm Map'!D84)</f>
        <v>0.5</v>
      </c>
      <c r="E122" s="101" t="str">
        <f>IF('⑦ Controller-Firm Map'!A84="","",'⑦ Controller-Firm Map'!E84)</f>
        <v>ACTIVE</v>
      </c>
      <c r="F122" s="43">
        <f>IF('⑦ Controller-Firm Map'!A84="","",'⑦ Controller-Firm Map'!F84)</f>
        <v>3000</v>
      </c>
      <c r="G122" s="29">
        <f>IF('⑦ Controller-Firm Map'!A84="","",'⑦ Controller-Firm Map'!G84)</f>
        <v>255000</v>
      </c>
      <c r="H122" s="43">
        <f>IF('⑦ Controller-Firm Map'!A84="","",'⑦ Controller-Firm Map'!H84)</f>
        <v>6000</v>
      </c>
    </row>
    <row r="123" spans="1:8" ht="15" customHeight="1" x14ac:dyDescent="0.2">
      <c r="A123" s="101" t="str">
        <f>IF('⑦ Controller-Firm Map'!A85="","",'⑦ Controller-Firm Map'!A85)</f>
        <v>Ammie</v>
      </c>
      <c r="B123" s="101" t="str">
        <f>IF('⑦ Controller-Firm Map'!A85="","",'⑦ Controller-Firm Map'!B85)</f>
        <v>Fleming Accounting Solutions</v>
      </c>
      <c r="C123" s="101" t="str">
        <f>IF('⑦ Controller-Firm Map'!A85="","",'⑦ Controller-Firm Map'!C85)</f>
        <v>Individual Tax</v>
      </c>
      <c r="D123" s="39">
        <f>IF('⑦ Controller-Firm Map'!A85="","",'⑦ Controller-Firm Map'!D85)</f>
        <v>0.5</v>
      </c>
      <c r="E123" s="101" t="str">
        <f>IF('⑦ Controller-Firm Map'!A85="","",'⑦ Controller-Firm Map'!E85)</f>
        <v>ACTIVE</v>
      </c>
      <c r="F123" s="43">
        <f>IF('⑦ Controller-Firm Map'!A85="","",'⑦ Controller-Firm Map'!F85)</f>
        <v>3000</v>
      </c>
      <c r="G123" s="29">
        <f>IF('⑦ Controller-Firm Map'!A85="","",'⑦ Controller-Firm Map'!G85)</f>
        <v>255000</v>
      </c>
      <c r="H123" s="43">
        <f>IF('⑦ Controller-Firm Map'!A85="","",'⑦ Controller-Firm Map'!H85)</f>
        <v>6000</v>
      </c>
    </row>
    <row r="124" spans="1:8" ht="15" customHeight="1" x14ac:dyDescent="0.2">
      <c r="A124" s="101" t="str">
        <f>IF('⑦ Controller-Firm Map'!A86="","",'⑦ Controller-Firm Map'!A86)</f>
        <v>Jyoti</v>
      </c>
      <c r="B124" s="101" t="str">
        <f>IF('⑦ Controller-Firm Map'!A86="","",'⑦ Controller-Firm Map'!B86)</f>
        <v>FULL COMPLIANCE, LLC</v>
      </c>
      <c r="C124" s="101" t="str">
        <f>IF('⑦ Controller-Firm Map'!A86="","",'⑦ Controller-Firm Map'!C86)</f>
        <v>VA</v>
      </c>
      <c r="D124" s="39">
        <f>IF('⑦ Controller-Firm Map'!A86="","",'⑦ Controller-Firm Map'!D86)</f>
        <v>1</v>
      </c>
      <c r="E124" s="101" t="str">
        <f>IF('⑦ Controller-Firm Map'!A86="","",'⑦ Controller-Firm Map'!E86)</f>
        <v>ACTIVE</v>
      </c>
      <c r="F124" s="43">
        <f>IF('⑦ Controller-Firm Map'!A86="","",'⑦ Controller-Firm Map'!F86)</f>
        <v>2600</v>
      </c>
      <c r="G124" s="29">
        <f>IF('⑦ Controller-Firm Map'!A86="","",'⑦ Controller-Firm Map'!G86)</f>
        <v>221000</v>
      </c>
      <c r="H124" s="43">
        <f>IF('⑦ Controller-Firm Map'!A86="","",'⑦ Controller-Firm Map'!H86)</f>
        <v>2600</v>
      </c>
    </row>
    <row r="125" spans="1:8" ht="15" customHeight="1" x14ac:dyDescent="0.2">
      <c r="A125" s="101" t="str">
        <f>IF('⑦ Controller-Firm Map'!A87="","",'⑦ Controller-Firm Map'!A87)</f>
        <v>Nikita Shah</v>
      </c>
      <c r="B125" s="101" t="str">
        <f>IF('⑦ Controller-Firm Map'!A87="","",'⑦ Controller-Firm Map'!B87)</f>
        <v>MARTIN D. EISENSTEIN, CPA</v>
      </c>
      <c r="C125" s="101" t="str">
        <f>IF('⑦ Controller-Firm Map'!A87="","",'⑦ Controller-Firm Map'!C87)</f>
        <v>VA</v>
      </c>
      <c r="D125" s="39">
        <f>IF('⑦ Controller-Firm Map'!A87="","",'⑦ Controller-Firm Map'!D87)</f>
        <v>0.25</v>
      </c>
      <c r="E125" s="101" t="str">
        <f>IF('⑦ Controller-Firm Map'!A87="","",'⑦ Controller-Firm Map'!E87)</f>
        <v>ACTIVE</v>
      </c>
      <c r="F125" s="43">
        <f>IF('⑦ Controller-Firm Map'!A87="","",'⑦ Controller-Firm Map'!F87)</f>
        <v>0</v>
      </c>
      <c r="G125" s="29">
        <f>IF('⑦ Controller-Firm Map'!A87="","",'⑦ Controller-Firm Map'!G87)</f>
        <v>0</v>
      </c>
      <c r="H125" s="43">
        <f>IF('⑦ Controller-Firm Map'!A87="","",'⑦ Controller-Firm Map'!H87)</f>
        <v>0</v>
      </c>
    </row>
    <row r="126" spans="1:8" ht="15" customHeight="1" x14ac:dyDescent="0.2">
      <c r="A126" s="101" t="str">
        <f>IF('⑦ Controller-Firm Map'!A88="","",'⑦ Controller-Firm Map'!A88)</f>
        <v>Jyoti</v>
      </c>
      <c r="B126" s="101" t="str">
        <f>IF('⑦ Controller-Firm Map'!A88="","",'⑦ Controller-Firm Map'!B88)</f>
        <v>MEJIA &amp; ASSOCIATES, INC.</v>
      </c>
      <c r="C126" s="101" t="str">
        <f>IF('⑦ Controller-Firm Map'!A88="","",'⑦ Controller-Firm Map'!C88)</f>
        <v>Accounting</v>
      </c>
      <c r="D126" s="39">
        <f>IF('⑦ Controller-Firm Map'!A88="","",'⑦ Controller-Firm Map'!D88)</f>
        <v>1</v>
      </c>
      <c r="E126" s="101" t="str">
        <f>IF('⑦ Controller-Firm Map'!A88="","",'⑦ Controller-Firm Map'!E88)</f>
        <v>ACTIVE</v>
      </c>
      <c r="F126" s="43">
        <f>IF('⑦ Controller-Firm Map'!A88="","",'⑦ Controller-Firm Map'!F88)</f>
        <v>1800</v>
      </c>
      <c r="G126" s="29">
        <f>IF('⑦ Controller-Firm Map'!A88="","",'⑦ Controller-Firm Map'!G88)</f>
        <v>153000</v>
      </c>
      <c r="H126" s="43">
        <f>IF('⑦ Controller-Firm Map'!A88="","",'⑦ Controller-Firm Map'!H88)</f>
        <v>1800</v>
      </c>
    </row>
    <row r="127" spans="1:8" ht="15" customHeight="1" x14ac:dyDescent="0.2">
      <c r="A127" s="101" t="str">
        <f>IF('⑦ Controller-Firm Map'!A89="","",'⑦ Controller-Firm Map'!A89)</f>
        <v>Tithi Gandhi</v>
      </c>
      <c r="B127" s="101" t="str">
        <f>IF('⑦ Controller-Firm Map'!A89="","",'⑦ Controller-Firm Map'!B89)</f>
        <v>ONE KOSMOS, INC.</v>
      </c>
      <c r="C127" s="101" t="str">
        <f>IF('⑦ Controller-Firm Map'!A89="","",'⑦ Controller-Firm Map'!C89)</f>
        <v>FP&amp;A</v>
      </c>
      <c r="D127" s="39">
        <f>IF('⑦ Controller-Firm Map'!A89="","",'⑦ Controller-Firm Map'!D89)</f>
        <v>0.75</v>
      </c>
      <c r="E127" s="101" t="str">
        <f>IF('⑦ Controller-Firm Map'!A89="","",'⑦ Controller-Firm Map'!E89)</f>
        <v>ACTIVE</v>
      </c>
      <c r="F127" s="43">
        <f>IF('⑦ Controller-Firm Map'!A89="","",'⑦ Controller-Firm Map'!F89)</f>
        <v>8300</v>
      </c>
      <c r="G127" s="29">
        <f>IF('⑦ Controller-Firm Map'!A89="","",'⑦ Controller-Firm Map'!G89)</f>
        <v>705500</v>
      </c>
      <c r="H127" s="43">
        <f>IF('⑦ Controller-Firm Map'!A89="","",'⑦ Controller-Firm Map'!H89)</f>
        <v>11066.666666666666</v>
      </c>
    </row>
    <row r="128" spans="1:8" ht="15" customHeight="1" x14ac:dyDescent="0.2">
      <c r="A128" s="101" t="str">
        <f>IF('⑦ Controller-Firm Map'!A90="","",'⑦ Controller-Firm Map'!A90)</f>
        <v>Tithi Gandhi</v>
      </c>
      <c r="B128" s="101" t="str">
        <f>IF('⑦ Controller-Firm Map'!A90="","",'⑦ Controller-Firm Map'!B90)</f>
        <v>ONE KOSMOS, INC.</v>
      </c>
      <c r="C128" s="101" t="str">
        <f>IF('⑦ Controller-Firm Map'!A90="","",'⑦ Controller-Firm Map'!C90)</f>
        <v>FP&amp;A</v>
      </c>
      <c r="D128" s="39">
        <f>IF('⑦ Controller-Firm Map'!A90="","",'⑦ Controller-Firm Map'!D90)</f>
        <v>1</v>
      </c>
      <c r="E128" s="101" t="str">
        <f>IF('⑦ Controller-Firm Map'!A90="","",'⑦ Controller-Firm Map'!E90)</f>
        <v>ACTIVE</v>
      </c>
      <c r="F128" s="43">
        <f>IF('⑦ Controller-Firm Map'!A90="","",'⑦ Controller-Firm Map'!F90)</f>
        <v>8300</v>
      </c>
      <c r="G128" s="29">
        <f>IF('⑦ Controller-Firm Map'!A90="","",'⑦ Controller-Firm Map'!G90)</f>
        <v>705500</v>
      </c>
      <c r="H128" s="43">
        <f>IF('⑦ Controller-Firm Map'!A90="","",'⑦ Controller-Firm Map'!H90)</f>
        <v>8300</v>
      </c>
    </row>
    <row r="129" spans="1:8" ht="15" customHeight="1" x14ac:dyDescent="0.2">
      <c r="A129" s="101" t="str">
        <f>IF('⑦ Controller-Firm Map'!A91="","",'⑦ Controller-Firm Map'!A91)</f>
        <v>Prachi Guglani</v>
      </c>
      <c r="B129" s="101" t="str">
        <f>IF('⑦ Controller-Firm Map'!A91="","",'⑦ Controller-Firm Map'!B91)</f>
        <v>TRI SCAPES</v>
      </c>
      <c r="C129" s="101" t="str">
        <f>IF('⑦ Controller-Firm Map'!A91="","",'⑦ Controller-Firm Map'!C91)</f>
        <v>FP&amp;A</v>
      </c>
      <c r="D129" s="39">
        <f>IF('⑦ Controller-Firm Map'!A91="","",'⑦ Controller-Firm Map'!D91)</f>
        <v>2</v>
      </c>
      <c r="E129" s="101" t="str">
        <f>IF('⑦ Controller-Firm Map'!A91="","",'⑦ Controller-Firm Map'!E91)</f>
        <v>ACTIVE</v>
      </c>
      <c r="F129" s="43">
        <f>IF('⑦ Controller-Firm Map'!A91="","",'⑦ Controller-Firm Map'!F91)</f>
        <v>0</v>
      </c>
      <c r="G129" s="29">
        <f>IF('⑦ Controller-Firm Map'!A91="","",'⑦ Controller-Firm Map'!G91)</f>
        <v>0</v>
      </c>
      <c r="H129" s="43">
        <f>IF('⑦ Controller-Firm Map'!A91="","",'⑦ Controller-Firm Map'!H91)</f>
        <v>0</v>
      </c>
    </row>
    <row r="130" spans="1:8" ht="15" customHeight="1" x14ac:dyDescent="0.2">
      <c r="A130" s="101" t="str">
        <f>IF('⑦ Controller-Firm Map'!A92="","",'⑦ Controller-Firm Map'!A92)</f>
        <v/>
      </c>
      <c r="B130" s="101" t="str">
        <f>IF('⑦ Controller-Firm Map'!A92="","",'⑦ Controller-Firm Map'!B92)</f>
        <v/>
      </c>
      <c r="C130" s="101" t="str">
        <f>IF('⑦ Controller-Firm Map'!A92="","",'⑦ Controller-Firm Map'!C92)</f>
        <v/>
      </c>
      <c r="D130" s="39" t="str">
        <f>IF('⑦ Controller-Firm Map'!A92="","",'⑦ Controller-Firm Map'!D92)</f>
        <v/>
      </c>
      <c r="E130" s="101" t="str">
        <f>IF('⑦ Controller-Firm Map'!A92="","",'⑦ Controller-Firm Map'!E92)</f>
        <v/>
      </c>
      <c r="F130" s="43" t="str">
        <f>IF('⑦ Controller-Firm Map'!A92="","",'⑦ Controller-Firm Map'!F92)</f>
        <v/>
      </c>
      <c r="G130" s="29" t="str">
        <f>IF('⑦ Controller-Firm Map'!A92="","",'⑦ Controller-Firm Map'!G92)</f>
        <v/>
      </c>
      <c r="H130" s="43" t="str">
        <f>IF('⑦ Controller-Firm Map'!A92="","",'⑦ Controller-Firm Map'!H92)</f>
        <v/>
      </c>
    </row>
    <row r="131" spans="1:8" ht="15" customHeight="1" x14ac:dyDescent="0.2">
      <c r="A131" s="101" t="str">
        <f>IF('⑦ Controller-Firm Map'!A93="","",'⑦ Controller-Firm Map'!A93)</f>
        <v/>
      </c>
      <c r="B131" s="101" t="str">
        <f>IF('⑦ Controller-Firm Map'!A93="","",'⑦ Controller-Firm Map'!B93)</f>
        <v/>
      </c>
      <c r="C131" s="101" t="str">
        <f>IF('⑦ Controller-Firm Map'!A93="","",'⑦ Controller-Firm Map'!C93)</f>
        <v/>
      </c>
      <c r="D131" s="39" t="str">
        <f>IF('⑦ Controller-Firm Map'!A93="","",'⑦ Controller-Firm Map'!D93)</f>
        <v/>
      </c>
      <c r="E131" s="101" t="str">
        <f>IF('⑦ Controller-Firm Map'!A93="","",'⑦ Controller-Firm Map'!E93)</f>
        <v/>
      </c>
      <c r="F131" s="43" t="str">
        <f>IF('⑦ Controller-Firm Map'!A93="","",'⑦ Controller-Firm Map'!F93)</f>
        <v/>
      </c>
      <c r="G131" s="29" t="str">
        <f>IF('⑦ Controller-Firm Map'!A93="","",'⑦ Controller-Firm Map'!G93)</f>
        <v/>
      </c>
      <c r="H131" s="43" t="str">
        <f>IF('⑦ Controller-Firm Map'!A93="","",'⑦ Controller-Firm Map'!H93)</f>
        <v/>
      </c>
    </row>
    <row r="132" spans="1:8" ht="15" customHeight="1" x14ac:dyDescent="0.2">
      <c r="A132" s="101" t="str">
        <f>IF('⑦ Controller-Firm Map'!A94="","",'⑦ Controller-Firm Map'!A94)</f>
        <v/>
      </c>
      <c r="B132" s="101" t="str">
        <f>IF('⑦ Controller-Firm Map'!A94="","",'⑦ Controller-Firm Map'!B94)</f>
        <v/>
      </c>
      <c r="C132" s="101" t="str">
        <f>IF('⑦ Controller-Firm Map'!A94="","",'⑦ Controller-Firm Map'!C94)</f>
        <v/>
      </c>
      <c r="D132" s="39" t="str">
        <f>IF('⑦ Controller-Firm Map'!A94="","",'⑦ Controller-Firm Map'!D94)</f>
        <v/>
      </c>
      <c r="E132" s="101" t="str">
        <f>IF('⑦ Controller-Firm Map'!A94="","",'⑦ Controller-Firm Map'!E94)</f>
        <v/>
      </c>
      <c r="F132" s="43" t="str">
        <f>IF('⑦ Controller-Firm Map'!A94="","",'⑦ Controller-Firm Map'!F94)</f>
        <v/>
      </c>
      <c r="G132" s="29" t="str">
        <f>IF('⑦ Controller-Firm Map'!A94="","",'⑦ Controller-Firm Map'!G94)</f>
        <v/>
      </c>
      <c r="H132" s="43" t="str">
        <f>IF('⑦ Controller-Firm Map'!A94="","",'⑦ Controller-Firm Map'!H94)</f>
        <v/>
      </c>
    </row>
    <row r="133" spans="1:8" ht="15" customHeight="1" x14ac:dyDescent="0.2">
      <c r="A133" s="101" t="str">
        <f>IF('⑦ Controller-Firm Map'!A95="","",'⑦ Controller-Firm Map'!A95)</f>
        <v/>
      </c>
      <c r="B133" s="101" t="str">
        <f>IF('⑦ Controller-Firm Map'!A95="","",'⑦ Controller-Firm Map'!B95)</f>
        <v/>
      </c>
      <c r="C133" s="101" t="str">
        <f>IF('⑦ Controller-Firm Map'!A95="","",'⑦ Controller-Firm Map'!C95)</f>
        <v/>
      </c>
      <c r="D133" s="39" t="str">
        <f>IF('⑦ Controller-Firm Map'!A95="","",'⑦ Controller-Firm Map'!D95)</f>
        <v/>
      </c>
      <c r="E133" s="101" t="str">
        <f>IF('⑦ Controller-Firm Map'!A95="","",'⑦ Controller-Firm Map'!E95)</f>
        <v/>
      </c>
      <c r="F133" s="43" t="str">
        <f>IF('⑦ Controller-Firm Map'!A95="","",'⑦ Controller-Firm Map'!F95)</f>
        <v/>
      </c>
      <c r="G133" s="29" t="str">
        <f>IF('⑦ Controller-Firm Map'!A95="","",'⑦ Controller-Firm Map'!G95)</f>
        <v/>
      </c>
      <c r="H133" s="43" t="str">
        <f>IF('⑦ Controller-Firm Map'!A95="","",'⑦ Controller-Firm Map'!H95)</f>
        <v/>
      </c>
    </row>
    <row r="134" spans="1:8" ht="15" customHeight="1" x14ac:dyDescent="0.2">
      <c r="A134" s="101" t="str">
        <f>IF('⑦ Controller-Firm Map'!A96="","",'⑦ Controller-Firm Map'!A96)</f>
        <v/>
      </c>
      <c r="B134" s="101" t="str">
        <f>IF('⑦ Controller-Firm Map'!A96="","",'⑦ Controller-Firm Map'!B96)</f>
        <v/>
      </c>
      <c r="C134" s="101" t="str">
        <f>IF('⑦ Controller-Firm Map'!A96="","",'⑦ Controller-Firm Map'!C96)</f>
        <v/>
      </c>
      <c r="D134" s="39" t="str">
        <f>IF('⑦ Controller-Firm Map'!A96="","",'⑦ Controller-Firm Map'!D96)</f>
        <v/>
      </c>
      <c r="E134" s="101" t="str">
        <f>IF('⑦ Controller-Firm Map'!A96="","",'⑦ Controller-Firm Map'!E96)</f>
        <v/>
      </c>
      <c r="F134" s="43" t="str">
        <f>IF('⑦ Controller-Firm Map'!A96="","",'⑦ Controller-Firm Map'!F96)</f>
        <v/>
      </c>
      <c r="G134" s="29" t="str">
        <f>IF('⑦ Controller-Firm Map'!A96="","",'⑦ Controller-Firm Map'!G96)</f>
        <v/>
      </c>
      <c r="H134" s="43" t="str">
        <f>IF('⑦ Controller-Firm Map'!A96="","",'⑦ Controller-Firm Map'!H96)</f>
        <v/>
      </c>
    </row>
    <row r="135" spans="1:8" ht="15" customHeight="1" x14ac:dyDescent="0.2">
      <c r="A135" s="101" t="str">
        <f>IF('⑦ Controller-Firm Map'!A97="","",'⑦ Controller-Firm Map'!A97)</f>
        <v/>
      </c>
      <c r="B135" s="101" t="str">
        <f>IF('⑦ Controller-Firm Map'!A97="","",'⑦ Controller-Firm Map'!B97)</f>
        <v/>
      </c>
      <c r="C135" s="101" t="str">
        <f>IF('⑦ Controller-Firm Map'!A97="","",'⑦ Controller-Firm Map'!C97)</f>
        <v/>
      </c>
      <c r="D135" s="39" t="str">
        <f>IF('⑦ Controller-Firm Map'!A97="","",'⑦ Controller-Firm Map'!D97)</f>
        <v/>
      </c>
      <c r="E135" s="101" t="str">
        <f>IF('⑦ Controller-Firm Map'!A97="","",'⑦ Controller-Firm Map'!E97)</f>
        <v/>
      </c>
      <c r="F135" s="43" t="str">
        <f>IF('⑦ Controller-Firm Map'!A97="","",'⑦ Controller-Firm Map'!F97)</f>
        <v/>
      </c>
      <c r="G135" s="29" t="str">
        <f>IF('⑦ Controller-Firm Map'!A97="","",'⑦ Controller-Firm Map'!G97)</f>
        <v/>
      </c>
      <c r="H135" s="43" t="str">
        <f>IF('⑦ Controller-Firm Map'!A97="","",'⑦ Controller-Firm Map'!H97)</f>
        <v/>
      </c>
    </row>
    <row r="136" spans="1:8" ht="15" customHeight="1" x14ac:dyDescent="0.2">
      <c r="A136" s="101" t="str">
        <f>IF('⑦ Controller-Firm Map'!A98="","",'⑦ Controller-Firm Map'!A98)</f>
        <v/>
      </c>
      <c r="B136" s="101" t="str">
        <f>IF('⑦ Controller-Firm Map'!A98="","",'⑦ Controller-Firm Map'!B98)</f>
        <v/>
      </c>
      <c r="C136" s="101" t="str">
        <f>IF('⑦ Controller-Firm Map'!A98="","",'⑦ Controller-Firm Map'!C98)</f>
        <v/>
      </c>
      <c r="D136" s="39" t="str">
        <f>IF('⑦ Controller-Firm Map'!A98="","",'⑦ Controller-Firm Map'!D98)</f>
        <v/>
      </c>
      <c r="E136" s="101" t="str">
        <f>IF('⑦ Controller-Firm Map'!A98="","",'⑦ Controller-Firm Map'!E98)</f>
        <v/>
      </c>
      <c r="F136" s="43" t="str">
        <f>IF('⑦ Controller-Firm Map'!A98="","",'⑦ Controller-Firm Map'!F98)</f>
        <v/>
      </c>
      <c r="G136" s="29" t="str">
        <f>IF('⑦ Controller-Firm Map'!A98="","",'⑦ Controller-Firm Map'!G98)</f>
        <v/>
      </c>
      <c r="H136" s="43" t="str">
        <f>IF('⑦ Controller-Firm Map'!A98="","",'⑦ Controller-Firm Map'!H98)</f>
        <v/>
      </c>
    </row>
    <row r="137" spans="1:8" ht="15" customHeight="1" x14ac:dyDescent="0.2">
      <c r="A137" s="101" t="str">
        <f>IF('⑦ Controller-Firm Map'!A99="","",'⑦ Controller-Firm Map'!A99)</f>
        <v/>
      </c>
      <c r="B137" s="101" t="str">
        <f>IF('⑦ Controller-Firm Map'!A99="","",'⑦ Controller-Firm Map'!B99)</f>
        <v/>
      </c>
      <c r="C137" s="101" t="str">
        <f>IF('⑦ Controller-Firm Map'!A99="","",'⑦ Controller-Firm Map'!C99)</f>
        <v/>
      </c>
      <c r="D137" s="39" t="str">
        <f>IF('⑦ Controller-Firm Map'!A99="","",'⑦ Controller-Firm Map'!D99)</f>
        <v/>
      </c>
      <c r="E137" s="101" t="str">
        <f>IF('⑦ Controller-Firm Map'!A99="","",'⑦ Controller-Firm Map'!E99)</f>
        <v/>
      </c>
      <c r="F137" s="43" t="str">
        <f>IF('⑦ Controller-Firm Map'!A99="","",'⑦ Controller-Firm Map'!F99)</f>
        <v/>
      </c>
      <c r="G137" s="29" t="str">
        <f>IF('⑦ Controller-Firm Map'!A99="","",'⑦ Controller-Firm Map'!G99)</f>
        <v/>
      </c>
      <c r="H137" s="43" t="str">
        <f>IF('⑦ Controller-Firm Map'!A99="","",'⑦ Controller-Firm Map'!H99)</f>
        <v/>
      </c>
    </row>
    <row r="138" spans="1:8" ht="15" customHeight="1" x14ac:dyDescent="0.2">
      <c r="A138" s="101" t="str">
        <f>IF('⑦ Controller-Firm Map'!A100="","",'⑦ Controller-Firm Map'!A100)</f>
        <v/>
      </c>
      <c r="B138" s="101" t="str">
        <f>IF('⑦ Controller-Firm Map'!A100="","",'⑦ Controller-Firm Map'!B100)</f>
        <v/>
      </c>
      <c r="C138" s="101" t="str">
        <f>IF('⑦ Controller-Firm Map'!A100="","",'⑦ Controller-Firm Map'!C100)</f>
        <v/>
      </c>
      <c r="D138" s="39" t="str">
        <f>IF('⑦ Controller-Firm Map'!A100="","",'⑦ Controller-Firm Map'!D100)</f>
        <v/>
      </c>
      <c r="E138" s="101" t="str">
        <f>IF('⑦ Controller-Firm Map'!A100="","",'⑦ Controller-Firm Map'!E100)</f>
        <v/>
      </c>
      <c r="F138" s="43" t="str">
        <f>IF('⑦ Controller-Firm Map'!A100="","",'⑦ Controller-Firm Map'!F100)</f>
        <v/>
      </c>
      <c r="G138" s="29" t="str">
        <f>IF('⑦ Controller-Firm Map'!A100="","",'⑦ Controller-Firm Map'!G100)</f>
        <v/>
      </c>
      <c r="H138" s="43" t="str">
        <f>IF('⑦ Controller-Firm Map'!A100="","",'⑦ Controller-Firm Map'!H100)</f>
        <v/>
      </c>
    </row>
    <row r="139" spans="1:8" ht="15" customHeight="1" x14ac:dyDescent="0.2">
      <c r="A139" s="101" t="str">
        <f>IF('⑦ Controller-Firm Map'!A101="","",'⑦ Controller-Firm Map'!A101)</f>
        <v/>
      </c>
      <c r="B139" s="101" t="str">
        <f>IF('⑦ Controller-Firm Map'!A101="","",'⑦ Controller-Firm Map'!B101)</f>
        <v/>
      </c>
      <c r="C139" s="101" t="str">
        <f>IF('⑦ Controller-Firm Map'!A101="","",'⑦ Controller-Firm Map'!C101)</f>
        <v/>
      </c>
      <c r="D139" s="39" t="str">
        <f>IF('⑦ Controller-Firm Map'!A101="","",'⑦ Controller-Firm Map'!D101)</f>
        <v/>
      </c>
      <c r="E139" s="101" t="str">
        <f>IF('⑦ Controller-Firm Map'!A101="","",'⑦ Controller-Firm Map'!E101)</f>
        <v/>
      </c>
      <c r="F139" s="43" t="str">
        <f>IF('⑦ Controller-Firm Map'!A101="","",'⑦ Controller-Firm Map'!F101)</f>
        <v/>
      </c>
      <c r="G139" s="29" t="str">
        <f>IF('⑦ Controller-Firm Map'!A101="","",'⑦ Controller-Firm Map'!G101)</f>
        <v/>
      </c>
      <c r="H139" s="43" t="str">
        <f>IF('⑦ Controller-Firm Map'!A101="","",'⑦ Controller-Firm Map'!H101)</f>
        <v/>
      </c>
    </row>
    <row r="140" spans="1:8" ht="15" customHeight="1" x14ac:dyDescent="0.2">
      <c r="A140" s="101" t="str">
        <f>IF('⑦ Controller-Firm Map'!A102="","",'⑦ Controller-Firm Map'!A102)</f>
        <v/>
      </c>
      <c r="B140" s="101" t="str">
        <f>IF('⑦ Controller-Firm Map'!A102="","",'⑦ Controller-Firm Map'!B102)</f>
        <v/>
      </c>
      <c r="C140" s="101" t="str">
        <f>IF('⑦ Controller-Firm Map'!A102="","",'⑦ Controller-Firm Map'!C102)</f>
        <v/>
      </c>
      <c r="D140" s="39" t="str">
        <f>IF('⑦ Controller-Firm Map'!A102="","",'⑦ Controller-Firm Map'!D102)</f>
        <v/>
      </c>
      <c r="E140" s="101" t="str">
        <f>IF('⑦ Controller-Firm Map'!A102="","",'⑦ Controller-Firm Map'!E102)</f>
        <v/>
      </c>
      <c r="F140" s="43" t="str">
        <f>IF('⑦ Controller-Firm Map'!A102="","",'⑦ Controller-Firm Map'!F102)</f>
        <v/>
      </c>
      <c r="G140" s="29" t="str">
        <f>IF('⑦ Controller-Firm Map'!A102="","",'⑦ Controller-Firm Map'!G102)</f>
        <v/>
      </c>
      <c r="H140" s="43" t="str">
        <f>IF('⑦ Controller-Firm Map'!A102="","",'⑦ Controller-Firm Map'!H102)</f>
        <v/>
      </c>
    </row>
    <row r="141" spans="1:8" ht="15" customHeight="1" x14ac:dyDescent="0.2">
      <c r="A141" s="101" t="str">
        <f>IF('⑦ Controller-Firm Map'!A103="","",'⑦ Controller-Firm Map'!A103)</f>
        <v/>
      </c>
      <c r="B141" s="101" t="str">
        <f>IF('⑦ Controller-Firm Map'!A103="","",'⑦ Controller-Firm Map'!B103)</f>
        <v/>
      </c>
      <c r="C141" s="101" t="str">
        <f>IF('⑦ Controller-Firm Map'!A103="","",'⑦ Controller-Firm Map'!C103)</f>
        <v/>
      </c>
      <c r="D141" s="39" t="str">
        <f>IF('⑦ Controller-Firm Map'!A103="","",'⑦ Controller-Firm Map'!D103)</f>
        <v/>
      </c>
      <c r="E141" s="101" t="str">
        <f>IF('⑦ Controller-Firm Map'!A103="","",'⑦ Controller-Firm Map'!E103)</f>
        <v/>
      </c>
      <c r="F141" s="43" t="str">
        <f>IF('⑦ Controller-Firm Map'!A103="","",'⑦ Controller-Firm Map'!F103)</f>
        <v/>
      </c>
      <c r="G141" s="29" t="str">
        <f>IF('⑦ Controller-Firm Map'!A103="","",'⑦ Controller-Firm Map'!G103)</f>
        <v/>
      </c>
      <c r="H141" s="43" t="str">
        <f>IF('⑦ Controller-Firm Map'!A103="","",'⑦ Controller-Firm Map'!H103)</f>
        <v/>
      </c>
    </row>
    <row r="142" spans="1:8" ht="15" customHeight="1" x14ac:dyDescent="0.2">
      <c r="A142" s="101" t="str">
        <f>IF('⑦ Controller-Firm Map'!A104="","",'⑦ Controller-Firm Map'!A104)</f>
        <v/>
      </c>
      <c r="B142" s="101" t="str">
        <f>IF('⑦ Controller-Firm Map'!A104="","",'⑦ Controller-Firm Map'!B104)</f>
        <v/>
      </c>
      <c r="C142" s="101" t="str">
        <f>IF('⑦ Controller-Firm Map'!A104="","",'⑦ Controller-Firm Map'!C104)</f>
        <v/>
      </c>
      <c r="D142" s="39" t="str">
        <f>IF('⑦ Controller-Firm Map'!A104="","",'⑦ Controller-Firm Map'!D104)</f>
        <v/>
      </c>
      <c r="E142" s="101" t="str">
        <f>IF('⑦ Controller-Firm Map'!A104="","",'⑦ Controller-Firm Map'!E104)</f>
        <v/>
      </c>
      <c r="F142" s="43" t="str">
        <f>IF('⑦ Controller-Firm Map'!A104="","",'⑦ Controller-Firm Map'!F104)</f>
        <v/>
      </c>
      <c r="G142" s="29" t="str">
        <f>IF('⑦ Controller-Firm Map'!A104="","",'⑦ Controller-Firm Map'!G104)</f>
        <v/>
      </c>
      <c r="H142" s="43" t="str">
        <f>IF('⑦ Controller-Firm Map'!A104="","",'⑦ Controller-Firm Map'!H104)</f>
        <v/>
      </c>
    </row>
    <row r="143" spans="1:8" ht="15" customHeight="1" x14ac:dyDescent="0.2">
      <c r="A143" s="101" t="str">
        <f>IF('⑦ Controller-Firm Map'!A105="","",'⑦ Controller-Firm Map'!A105)</f>
        <v/>
      </c>
      <c r="B143" s="101" t="str">
        <f>IF('⑦ Controller-Firm Map'!A105="","",'⑦ Controller-Firm Map'!B105)</f>
        <v/>
      </c>
      <c r="C143" s="101" t="str">
        <f>IF('⑦ Controller-Firm Map'!A105="","",'⑦ Controller-Firm Map'!C105)</f>
        <v/>
      </c>
      <c r="D143" s="39" t="str">
        <f>IF('⑦ Controller-Firm Map'!A105="","",'⑦ Controller-Firm Map'!D105)</f>
        <v/>
      </c>
      <c r="E143" s="101" t="str">
        <f>IF('⑦ Controller-Firm Map'!A105="","",'⑦ Controller-Firm Map'!E105)</f>
        <v/>
      </c>
      <c r="F143" s="43" t="str">
        <f>IF('⑦ Controller-Firm Map'!A105="","",'⑦ Controller-Firm Map'!F105)</f>
        <v/>
      </c>
      <c r="G143" s="29" t="str">
        <f>IF('⑦ Controller-Firm Map'!A105="","",'⑦ Controller-Firm Map'!G105)</f>
        <v/>
      </c>
      <c r="H143" s="43" t="str">
        <f>IF('⑦ Controller-Firm Map'!A105="","",'⑦ Controller-Firm Map'!H105)</f>
        <v/>
      </c>
    </row>
    <row r="144" spans="1:8" ht="15" customHeight="1" x14ac:dyDescent="0.2">
      <c r="A144" s="101" t="str">
        <f>IF('⑦ Controller-Firm Map'!A106="","",'⑦ Controller-Firm Map'!A106)</f>
        <v/>
      </c>
      <c r="B144" s="101" t="str">
        <f>IF('⑦ Controller-Firm Map'!A106="","",'⑦ Controller-Firm Map'!B106)</f>
        <v/>
      </c>
      <c r="C144" s="101" t="str">
        <f>IF('⑦ Controller-Firm Map'!A106="","",'⑦ Controller-Firm Map'!C106)</f>
        <v/>
      </c>
      <c r="D144" s="39" t="str">
        <f>IF('⑦ Controller-Firm Map'!A106="","",'⑦ Controller-Firm Map'!D106)</f>
        <v/>
      </c>
      <c r="E144" s="101" t="str">
        <f>IF('⑦ Controller-Firm Map'!A106="","",'⑦ Controller-Firm Map'!E106)</f>
        <v/>
      </c>
      <c r="F144" s="43" t="str">
        <f>IF('⑦ Controller-Firm Map'!A106="","",'⑦ Controller-Firm Map'!F106)</f>
        <v/>
      </c>
      <c r="G144" s="29" t="str">
        <f>IF('⑦ Controller-Firm Map'!A106="","",'⑦ Controller-Firm Map'!G106)</f>
        <v/>
      </c>
      <c r="H144" s="43" t="str">
        <f>IF('⑦ Controller-Firm Map'!A106="","",'⑦ Controller-Firm Map'!H106)</f>
        <v/>
      </c>
    </row>
    <row r="145" spans="1:8" ht="15" customHeight="1" x14ac:dyDescent="0.2">
      <c r="A145" s="101" t="str">
        <f>IF('⑦ Controller-Firm Map'!A107="","",'⑦ Controller-Firm Map'!A107)</f>
        <v/>
      </c>
      <c r="B145" s="101" t="str">
        <f>IF('⑦ Controller-Firm Map'!A107="","",'⑦ Controller-Firm Map'!B107)</f>
        <v/>
      </c>
      <c r="C145" s="101" t="str">
        <f>IF('⑦ Controller-Firm Map'!A107="","",'⑦ Controller-Firm Map'!C107)</f>
        <v/>
      </c>
      <c r="D145" s="39" t="str">
        <f>IF('⑦ Controller-Firm Map'!A107="","",'⑦ Controller-Firm Map'!D107)</f>
        <v/>
      </c>
      <c r="E145" s="101" t="str">
        <f>IF('⑦ Controller-Firm Map'!A107="","",'⑦ Controller-Firm Map'!E107)</f>
        <v/>
      </c>
      <c r="F145" s="43" t="str">
        <f>IF('⑦ Controller-Firm Map'!A107="","",'⑦ Controller-Firm Map'!F107)</f>
        <v/>
      </c>
      <c r="G145" s="29" t="str">
        <f>IF('⑦ Controller-Firm Map'!A107="","",'⑦ Controller-Firm Map'!G107)</f>
        <v/>
      </c>
      <c r="H145" s="43" t="str">
        <f>IF('⑦ Controller-Firm Map'!A107="","",'⑦ Controller-Firm Map'!H107)</f>
        <v/>
      </c>
    </row>
    <row r="146" spans="1:8" ht="15" customHeight="1" x14ac:dyDescent="0.2">
      <c r="A146" s="101" t="str">
        <f>IF('⑦ Controller-Firm Map'!A108="","",'⑦ Controller-Firm Map'!A108)</f>
        <v/>
      </c>
      <c r="B146" s="101" t="str">
        <f>IF('⑦ Controller-Firm Map'!A108="","",'⑦ Controller-Firm Map'!B108)</f>
        <v/>
      </c>
      <c r="C146" s="101" t="str">
        <f>IF('⑦ Controller-Firm Map'!A108="","",'⑦ Controller-Firm Map'!C108)</f>
        <v/>
      </c>
      <c r="D146" s="39" t="str">
        <f>IF('⑦ Controller-Firm Map'!A108="","",'⑦ Controller-Firm Map'!D108)</f>
        <v/>
      </c>
      <c r="E146" s="101" t="str">
        <f>IF('⑦ Controller-Firm Map'!A108="","",'⑦ Controller-Firm Map'!E108)</f>
        <v/>
      </c>
      <c r="F146" s="43" t="str">
        <f>IF('⑦ Controller-Firm Map'!A108="","",'⑦ Controller-Firm Map'!F108)</f>
        <v/>
      </c>
      <c r="G146" s="29" t="str">
        <f>IF('⑦ Controller-Firm Map'!A108="","",'⑦ Controller-Firm Map'!G108)</f>
        <v/>
      </c>
      <c r="H146" s="43" t="str">
        <f>IF('⑦ Controller-Firm Map'!A108="","",'⑦ Controller-Firm Map'!H108)</f>
        <v/>
      </c>
    </row>
    <row r="147" spans="1:8" ht="15" customHeight="1" x14ac:dyDescent="0.2">
      <c r="A147" s="101" t="str">
        <f>IF('⑦ Controller-Firm Map'!A109="","",'⑦ Controller-Firm Map'!A109)</f>
        <v/>
      </c>
      <c r="B147" s="101" t="str">
        <f>IF('⑦ Controller-Firm Map'!A109="","",'⑦ Controller-Firm Map'!B109)</f>
        <v/>
      </c>
      <c r="C147" s="101" t="str">
        <f>IF('⑦ Controller-Firm Map'!A109="","",'⑦ Controller-Firm Map'!C109)</f>
        <v/>
      </c>
      <c r="D147" s="39" t="str">
        <f>IF('⑦ Controller-Firm Map'!A109="","",'⑦ Controller-Firm Map'!D109)</f>
        <v/>
      </c>
      <c r="E147" s="101" t="str">
        <f>IF('⑦ Controller-Firm Map'!A109="","",'⑦ Controller-Firm Map'!E109)</f>
        <v/>
      </c>
      <c r="F147" s="43" t="str">
        <f>IF('⑦ Controller-Firm Map'!A109="","",'⑦ Controller-Firm Map'!F109)</f>
        <v/>
      </c>
      <c r="G147" s="29" t="str">
        <f>IF('⑦ Controller-Firm Map'!A109="","",'⑦ Controller-Firm Map'!G109)</f>
        <v/>
      </c>
      <c r="H147" s="43" t="str">
        <f>IF('⑦ Controller-Firm Map'!A109="","",'⑦ Controller-Firm Map'!H109)</f>
        <v/>
      </c>
    </row>
    <row r="148" spans="1:8" ht="15" customHeight="1" x14ac:dyDescent="0.2">
      <c r="A148" s="101" t="str">
        <f>IF('⑦ Controller-Firm Map'!A110="","",'⑦ Controller-Firm Map'!A110)</f>
        <v/>
      </c>
      <c r="B148" s="101" t="str">
        <f>IF('⑦ Controller-Firm Map'!A110="","",'⑦ Controller-Firm Map'!B110)</f>
        <v/>
      </c>
      <c r="C148" s="101" t="str">
        <f>IF('⑦ Controller-Firm Map'!A110="","",'⑦ Controller-Firm Map'!C110)</f>
        <v/>
      </c>
      <c r="D148" s="39" t="str">
        <f>IF('⑦ Controller-Firm Map'!A110="","",'⑦ Controller-Firm Map'!D110)</f>
        <v/>
      </c>
      <c r="E148" s="101" t="str">
        <f>IF('⑦ Controller-Firm Map'!A110="","",'⑦ Controller-Firm Map'!E110)</f>
        <v/>
      </c>
      <c r="F148" s="43" t="str">
        <f>IF('⑦ Controller-Firm Map'!A110="","",'⑦ Controller-Firm Map'!F110)</f>
        <v/>
      </c>
      <c r="G148" s="29" t="str">
        <f>IF('⑦ Controller-Firm Map'!A110="","",'⑦ Controller-Firm Map'!G110)</f>
        <v/>
      </c>
      <c r="H148" s="43" t="str">
        <f>IF('⑦ Controller-Firm Map'!A110="","",'⑦ Controller-Firm Map'!H110)</f>
        <v/>
      </c>
    </row>
    <row r="149" spans="1:8" ht="15" customHeight="1" x14ac:dyDescent="0.2">
      <c r="A149" s="101" t="str">
        <f>IF('⑦ Controller-Firm Map'!A111="","",'⑦ Controller-Firm Map'!A111)</f>
        <v/>
      </c>
      <c r="B149" s="101" t="str">
        <f>IF('⑦ Controller-Firm Map'!A111="","",'⑦ Controller-Firm Map'!B111)</f>
        <v/>
      </c>
      <c r="C149" s="101" t="str">
        <f>IF('⑦ Controller-Firm Map'!A111="","",'⑦ Controller-Firm Map'!C111)</f>
        <v/>
      </c>
      <c r="D149" s="39" t="str">
        <f>IF('⑦ Controller-Firm Map'!A111="","",'⑦ Controller-Firm Map'!D111)</f>
        <v/>
      </c>
      <c r="E149" s="101" t="str">
        <f>IF('⑦ Controller-Firm Map'!A111="","",'⑦ Controller-Firm Map'!E111)</f>
        <v/>
      </c>
      <c r="F149" s="43" t="str">
        <f>IF('⑦ Controller-Firm Map'!A111="","",'⑦ Controller-Firm Map'!F111)</f>
        <v/>
      </c>
      <c r="G149" s="29" t="str">
        <f>IF('⑦ Controller-Firm Map'!A111="","",'⑦ Controller-Firm Map'!G111)</f>
        <v/>
      </c>
      <c r="H149" s="43" t="str">
        <f>IF('⑦ Controller-Firm Map'!A111="","",'⑦ Controller-Firm Map'!H111)</f>
        <v/>
      </c>
    </row>
    <row r="150" spans="1:8" ht="15" customHeight="1" x14ac:dyDescent="0.2">
      <c r="A150" s="101" t="str">
        <f>IF('⑦ Controller-Firm Map'!A112="","",'⑦ Controller-Firm Map'!A112)</f>
        <v/>
      </c>
      <c r="B150" s="101" t="str">
        <f>IF('⑦ Controller-Firm Map'!A112="","",'⑦ Controller-Firm Map'!B112)</f>
        <v/>
      </c>
      <c r="C150" s="101" t="str">
        <f>IF('⑦ Controller-Firm Map'!A112="","",'⑦ Controller-Firm Map'!C112)</f>
        <v/>
      </c>
      <c r="D150" s="39" t="str">
        <f>IF('⑦ Controller-Firm Map'!A112="","",'⑦ Controller-Firm Map'!D112)</f>
        <v/>
      </c>
      <c r="E150" s="101" t="str">
        <f>IF('⑦ Controller-Firm Map'!A112="","",'⑦ Controller-Firm Map'!E112)</f>
        <v/>
      </c>
      <c r="F150" s="43" t="str">
        <f>IF('⑦ Controller-Firm Map'!A112="","",'⑦ Controller-Firm Map'!F112)</f>
        <v/>
      </c>
      <c r="G150" s="29" t="str">
        <f>IF('⑦ Controller-Firm Map'!A112="","",'⑦ Controller-Firm Map'!G112)</f>
        <v/>
      </c>
      <c r="H150" s="43" t="str">
        <f>IF('⑦ Controller-Firm Map'!A112="","",'⑦ Controller-Firm Map'!H112)</f>
        <v/>
      </c>
    </row>
    <row r="151" spans="1:8" ht="15" customHeight="1" x14ac:dyDescent="0.2">
      <c r="A151" s="101" t="str">
        <f>IF('⑦ Controller-Firm Map'!A113="","",'⑦ Controller-Firm Map'!A113)</f>
        <v/>
      </c>
      <c r="B151" s="101" t="str">
        <f>IF('⑦ Controller-Firm Map'!A113="","",'⑦ Controller-Firm Map'!B113)</f>
        <v/>
      </c>
      <c r="C151" s="101" t="str">
        <f>IF('⑦ Controller-Firm Map'!A113="","",'⑦ Controller-Firm Map'!C113)</f>
        <v/>
      </c>
      <c r="D151" s="39" t="str">
        <f>IF('⑦ Controller-Firm Map'!A113="","",'⑦ Controller-Firm Map'!D113)</f>
        <v/>
      </c>
      <c r="E151" s="101" t="str">
        <f>IF('⑦ Controller-Firm Map'!A113="","",'⑦ Controller-Firm Map'!E113)</f>
        <v/>
      </c>
      <c r="F151" s="43" t="str">
        <f>IF('⑦ Controller-Firm Map'!A113="","",'⑦ Controller-Firm Map'!F113)</f>
        <v/>
      </c>
      <c r="G151" s="29" t="str">
        <f>IF('⑦ Controller-Firm Map'!A113="","",'⑦ Controller-Firm Map'!G113)</f>
        <v/>
      </c>
      <c r="H151" s="43" t="str">
        <f>IF('⑦ Controller-Firm Map'!A113="","",'⑦ Controller-Firm Map'!H113)</f>
        <v/>
      </c>
    </row>
    <row r="152" spans="1:8" ht="15" customHeight="1" x14ac:dyDescent="0.2">
      <c r="A152" s="101" t="str">
        <f>IF('⑦ Controller-Firm Map'!A114="","",'⑦ Controller-Firm Map'!A114)</f>
        <v/>
      </c>
      <c r="B152" s="101" t="str">
        <f>IF('⑦ Controller-Firm Map'!A114="","",'⑦ Controller-Firm Map'!B114)</f>
        <v/>
      </c>
      <c r="C152" s="101" t="str">
        <f>IF('⑦ Controller-Firm Map'!A114="","",'⑦ Controller-Firm Map'!C114)</f>
        <v/>
      </c>
      <c r="D152" s="39" t="str">
        <f>IF('⑦ Controller-Firm Map'!A114="","",'⑦ Controller-Firm Map'!D114)</f>
        <v/>
      </c>
      <c r="E152" s="101" t="str">
        <f>IF('⑦ Controller-Firm Map'!A114="","",'⑦ Controller-Firm Map'!E114)</f>
        <v/>
      </c>
      <c r="F152" s="43" t="str">
        <f>IF('⑦ Controller-Firm Map'!A114="","",'⑦ Controller-Firm Map'!F114)</f>
        <v/>
      </c>
      <c r="G152" s="29" t="str">
        <f>IF('⑦ Controller-Firm Map'!A114="","",'⑦ Controller-Firm Map'!G114)</f>
        <v/>
      </c>
      <c r="H152" s="43" t="str">
        <f>IF('⑦ Controller-Firm Map'!A114="","",'⑦ Controller-Firm Map'!H114)</f>
        <v/>
      </c>
    </row>
    <row r="153" spans="1:8" ht="15" customHeight="1" x14ac:dyDescent="0.2">
      <c r="A153" s="101" t="str">
        <f>IF('⑦ Controller-Firm Map'!A115="","",'⑦ Controller-Firm Map'!A115)</f>
        <v/>
      </c>
      <c r="B153" s="101" t="str">
        <f>IF('⑦ Controller-Firm Map'!A115="","",'⑦ Controller-Firm Map'!B115)</f>
        <v/>
      </c>
      <c r="C153" s="101" t="str">
        <f>IF('⑦ Controller-Firm Map'!A115="","",'⑦ Controller-Firm Map'!C115)</f>
        <v/>
      </c>
      <c r="D153" s="39" t="str">
        <f>IF('⑦ Controller-Firm Map'!A115="","",'⑦ Controller-Firm Map'!D115)</f>
        <v/>
      </c>
      <c r="E153" s="101" t="str">
        <f>IF('⑦ Controller-Firm Map'!A115="","",'⑦ Controller-Firm Map'!E115)</f>
        <v/>
      </c>
      <c r="F153" s="43" t="str">
        <f>IF('⑦ Controller-Firm Map'!A115="","",'⑦ Controller-Firm Map'!F115)</f>
        <v/>
      </c>
      <c r="G153" s="29" t="str">
        <f>IF('⑦ Controller-Firm Map'!A115="","",'⑦ Controller-Firm Map'!G115)</f>
        <v/>
      </c>
      <c r="H153" s="43" t="str">
        <f>IF('⑦ Controller-Firm Map'!A115="","",'⑦ Controller-Firm Map'!H115)</f>
        <v/>
      </c>
    </row>
    <row r="154" spans="1:8" ht="15" customHeight="1" x14ac:dyDescent="0.2">
      <c r="A154" s="101" t="str">
        <f>IF('⑦ Controller-Firm Map'!A116="","",'⑦ Controller-Firm Map'!A116)</f>
        <v/>
      </c>
      <c r="B154" s="101" t="str">
        <f>IF('⑦ Controller-Firm Map'!A116="","",'⑦ Controller-Firm Map'!B116)</f>
        <v/>
      </c>
      <c r="C154" s="101" t="str">
        <f>IF('⑦ Controller-Firm Map'!A116="","",'⑦ Controller-Firm Map'!C116)</f>
        <v/>
      </c>
      <c r="D154" s="39" t="str">
        <f>IF('⑦ Controller-Firm Map'!A116="","",'⑦ Controller-Firm Map'!D116)</f>
        <v/>
      </c>
      <c r="E154" s="101" t="str">
        <f>IF('⑦ Controller-Firm Map'!A116="","",'⑦ Controller-Firm Map'!E116)</f>
        <v/>
      </c>
      <c r="F154" s="43" t="str">
        <f>IF('⑦ Controller-Firm Map'!A116="","",'⑦ Controller-Firm Map'!F116)</f>
        <v/>
      </c>
      <c r="G154" s="29" t="str">
        <f>IF('⑦ Controller-Firm Map'!A116="","",'⑦ Controller-Firm Map'!G116)</f>
        <v/>
      </c>
      <c r="H154" s="43" t="str">
        <f>IF('⑦ Controller-Firm Map'!A116="","",'⑦ Controller-Firm Map'!H116)</f>
        <v/>
      </c>
    </row>
    <row r="155" spans="1:8" ht="15" customHeight="1" x14ac:dyDescent="0.2">
      <c r="A155" s="101" t="str">
        <f>IF('⑦ Controller-Firm Map'!A117="","",'⑦ Controller-Firm Map'!A117)</f>
        <v/>
      </c>
      <c r="B155" s="101" t="str">
        <f>IF('⑦ Controller-Firm Map'!A117="","",'⑦ Controller-Firm Map'!B117)</f>
        <v/>
      </c>
      <c r="C155" s="101" t="str">
        <f>IF('⑦ Controller-Firm Map'!A117="","",'⑦ Controller-Firm Map'!C117)</f>
        <v/>
      </c>
      <c r="D155" s="39" t="str">
        <f>IF('⑦ Controller-Firm Map'!A117="","",'⑦ Controller-Firm Map'!D117)</f>
        <v/>
      </c>
      <c r="E155" s="101" t="str">
        <f>IF('⑦ Controller-Firm Map'!A117="","",'⑦ Controller-Firm Map'!E117)</f>
        <v/>
      </c>
      <c r="F155" s="43" t="str">
        <f>IF('⑦ Controller-Firm Map'!A117="","",'⑦ Controller-Firm Map'!F117)</f>
        <v/>
      </c>
      <c r="G155" s="29" t="str">
        <f>IF('⑦ Controller-Firm Map'!A117="","",'⑦ Controller-Firm Map'!G117)</f>
        <v/>
      </c>
      <c r="H155" s="43" t="str">
        <f>IF('⑦ Controller-Firm Map'!A117="","",'⑦ Controller-Firm Map'!H117)</f>
        <v/>
      </c>
    </row>
    <row r="156" spans="1:8" ht="15" customHeight="1" x14ac:dyDescent="0.2">
      <c r="A156" s="101" t="str">
        <f>IF('⑦ Controller-Firm Map'!A118="","",'⑦ Controller-Firm Map'!A118)</f>
        <v/>
      </c>
      <c r="B156" s="101" t="str">
        <f>IF('⑦ Controller-Firm Map'!A118="","",'⑦ Controller-Firm Map'!B118)</f>
        <v/>
      </c>
      <c r="C156" s="101" t="str">
        <f>IF('⑦ Controller-Firm Map'!A118="","",'⑦ Controller-Firm Map'!C118)</f>
        <v/>
      </c>
      <c r="D156" s="39" t="str">
        <f>IF('⑦ Controller-Firm Map'!A118="","",'⑦ Controller-Firm Map'!D118)</f>
        <v/>
      </c>
      <c r="E156" s="101" t="str">
        <f>IF('⑦ Controller-Firm Map'!A118="","",'⑦ Controller-Firm Map'!E118)</f>
        <v/>
      </c>
      <c r="F156" s="43" t="str">
        <f>IF('⑦ Controller-Firm Map'!A118="","",'⑦ Controller-Firm Map'!F118)</f>
        <v/>
      </c>
      <c r="G156" s="29" t="str">
        <f>IF('⑦ Controller-Firm Map'!A118="","",'⑦ Controller-Firm Map'!G118)</f>
        <v/>
      </c>
      <c r="H156" s="43" t="str">
        <f>IF('⑦ Controller-Firm Map'!A118="","",'⑦ Controller-Firm Map'!H118)</f>
        <v/>
      </c>
    </row>
    <row r="157" spans="1:8" ht="15" customHeight="1" x14ac:dyDescent="0.2">
      <c r="A157" s="101" t="str">
        <f>IF('⑦ Controller-Firm Map'!A119="","",'⑦ Controller-Firm Map'!A119)</f>
        <v/>
      </c>
      <c r="B157" s="101" t="str">
        <f>IF('⑦ Controller-Firm Map'!A119="","",'⑦ Controller-Firm Map'!B119)</f>
        <v/>
      </c>
      <c r="C157" s="101" t="str">
        <f>IF('⑦ Controller-Firm Map'!A119="","",'⑦ Controller-Firm Map'!C119)</f>
        <v/>
      </c>
      <c r="D157" s="39" t="str">
        <f>IF('⑦ Controller-Firm Map'!A119="","",'⑦ Controller-Firm Map'!D119)</f>
        <v/>
      </c>
      <c r="E157" s="101" t="str">
        <f>IF('⑦ Controller-Firm Map'!A119="","",'⑦ Controller-Firm Map'!E119)</f>
        <v/>
      </c>
      <c r="F157" s="43" t="str">
        <f>IF('⑦ Controller-Firm Map'!A119="","",'⑦ Controller-Firm Map'!F119)</f>
        <v/>
      </c>
      <c r="G157" s="29" t="str">
        <f>IF('⑦ Controller-Firm Map'!A119="","",'⑦ Controller-Firm Map'!G119)</f>
        <v/>
      </c>
      <c r="H157" s="43" t="str">
        <f>IF('⑦ Controller-Firm Map'!A119="","",'⑦ Controller-Firm Map'!H119)</f>
        <v/>
      </c>
    </row>
    <row r="158" spans="1:8" ht="15" customHeight="1" x14ac:dyDescent="0.2">
      <c r="A158" s="101" t="str">
        <f>IF('⑦ Controller-Firm Map'!A120="","",'⑦ Controller-Firm Map'!A120)</f>
        <v/>
      </c>
      <c r="B158" s="101" t="str">
        <f>IF('⑦ Controller-Firm Map'!A120="","",'⑦ Controller-Firm Map'!B120)</f>
        <v/>
      </c>
      <c r="C158" s="101" t="str">
        <f>IF('⑦ Controller-Firm Map'!A120="","",'⑦ Controller-Firm Map'!C120)</f>
        <v/>
      </c>
      <c r="D158" s="39" t="str">
        <f>IF('⑦ Controller-Firm Map'!A120="","",'⑦ Controller-Firm Map'!D120)</f>
        <v/>
      </c>
      <c r="E158" s="101" t="str">
        <f>IF('⑦ Controller-Firm Map'!A120="","",'⑦ Controller-Firm Map'!E120)</f>
        <v/>
      </c>
      <c r="F158" s="43" t="str">
        <f>IF('⑦ Controller-Firm Map'!A120="","",'⑦ Controller-Firm Map'!F120)</f>
        <v/>
      </c>
      <c r="G158" s="29" t="str">
        <f>IF('⑦ Controller-Firm Map'!A120="","",'⑦ Controller-Firm Map'!G120)</f>
        <v/>
      </c>
      <c r="H158" s="43" t="str">
        <f>IF('⑦ Controller-Firm Map'!A120="","",'⑦ Controller-Firm Map'!H120)</f>
        <v/>
      </c>
    </row>
    <row r="159" spans="1:8" ht="15" customHeight="1" x14ac:dyDescent="0.2">
      <c r="A159" s="101" t="str">
        <f>IF('⑦ Controller-Firm Map'!A121="","",'⑦ Controller-Firm Map'!A121)</f>
        <v/>
      </c>
      <c r="B159" s="101" t="str">
        <f>IF('⑦ Controller-Firm Map'!A121="","",'⑦ Controller-Firm Map'!B121)</f>
        <v/>
      </c>
      <c r="C159" s="101" t="str">
        <f>IF('⑦ Controller-Firm Map'!A121="","",'⑦ Controller-Firm Map'!C121)</f>
        <v/>
      </c>
      <c r="D159" s="39" t="str">
        <f>IF('⑦ Controller-Firm Map'!A121="","",'⑦ Controller-Firm Map'!D121)</f>
        <v/>
      </c>
      <c r="E159" s="101" t="str">
        <f>IF('⑦ Controller-Firm Map'!A121="","",'⑦ Controller-Firm Map'!E121)</f>
        <v/>
      </c>
      <c r="F159" s="43" t="str">
        <f>IF('⑦ Controller-Firm Map'!A121="","",'⑦ Controller-Firm Map'!F121)</f>
        <v/>
      </c>
      <c r="G159" s="29" t="str">
        <f>IF('⑦ Controller-Firm Map'!A121="","",'⑦ Controller-Firm Map'!G121)</f>
        <v/>
      </c>
      <c r="H159" s="43" t="str">
        <f>IF('⑦ Controller-Firm Map'!A121="","",'⑦ Controller-Firm Map'!H121)</f>
        <v/>
      </c>
    </row>
    <row r="160" spans="1:8" ht="15" customHeight="1" x14ac:dyDescent="0.2">
      <c r="A160" s="101" t="str">
        <f>IF('⑦ Controller-Firm Map'!A122="","",'⑦ Controller-Firm Map'!A122)</f>
        <v/>
      </c>
      <c r="B160" s="101" t="str">
        <f>IF('⑦ Controller-Firm Map'!A122="","",'⑦ Controller-Firm Map'!B122)</f>
        <v/>
      </c>
      <c r="C160" s="101" t="str">
        <f>IF('⑦ Controller-Firm Map'!A122="","",'⑦ Controller-Firm Map'!C122)</f>
        <v/>
      </c>
      <c r="D160" s="39" t="str">
        <f>IF('⑦ Controller-Firm Map'!A122="","",'⑦ Controller-Firm Map'!D122)</f>
        <v/>
      </c>
      <c r="E160" s="101" t="str">
        <f>IF('⑦ Controller-Firm Map'!A122="","",'⑦ Controller-Firm Map'!E122)</f>
        <v/>
      </c>
      <c r="F160" s="43" t="str">
        <f>IF('⑦ Controller-Firm Map'!A122="","",'⑦ Controller-Firm Map'!F122)</f>
        <v/>
      </c>
      <c r="G160" s="29" t="str">
        <f>IF('⑦ Controller-Firm Map'!A122="","",'⑦ Controller-Firm Map'!G122)</f>
        <v/>
      </c>
      <c r="H160" s="43" t="str">
        <f>IF('⑦ Controller-Firm Map'!A122="","",'⑦ Controller-Firm Map'!H122)</f>
        <v/>
      </c>
    </row>
    <row r="161" spans="1:8" ht="15" customHeight="1" x14ac:dyDescent="0.2">
      <c r="A161" s="101" t="str">
        <f>IF('⑦ Controller-Firm Map'!A123="","",'⑦ Controller-Firm Map'!A123)</f>
        <v/>
      </c>
      <c r="B161" s="101" t="str">
        <f>IF('⑦ Controller-Firm Map'!A123="","",'⑦ Controller-Firm Map'!B123)</f>
        <v/>
      </c>
      <c r="C161" s="101" t="str">
        <f>IF('⑦ Controller-Firm Map'!A123="","",'⑦ Controller-Firm Map'!C123)</f>
        <v/>
      </c>
      <c r="D161" s="39" t="str">
        <f>IF('⑦ Controller-Firm Map'!A123="","",'⑦ Controller-Firm Map'!D123)</f>
        <v/>
      </c>
      <c r="E161" s="101" t="str">
        <f>IF('⑦ Controller-Firm Map'!A123="","",'⑦ Controller-Firm Map'!E123)</f>
        <v/>
      </c>
      <c r="F161" s="43" t="str">
        <f>IF('⑦ Controller-Firm Map'!A123="","",'⑦ Controller-Firm Map'!F123)</f>
        <v/>
      </c>
      <c r="G161" s="29" t="str">
        <f>IF('⑦ Controller-Firm Map'!A123="","",'⑦ Controller-Firm Map'!G123)</f>
        <v/>
      </c>
      <c r="H161" s="43" t="str">
        <f>IF('⑦ Controller-Firm Map'!A123="","",'⑦ Controller-Firm Map'!H123)</f>
        <v/>
      </c>
    </row>
    <row r="162" spans="1:8" ht="15" customHeight="1" x14ac:dyDescent="0.2">
      <c r="A162" s="101" t="str">
        <f>IF('⑦ Controller-Firm Map'!A124="","",'⑦ Controller-Firm Map'!A124)</f>
        <v/>
      </c>
      <c r="B162" s="101" t="str">
        <f>IF('⑦ Controller-Firm Map'!A124="","",'⑦ Controller-Firm Map'!B124)</f>
        <v/>
      </c>
      <c r="C162" s="101" t="str">
        <f>IF('⑦ Controller-Firm Map'!A124="","",'⑦ Controller-Firm Map'!C124)</f>
        <v/>
      </c>
      <c r="D162" s="39" t="str">
        <f>IF('⑦ Controller-Firm Map'!A124="","",'⑦ Controller-Firm Map'!D124)</f>
        <v/>
      </c>
      <c r="E162" s="101" t="str">
        <f>IF('⑦ Controller-Firm Map'!A124="","",'⑦ Controller-Firm Map'!E124)</f>
        <v/>
      </c>
      <c r="F162" s="43" t="str">
        <f>IF('⑦ Controller-Firm Map'!A124="","",'⑦ Controller-Firm Map'!F124)</f>
        <v/>
      </c>
      <c r="G162" s="29" t="str">
        <f>IF('⑦ Controller-Firm Map'!A124="","",'⑦ Controller-Firm Map'!G124)</f>
        <v/>
      </c>
      <c r="H162" s="43" t="str">
        <f>IF('⑦ Controller-Firm Map'!A124="","",'⑦ Controller-Firm Map'!H124)</f>
        <v/>
      </c>
    </row>
    <row r="163" spans="1:8" ht="15" customHeight="1" x14ac:dyDescent="0.2">
      <c r="A163" s="101" t="str">
        <f>IF('⑦ Controller-Firm Map'!A125="","",'⑦ Controller-Firm Map'!A125)</f>
        <v/>
      </c>
      <c r="B163" s="101" t="str">
        <f>IF('⑦ Controller-Firm Map'!A125="","",'⑦ Controller-Firm Map'!B125)</f>
        <v/>
      </c>
      <c r="C163" s="101" t="str">
        <f>IF('⑦ Controller-Firm Map'!A125="","",'⑦ Controller-Firm Map'!C125)</f>
        <v/>
      </c>
      <c r="D163" s="39" t="str">
        <f>IF('⑦ Controller-Firm Map'!A125="","",'⑦ Controller-Firm Map'!D125)</f>
        <v/>
      </c>
      <c r="E163" s="101" t="str">
        <f>IF('⑦ Controller-Firm Map'!A125="","",'⑦ Controller-Firm Map'!E125)</f>
        <v/>
      </c>
      <c r="F163" s="43" t="str">
        <f>IF('⑦ Controller-Firm Map'!A125="","",'⑦ Controller-Firm Map'!F125)</f>
        <v/>
      </c>
      <c r="G163" s="29" t="str">
        <f>IF('⑦ Controller-Firm Map'!A125="","",'⑦ Controller-Firm Map'!G125)</f>
        <v/>
      </c>
      <c r="H163" s="43" t="str">
        <f>IF('⑦ Controller-Firm Map'!A125="","",'⑦ Controller-Firm Map'!H125)</f>
        <v/>
      </c>
    </row>
    <row r="164" spans="1:8" ht="15" customHeight="1" x14ac:dyDescent="0.2">
      <c r="A164" s="101" t="str">
        <f>IF('⑦ Controller-Firm Map'!A126="","",'⑦ Controller-Firm Map'!A126)</f>
        <v/>
      </c>
      <c r="B164" s="101" t="str">
        <f>IF('⑦ Controller-Firm Map'!A126="","",'⑦ Controller-Firm Map'!B126)</f>
        <v/>
      </c>
      <c r="C164" s="101" t="str">
        <f>IF('⑦ Controller-Firm Map'!A126="","",'⑦ Controller-Firm Map'!C126)</f>
        <v/>
      </c>
      <c r="D164" s="39" t="str">
        <f>IF('⑦ Controller-Firm Map'!A126="","",'⑦ Controller-Firm Map'!D126)</f>
        <v/>
      </c>
      <c r="E164" s="101" t="str">
        <f>IF('⑦ Controller-Firm Map'!A126="","",'⑦ Controller-Firm Map'!E126)</f>
        <v/>
      </c>
      <c r="F164" s="43" t="str">
        <f>IF('⑦ Controller-Firm Map'!A126="","",'⑦ Controller-Firm Map'!F126)</f>
        <v/>
      </c>
      <c r="G164" s="29" t="str">
        <f>IF('⑦ Controller-Firm Map'!A126="","",'⑦ Controller-Firm Map'!G126)</f>
        <v/>
      </c>
      <c r="H164" s="43" t="str">
        <f>IF('⑦ Controller-Firm Map'!A126="","",'⑦ Controller-Firm Map'!H126)</f>
        <v/>
      </c>
    </row>
    <row r="165" spans="1:8" ht="15" customHeight="1" x14ac:dyDescent="0.2">
      <c r="A165" s="101" t="str">
        <f>IF('⑦ Controller-Firm Map'!A127="","",'⑦ Controller-Firm Map'!A127)</f>
        <v/>
      </c>
      <c r="B165" s="101" t="str">
        <f>IF('⑦ Controller-Firm Map'!A127="","",'⑦ Controller-Firm Map'!B127)</f>
        <v/>
      </c>
      <c r="C165" s="101" t="str">
        <f>IF('⑦ Controller-Firm Map'!A127="","",'⑦ Controller-Firm Map'!C127)</f>
        <v/>
      </c>
      <c r="D165" s="39" t="str">
        <f>IF('⑦ Controller-Firm Map'!A127="","",'⑦ Controller-Firm Map'!D127)</f>
        <v/>
      </c>
      <c r="E165" s="101" t="str">
        <f>IF('⑦ Controller-Firm Map'!A127="","",'⑦ Controller-Firm Map'!E127)</f>
        <v/>
      </c>
      <c r="F165" s="43" t="str">
        <f>IF('⑦ Controller-Firm Map'!A127="","",'⑦ Controller-Firm Map'!F127)</f>
        <v/>
      </c>
      <c r="G165" s="29" t="str">
        <f>IF('⑦ Controller-Firm Map'!A127="","",'⑦ Controller-Firm Map'!G127)</f>
        <v/>
      </c>
      <c r="H165" s="43" t="str">
        <f>IF('⑦ Controller-Firm Map'!A127="","",'⑦ Controller-Firm Map'!H127)</f>
        <v/>
      </c>
    </row>
    <row r="166" spans="1:8" ht="15" customHeight="1" x14ac:dyDescent="0.2">
      <c r="A166" s="101" t="str">
        <f>IF('⑦ Controller-Firm Map'!A128="","",'⑦ Controller-Firm Map'!A128)</f>
        <v/>
      </c>
      <c r="B166" s="101" t="str">
        <f>IF('⑦ Controller-Firm Map'!A128="","",'⑦ Controller-Firm Map'!B128)</f>
        <v/>
      </c>
      <c r="C166" s="101" t="str">
        <f>IF('⑦ Controller-Firm Map'!A128="","",'⑦ Controller-Firm Map'!C128)</f>
        <v/>
      </c>
      <c r="D166" s="39" t="str">
        <f>IF('⑦ Controller-Firm Map'!A128="","",'⑦ Controller-Firm Map'!D128)</f>
        <v/>
      </c>
      <c r="E166" s="101" t="str">
        <f>IF('⑦ Controller-Firm Map'!A128="","",'⑦ Controller-Firm Map'!E128)</f>
        <v/>
      </c>
      <c r="F166" s="43" t="str">
        <f>IF('⑦ Controller-Firm Map'!A128="","",'⑦ Controller-Firm Map'!F128)</f>
        <v/>
      </c>
      <c r="G166" s="29" t="str">
        <f>IF('⑦ Controller-Firm Map'!A128="","",'⑦ Controller-Firm Map'!G128)</f>
        <v/>
      </c>
      <c r="H166" s="43" t="str">
        <f>IF('⑦ Controller-Firm Map'!A128="","",'⑦ Controller-Firm Map'!H128)</f>
        <v/>
      </c>
    </row>
    <row r="167" spans="1:8" ht="15" customHeight="1" x14ac:dyDescent="0.2">
      <c r="A167" s="101" t="str">
        <f>IF('⑦ Controller-Firm Map'!A129="","",'⑦ Controller-Firm Map'!A129)</f>
        <v/>
      </c>
      <c r="B167" s="101" t="str">
        <f>IF('⑦ Controller-Firm Map'!A129="","",'⑦ Controller-Firm Map'!B129)</f>
        <v/>
      </c>
      <c r="C167" s="101" t="str">
        <f>IF('⑦ Controller-Firm Map'!A129="","",'⑦ Controller-Firm Map'!C129)</f>
        <v/>
      </c>
      <c r="D167" s="39" t="str">
        <f>IF('⑦ Controller-Firm Map'!A129="","",'⑦ Controller-Firm Map'!D129)</f>
        <v/>
      </c>
      <c r="E167" s="101" t="str">
        <f>IF('⑦ Controller-Firm Map'!A129="","",'⑦ Controller-Firm Map'!E129)</f>
        <v/>
      </c>
      <c r="F167" s="43" t="str">
        <f>IF('⑦ Controller-Firm Map'!A129="","",'⑦ Controller-Firm Map'!F129)</f>
        <v/>
      </c>
      <c r="G167" s="29" t="str">
        <f>IF('⑦ Controller-Firm Map'!A129="","",'⑦ Controller-Firm Map'!G129)</f>
        <v/>
      </c>
      <c r="H167" s="43" t="str">
        <f>IF('⑦ Controller-Firm Map'!A129="","",'⑦ Controller-Firm Map'!H129)</f>
        <v/>
      </c>
    </row>
    <row r="168" spans="1:8" ht="15" customHeight="1" x14ac:dyDescent="0.2">
      <c r="A168" s="101" t="str">
        <f>IF('⑦ Controller-Firm Map'!A130="","",'⑦ Controller-Firm Map'!A130)</f>
        <v/>
      </c>
      <c r="B168" s="101" t="str">
        <f>IF('⑦ Controller-Firm Map'!A130="","",'⑦ Controller-Firm Map'!B130)</f>
        <v/>
      </c>
      <c r="C168" s="101" t="str">
        <f>IF('⑦ Controller-Firm Map'!A130="","",'⑦ Controller-Firm Map'!C130)</f>
        <v/>
      </c>
      <c r="D168" s="39" t="str">
        <f>IF('⑦ Controller-Firm Map'!A130="","",'⑦ Controller-Firm Map'!D130)</f>
        <v/>
      </c>
      <c r="E168" s="101" t="str">
        <f>IF('⑦ Controller-Firm Map'!A130="","",'⑦ Controller-Firm Map'!E130)</f>
        <v/>
      </c>
      <c r="F168" s="43" t="str">
        <f>IF('⑦ Controller-Firm Map'!A130="","",'⑦ Controller-Firm Map'!F130)</f>
        <v/>
      </c>
      <c r="G168" s="29" t="str">
        <f>IF('⑦ Controller-Firm Map'!A130="","",'⑦ Controller-Firm Map'!G130)</f>
        <v/>
      </c>
      <c r="H168" s="43" t="str">
        <f>IF('⑦ Controller-Firm Map'!A130="","",'⑦ Controller-Firm Map'!H130)</f>
        <v/>
      </c>
    </row>
    <row r="169" spans="1:8" ht="15" customHeight="1" x14ac:dyDescent="0.2">
      <c r="A169" s="101" t="str">
        <f>IF('⑦ Controller-Firm Map'!A131="","",'⑦ Controller-Firm Map'!A131)</f>
        <v/>
      </c>
      <c r="B169" s="101" t="str">
        <f>IF('⑦ Controller-Firm Map'!A131="","",'⑦ Controller-Firm Map'!B131)</f>
        <v/>
      </c>
      <c r="C169" s="101" t="str">
        <f>IF('⑦ Controller-Firm Map'!A131="","",'⑦ Controller-Firm Map'!C131)</f>
        <v/>
      </c>
      <c r="D169" s="39" t="str">
        <f>IF('⑦ Controller-Firm Map'!A131="","",'⑦ Controller-Firm Map'!D131)</f>
        <v/>
      </c>
      <c r="E169" s="101" t="str">
        <f>IF('⑦ Controller-Firm Map'!A131="","",'⑦ Controller-Firm Map'!E131)</f>
        <v/>
      </c>
      <c r="F169" s="43" t="str">
        <f>IF('⑦ Controller-Firm Map'!A131="","",'⑦ Controller-Firm Map'!F131)</f>
        <v/>
      </c>
      <c r="G169" s="29" t="str">
        <f>IF('⑦ Controller-Firm Map'!A131="","",'⑦ Controller-Firm Map'!G131)</f>
        <v/>
      </c>
      <c r="H169" s="43" t="str">
        <f>IF('⑦ Controller-Firm Map'!A131="","",'⑦ Controller-Firm Map'!H131)</f>
        <v/>
      </c>
    </row>
    <row r="170" spans="1:8" ht="15" customHeight="1" x14ac:dyDescent="0.2">
      <c r="A170" s="101" t="str">
        <f>IF('⑦ Controller-Firm Map'!A132="","",'⑦ Controller-Firm Map'!A132)</f>
        <v/>
      </c>
      <c r="B170" s="101" t="str">
        <f>IF('⑦ Controller-Firm Map'!A132="","",'⑦ Controller-Firm Map'!B132)</f>
        <v/>
      </c>
      <c r="C170" s="101" t="str">
        <f>IF('⑦ Controller-Firm Map'!A132="","",'⑦ Controller-Firm Map'!C132)</f>
        <v/>
      </c>
      <c r="D170" s="39" t="str">
        <f>IF('⑦ Controller-Firm Map'!A132="","",'⑦ Controller-Firm Map'!D132)</f>
        <v/>
      </c>
      <c r="E170" s="101" t="str">
        <f>IF('⑦ Controller-Firm Map'!A132="","",'⑦ Controller-Firm Map'!E132)</f>
        <v/>
      </c>
      <c r="F170" s="43" t="str">
        <f>IF('⑦ Controller-Firm Map'!A132="","",'⑦ Controller-Firm Map'!F132)</f>
        <v/>
      </c>
      <c r="G170" s="29" t="str">
        <f>IF('⑦ Controller-Firm Map'!A132="","",'⑦ Controller-Firm Map'!G132)</f>
        <v/>
      </c>
      <c r="H170" s="43" t="str">
        <f>IF('⑦ Controller-Firm Map'!A132="","",'⑦ Controller-Firm Map'!H132)</f>
        <v/>
      </c>
    </row>
    <row r="171" spans="1:8" ht="15" customHeight="1" x14ac:dyDescent="0.2">
      <c r="A171" s="101" t="str">
        <f>IF('⑦ Controller-Firm Map'!A133="","",'⑦ Controller-Firm Map'!A133)</f>
        <v/>
      </c>
      <c r="B171" s="101" t="str">
        <f>IF('⑦ Controller-Firm Map'!A133="","",'⑦ Controller-Firm Map'!B133)</f>
        <v/>
      </c>
      <c r="C171" s="101" t="str">
        <f>IF('⑦ Controller-Firm Map'!A133="","",'⑦ Controller-Firm Map'!C133)</f>
        <v/>
      </c>
      <c r="D171" s="39" t="str">
        <f>IF('⑦ Controller-Firm Map'!A133="","",'⑦ Controller-Firm Map'!D133)</f>
        <v/>
      </c>
      <c r="E171" s="101" t="str">
        <f>IF('⑦ Controller-Firm Map'!A133="","",'⑦ Controller-Firm Map'!E133)</f>
        <v/>
      </c>
      <c r="F171" s="43" t="str">
        <f>IF('⑦ Controller-Firm Map'!A133="","",'⑦ Controller-Firm Map'!F133)</f>
        <v/>
      </c>
      <c r="G171" s="29" t="str">
        <f>IF('⑦ Controller-Firm Map'!A133="","",'⑦ Controller-Firm Map'!G133)</f>
        <v/>
      </c>
      <c r="H171" s="43" t="str">
        <f>IF('⑦ Controller-Firm Map'!A133="","",'⑦ Controller-Firm Map'!H133)</f>
        <v/>
      </c>
    </row>
    <row r="172" spans="1:8" ht="15" customHeight="1" x14ac:dyDescent="0.2">
      <c r="A172" s="101" t="str">
        <f>IF('⑦ Controller-Firm Map'!A134="","",'⑦ Controller-Firm Map'!A134)</f>
        <v/>
      </c>
      <c r="B172" s="101" t="str">
        <f>IF('⑦ Controller-Firm Map'!A134="","",'⑦ Controller-Firm Map'!B134)</f>
        <v/>
      </c>
      <c r="C172" s="101" t="str">
        <f>IF('⑦ Controller-Firm Map'!A134="","",'⑦ Controller-Firm Map'!C134)</f>
        <v/>
      </c>
      <c r="D172" s="39" t="str">
        <f>IF('⑦ Controller-Firm Map'!A134="","",'⑦ Controller-Firm Map'!D134)</f>
        <v/>
      </c>
      <c r="E172" s="101" t="str">
        <f>IF('⑦ Controller-Firm Map'!A134="","",'⑦ Controller-Firm Map'!E134)</f>
        <v/>
      </c>
      <c r="F172" s="43" t="str">
        <f>IF('⑦ Controller-Firm Map'!A134="","",'⑦ Controller-Firm Map'!F134)</f>
        <v/>
      </c>
      <c r="G172" s="29" t="str">
        <f>IF('⑦ Controller-Firm Map'!A134="","",'⑦ Controller-Firm Map'!G134)</f>
        <v/>
      </c>
      <c r="H172" s="43" t="str">
        <f>IF('⑦ Controller-Firm Map'!A134="","",'⑦ Controller-Firm Map'!H134)</f>
        <v/>
      </c>
    </row>
    <row r="173" spans="1:8" ht="15" customHeight="1" x14ac:dyDescent="0.2">
      <c r="A173" s="101" t="str">
        <f>IF('⑦ Controller-Firm Map'!A135="","",'⑦ Controller-Firm Map'!A135)</f>
        <v/>
      </c>
      <c r="B173" s="101" t="str">
        <f>IF('⑦ Controller-Firm Map'!A135="","",'⑦ Controller-Firm Map'!B135)</f>
        <v/>
      </c>
      <c r="C173" s="101" t="str">
        <f>IF('⑦ Controller-Firm Map'!A135="","",'⑦ Controller-Firm Map'!C135)</f>
        <v/>
      </c>
      <c r="D173" s="39" t="str">
        <f>IF('⑦ Controller-Firm Map'!A135="","",'⑦ Controller-Firm Map'!D135)</f>
        <v/>
      </c>
      <c r="E173" s="101" t="str">
        <f>IF('⑦ Controller-Firm Map'!A135="","",'⑦ Controller-Firm Map'!E135)</f>
        <v/>
      </c>
      <c r="F173" s="43" t="str">
        <f>IF('⑦ Controller-Firm Map'!A135="","",'⑦ Controller-Firm Map'!F135)</f>
        <v/>
      </c>
      <c r="G173" s="29" t="str">
        <f>IF('⑦ Controller-Firm Map'!A135="","",'⑦ Controller-Firm Map'!G135)</f>
        <v/>
      </c>
      <c r="H173" s="43" t="str">
        <f>IF('⑦ Controller-Firm Map'!A135="","",'⑦ Controller-Firm Map'!H135)</f>
        <v/>
      </c>
    </row>
    <row r="174" spans="1:8" ht="15" customHeight="1" x14ac:dyDescent="0.2">
      <c r="A174" s="101" t="str">
        <f>IF('⑦ Controller-Firm Map'!A136="","",'⑦ Controller-Firm Map'!A136)</f>
        <v/>
      </c>
      <c r="B174" s="101" t="str">
        <f>IF('⑦ Controller-Firm Map'!A136="","",'⑦ Controller-Firm Map'!B136)</f>
        <v/>
      </c>
      <c r="C174" s="101" t="str">
        <f>IF('⑦ Controller-Firm Map'!A136="","",'⑦ Controller-Firm Map'!C136)</f>
        <v/>
      </c>
      <c r="D174" s="39" t="str">
        <f>IF('⑦ Controller-Firm Map'!A136="","",'⑦ Controller-Firm Map'!D136)</f>
        <v/>
      </c>
      <c r="E174" s="101" t="str">
        <f>IF('⑦ Controller-Firm Map'!A136="","",'⑦ Controller-Firm Map'!E136)</f>
        <v/>
      </c>
      <c r="F174" s="43" t="str">
        <f>IF('⑦ Controller-Firm Map'!A136="","",'⑦ Controller-Firm Map'!F136)</f>
        <v/>
      </c>
      <c r="G174" s="29" t="str">
        <f>IF('⑦ Controller-Firm Map'!A136="","",'⑦ Controller-Firm Map'!G136)</f>
        <v/>
      </c>
      <c r="H174" s="43" t="str">
        <f>IF('⑦ Controller-Firm Map'!A136="","",'⑦ Controller-Firm Map'!H136)</f>
        <v/>
      </c>
    </row>
    <row r="175" spans="1:8" ht="15" customHeight="1" x14ac:dyDescent="0.2">
      <c r="A175" s="101" t="str">
        <f>IF('⑦ Controller-Firm Map'!A137="","",'⑦ Controller-Firm Map'!A137)</f>
        <v/>
      </c>
      <c r="B175" s="101" t="str">
        <f>IF('⑦ Controller-Firm Map'!A137="","",'⑦ Controller-Firm Map'!B137)</f>
        <v/>
      </c>
      <c r="C175" s="101" t="str">
        <f>IF('⑦ Controller-Firm Map'!A137="","",'⑦ Controller-Firm Map'!C137)</f>
        <v/>
      </c>
      <c r="D175" s="39" t="str">
        <f>IF('⑦ Controller-Firm Map'!A137="","",'⑦ Controller-Firm Map'!D137)</f>
        <v/>
      </c>
      <c r="E175" s="101" t="str">
        <f>IF('⑦ Controller-Firm Map'!A137="","",'⑦ Controller-Firm Map'!E137)</f>
        <v/>
      </c>
      <c r="F175" s="43" t="str">
        <f>IF('⑦ Controller-Firm Map'!A137="","",'⑦ Controller-Firm Map'!F137)</f>
        <v/>
      </c>
      <c r="G175" s="29" t="str">
        <f>IF('⑦ Controller-Firm Map'!A137="","",'⑦ Controller-Firm Map'!G137)</f>
        <v/>
      </c>
      <c r="H175" s="43" t="str">
        <f>IF('⑦ Controller-Firm Map'!A137="","",'⑦ Controller-Firm Map'!H137)</f>
        <v/>
      </c>
    </row>
    <row r="176" spans="1:8" ht="15" customHeight="1" x14ac:dyDescent="0.2">
      <c r="A176" s="101" t="str">
        <f>IF('⑦ Controller-Firm Map'!A138="","",'⑦ Controller-Firm Map'!A138)</f>
        <v/>
      </c>
      <c r="B176" s="101" t="str">
        <f>IF('⑦ Controller-Firm Map'!A138="","",'⑦ Controller-Firm Map'!B138)</f>
        <v/>
      </c>
      <c r="C176" s="101" t="str">
        <f>IF('⑦ Controller-Firm Map'!A138="","",'⑦ Controller-Firm Map'!C138)</f>
        <v/>
      </c>
      <c r="D176" s="39" t="str">
        <f>IF('⑦ Controller-Firm Map'!A138="","",'⑦ Controller-Firm Map'!D138)</f>
        <v/>
      </c>
      <c r="E176" s="101" t="str">
        <f>IF('⑦ Controller-Firm Map'!A138="","",'⑦ Controller-Firm Map'!E138)</f>
        <v/>
      </c>
      <c r="F176" s="43" t="str">
        <f>IF('⑦ Controller-Firm Map'!A138="","",'⑦ Controller-Firm Map'!F138)</f>
        <v/>
      </c>
      <c r="G176" s="29" t="str">
        <f>IF('⑦ Controller-Firm Map'!A138="","",'⑦ Controller-Firm Map'!G138)</f>
        <v/>
      </c>
      <c r="H176" s="43" t="str">
        <f>IF('⑦ Controller-Firm Map'!A138="","",'⑦ Controller-Firm Map'!H138)</f>
        <v/>
      </c>
    </row>
    <row r="177" spans="1:8" ht="15" customHeight="1" x14ac:dyDescent="0.2">
      <c r="A177" s="101" t="str">
        <f>IF('⑦ Controller-Firm Map'!A139="","",'⑦ Controller-Firm Map'!A139)</f>
        <v/>
      </c>
      <c r="B177" s="101" t="str">
        <f>IF('⑦ Controller-Firm Map'!A139="","",'⑦ Controller-Firm Map'!B139)</f>
        <v/>
      </c>
      <c r="C177" s="101" t="str">
        <f>IF('⑦ Controller-Firm Map'!A139="","",'⑦ Controller-Firm Map'!C139)</f>
        <v/>
      </c>
      <c r="D177" s="39" t="str">
        <f>IF('⑦ Controller-Firm Map'!A139="","",'⑦ Controller-Firm Map'!D139)</f>
        <v/>
      </c>
      <c r="E177" s="101" t="str">
        <f>IF('⑦ Controller-Firm Map'!A139="","",'⑦ Controller-Firm Map'!E139)</f>
        <v/>
      </c>
      <c r="F177" s="43" t="str">
        <f>IF('⑦ Controller-Firm Map'!A139="","",'⑦ Controller-Firm Map'!F139)</f>
        <v/>
      </c>
      <c r="G177" s="29" t="str">
        <f>IF('⑦ Controller-Firm Map'!A139="","",'⑦ Controller-Firm Map'!G139)</f>
        <v/>
      </c>
      <c r="H177" s="43" t="str">
        <f>IF('⑦ Controller-Firm Map'!A139="","",'⑦ Controller-Firm Map'!H139)</f>
        <v/>
      </c>
    </row>
    <row r="178" spans="1:8" ht="15" customHeight="1" x14ac:dyDescent="0.2">
      <c r="A178" s="101" t="str">
        <f>IF('⑦ Controller-Firm Map'!A140="","",'⑦ Controller-Firm Map'!A140)</f>
        <v/>
      </c>
      <c r="B178" s="101" t="str">
        <f>IF('⑦ Controller-Firm Map'!A140="","",'⑦ Controller-Firm Map'!B140)</f>
        <v/>
      </c>
      <c r="C178" s="101" t="str">
        <f>IF('⑦ Controller-Firm Map'!A140="","",'⑦ Controller-Firm Map'!C140)</f>
        <v/>
      </c>
      <c r="D178" s="39" t="str">
        <f>IF('⑦ Controller-Firm Map'!A140="","",'⑦ Controller-Firm Map'!D140)</f>
        <v/>
      </c>
      <c r="E178" s="101" t="str">
        <f>IF('⑦ Controller-Firm Map'!A140="","",'⑦ Controller-Firm Map'!E140)</f>
        <v/>
      </c>
      <c r="F178" s="43" t="str">
        <f>IF('⑦ Controller-Firm Map'!A140="","",'⑦ Controller-Firm Map'!F140)</f>
        <v/>
      </c>
      <c r="G178" s="29" t="str">
        <f>IF('⑦ Controller-Firm Map'!A140="","",'⑦ Controller-Firm Map'!G140)</f>
        <v/>
      </c>
      <c r="H178" s="43" t="str">
        <f>IF('⑦ Controller-Firm Map'!A140="","",'⑦ Controller-Firm Map'!H140)</f>
        <v/>
      </c>
    </row>
    <row r="179" spans="1:8" ht="15" customHeight="1" x14ac:dyDescent="0.2">
      <c r="A179" s="101" t="str">
        <f>IF('⑦ Controller-Firm Map'!A141="","",'⑦ Controller-Firm Map'!A141)</f>
        <v/>
      </c>
      <c r="B179" s="101" t="str">
        <f>IF('⑦ Controller-Firm Map'!A141="","",'⑦ Controller-Firm Map'!B141)</f>
        <v/>
      </c>
      <c r="C179" s="101" t="str">
        <f>IF('⑦ Controller-Firm Map'!A141="","",'⑦ Controller-Firm Map'!C141)</f>
        <v/>
      </c>
      <c r="D179" s="39" t="str">
        <f>IF('⑦ Controller-Firm Map'!A141="","",'⑦ Controller-Firm Map'!D141)</f>
        <v/>
      </c>
      <c r="E179" s="101" t="str">
        <f>IF('⑦ Controller-Firm Map'!A141="","",'⑦ Controller-Firm Map'!E141)</f>
        <v/>
      </c>
      <c r="F179" s="43" t="str">
        <f>IF('⑦ Controller-Firm Map'!A141="","",'⑦ Controller-Firm Map'!F141)</f>
        <v/>
      </c>
      <c r="G179" s="29" t="str">
        <f>IF('⑦ Controller-Firm Map'!A141="","",'⑦ Controller-Firm Map'!G141)</f>
        <v/>
      </c>
      <c r="H179" s="43" t="str">
        <f>IF('⑦ Controller-Firm Map'!A141="","",'⑦ Controller-Firm Map'!H141)</f>
        <v/>
      </c>
    </row>
    <row r="180" spans="1:8" ht="15" customHeight="1" x14ac:dyDescent="0.2">
      <c r="A180" s="101" t="str">
        <f>IF('⑦ Controller-Firm Map'!A142="","",'⑦ Controller-Firm Map'!A142)</f>
        <v/>
      </c>
      <c r="B180" s="101" t="str">
        <f>IF('⑦ Controller-Firm Map'!A142="","",'⑦ Controller-Firm Map'!B142)</f>
        <v/>
      </c>
      <c r="C180" s="101" t="str">
        <f>IF('⑦ Controller-Firm Map'!A142="","",'⑦ Controller-Firm Map'!C142)</f>
        <v/>
      </c>
      <c r="D180" s="39" t="str">
        <f>IF('⑦ Controller-Firm Map'!A142="","",'⑦ Controller-Firm Map'!D142)</f>
        <v/>
      </c>
      <c r="E180" s="101" t="str">
        <f>IF('⑦ Controller-Firm Map'!A142="","",'⑦ Controller-Firm Map'!E142)</f>
        <v/>
      </c>
      <c r="F180" s="43" t="str">
        <f>IF('⑦ Controller-Firm Map'!A142="","",'⑦ Controller-Firm Map'!F142)</f>
        <v/>
      </c>
      <c r="G180" s="29" t="str">
        <f>IF('⑦ Controller-Firm Map'!A142="","",'⑦ Controller-Firm Map'!G142)</f>
        <v/>
      </c>
      <c r="H180" s="43" t="str">
        <f>IF('⑦ Controller-Firm Map'!A142="","",'⑦ Controller-Firm Map'!H142)</f>
        <v/>
      </c>
    </row>
    <row r="181" spans="1:8" ht="15" customHeight="1" x14ac:dyDescent="0.2">
      <c r="A181" s="101" t="str">
        <f>IF('⑦ Controller-Firm Map'!A143="","",'⑦ Controller-Firm Map'!A143)</f>
        <v/>
      </c>
      <c r="B181" s="101" t="str">
        <f>IF('⑦ Controller-Firm Map'!A143="","",'⑦ Controller-Firm Map'!B143)</f>
        <v/>
      </c>
      <c r="C181" s="101" t="str">
        <f>IF('⑦ Controller-Firm Map'!A143="","",'⑦ Controller-Firm Map'!C143)</f>
        <v/>
      </c>
      <c r="D181" s="39" t="str">
        <f>IF('⑦ Controller-Firm Map'!A143="","",'⑦ Controller-Firm Map'!D143)</f>
        <v/>
      </c>
      <c r="E181" s="101" t="str">
        <f>IF('⑦ Controller-Firm Map'!A143="","",'⑦ Controller-Firm Map'!E143)</f>
        <v/>
      </c>
      <c r="F181" s="43" t="str">
        <f>IF('⑦ Controller-Firm Map'!A143="","",'⑦ Controller-Firm Map'!F143)</f>
        <v/>
      </c>
      <c r="G181" s="29" t="str">
        <f>IF('⑦ Controller-Firm Map'!A143="","",'⑦ Controller-Firm Map'!G143)</f>
        <v/>
      </c>
      <c r="H181" s="43" t="str">
        <f>IF('⑦ Controller-Firm Map'!A143="","",'⑦ Controller-Firm Map'!H143)</f>
        <v/>
      </c>
    </row>
    <row r="182" spans="1:8" ht="15" customHeight="1" x14ac:dyDescent="0.2">
      <c r="A182" s="101" t="str">
        <f>IF('⑦ Controller-Firm Map'!A144="","",'⑦ Controller-Firm Map'!A144)</f>
        <v/>
      </c>
      <c r="B182" s="101" t="str">
        <f>IF('⑦ Controller-Firm Map'!A144="","",'⑦ Controller-Firm Map'!B144)</f>
        <v/>
      </c>
      <c r="C182" s="101" t="str">
        <f>IF('⑦ Controller-Firm Map'!A144="","",'⑦ Controller-Firm Map'!C144)</f>
        <v/>
      </c>
      <c r="D182" s="39" t="str">
        <f>IF('⑦ Controller-Firm Map'!A144="","",'⑦ Controller-Firm Map'!D144)</f>
        <v/>
      </c>
      <c r="E182" s="101" t="str">
        <f>IF('⑦ Controller-Firm Map'!A144="","",'⑦ Controller-Firm Map'!E144)</f>
        <v/>
      </c>
      <c r="F182" s="43" t="str">
        <f>IF('⑦ Controller-Firm Map'!A144="","",'⑦ Controller-Firm Map'!F144)</f>
        <v/>
      </c>
      <c r="G182" s="29" t="str">
        <f>IF('⑦ Controller-Firm Map'!A144="","",'⑦ Controller-Firm Map'!G144)</f>
        <v/>
      </c>
      <c r="H182" s="43" t="str">
        <f>IF('⑦ Controller-Firm Map'!A144="","",'⑦ Controller-Firm Map'!H144)</f>
        <v/>
      </c>
    </row>
    <row r="183" spans="1:8" ht="15" customHeight="1" x14ac:dyDescent="0.2">
      <c r="A183" s="101" t="str">
        <f>IF('⑦ Controller-Firm Map'!A145="","",'⑦ Controller-Firm Map'!A145)</f>
        <v/>
      </c>
      <c r="B183" s="101" t="str">
        <f>IF('⑦ Controller-Firm Map'!A145="","",'⑦ Controller-Firm Map'!B145)</f>
        <v/>
      </c>
      <c r="C183" s="101" t="str">
        <f>IF('⑦ Controller-Firm Map'!A145="","",'⑦ Controller-Firm Map'!C145)</f>
        <v/>
      </c>
      <c r="D183" s="39" t="str">
        <f>IF('⑦ Controller-Firm Map'!A145="","",'⑦ Controller-Firm Map'!D145)</f>
        <v/>
      </c>
      <c r="E183" s="101" t="str">
        <f>IF('⑦ Controller-Firm Map'!A145="","",'⑦ Controller-Firm Map'!E145)</f>
        <v/>
      </c>
      <c r="F183" s="43" t="str">
        <f>IF('⑦ Controller-Firm Map'!A145="","",'⑦ Controller-Firm Map'!F145)</f>
        <v/>
      </c>
      <c r="G183" s="29" t="str">
        <f>IF('⑦ Controller-Firm Map'!A145="","",'⑦ Controller-Firm Map'!G145)</f>
        <v/>
      </c>
      <c r="H183" s="43" t="str">
        <f>IF('⑦ Controller-Firm Map'!A145="","",'⑦ Controller-Firm Map'!H145)</f>
        <v/>
      </c>
    </row>
    <row r="184" spans="1:8" ht="15" customHeight="1" x14ac:dyDescent="0.2">
      <c r="A184" s="101" t="str">
        <f>IF('⑦ Controller-Firm Map'!A146="","",'⑦ Controller-Firm Map'!A146)</f>
        <v/>
      </c>
      <c r="B184" s="101" t="str">
        <f>IF('⑦ Controller-Firm Map'!A146="","",'⑦ Controller-Firm Map'!B146)</f>
        <v/>
      </c>
      <c r="C184" s="101" t="str">
        <f>IF('⑦ Controller-Firm Map'!A146="","",'⑦ Controller-Firm Map'!C146)</f>
        <v/>
      </c>
      <c r="D184" s="39" t="str">
        <f>IF('⑦ Controller-Firm Map'!A146="","",'⑦ Controller-Firm Map'!D146)</f>
        <v/>
      </c>
      <c r="E184" s="101" t="str">
        <f>IF('⑦ Controller-Firm Map'!A146="","",'⑦ Controller-Firm Map'!E146)</f>
        <v/>
      </c>
      <c r="F184" s="43" t="str">
        <f>IF('⑦ Controller-Firm Map'!A146="","",'⑦ Controller-Firm Map'!F146)</f>
        <v/>
      </c>
      <c r="G184" s="29" t="str">
        <f>IF('⑦ Controller-Firm Map'!A146="","",'⑦ Controller-Firm Map'!G146)</f>
        <v/>
      </c>
      <c r="H184" s="43" t="str">
        <f>IF('⑦ Controller-Firm Map'!A146="","",'⑦ Controller-Firm Map'!H146)</f>
        <v/>
      </c>
    </row>
    <row r="185" spans="1:8" ht="15" customHeight="1" x14ac:dyDescent="0.2">
      <c r="A185" s="101" t="str">
        <f>IF('⑦ Controller-Firm Map'!A147="","",'⑦ Controller-Firm Map'!A147)</f>
        <v/>
      </c>
      <c r="B185" s="101" t="str">
        <f>IF('⑦ Controller-Firm Map'!A147="","",'⑦ Controller-Firm Map'!B147)</f>
        <v/>
      </c>
      <c r="C185" s="101" t="str">
        <f>IF('⑦ Controller-Firm Map'!A147="","",'⑦ Controller-Firm Map'!C147)</f>
        <v/>
      </c>
      <c r="D185" s="39" t="str">
        <f>IF('⑦ Controller-Firm Map'!A147="","",'⑦ Controller-Firm Map'!D147)</f>
        <v/>
      </c>
      <c r="E185" s="101" t="str">
        <f>IF('⑦ Controller-Firm Map'!A147="","",'⑦ Controller-Firm Map'!E147)</f>
        <v/>
      </c>
      <c r="F185" s="43" t="str">
        <f>IF('⑦ Controller-Firm Map'!A147="","",'⑦ Controller-Firm Map'!F147)</f>
        <v/>
      </c>
      <c r="G185" s="29" t="str">
        <f>IF('⑦ Controller-Firm Map'!A147="","",'⑦ Controller-Firm Map'!G147)</f>
        <v/>
      </c>
      <c r="H185" s="43" t="str">
        <f>IF('⑦ Controller-Firm Map'!A147="","",'⑦ Controller-Firm Map'!H147)</f>
        <v/>
      </c>
    </row>
    <row r="186" spans="1:8" ht="15" customHeight="1" x14ac:dyDescent="0.2">
      <c r="A186" s="101" t="str">
        <f>IF('⑦ Controller-Firm Map'!A148="","",'⑦ Controller-Firm Map'!A148)</f>
        <v/>
      </c>
      <c r="B186" s="101" t="str">
        <f>IF('⑦ Controller-Firm Map'!A148="","",'⑦ Controller-Firm Map'!B148)</f>
        <v/>
      </c>
      <c r="C186" s="101" t="str">
        <f>IF('⑦ Controller-Firm Map'!A148="","",'⑦ Controller-Firm Map'!C148)</f>
        <v/>
      </c>
      <c r="D186" s="39" t="str">
        <f>IF('⑦ Controller-Firm Map'!A148="","",'⑦ Controller-Firm Map'!D148)</f>
        <v/>
      </c>
      <c r="E186" s="101" t="str">
        <f>IF('⑦ Controller-Firm Map'!A148="","",'⑦ Controller-Firm Map'!E148)</f>
        <v/>
      </c>
      <c r="F186" s="43" t="str">
        <f>IF('⑦ Controller-Firm Map'!A148="","",'⑦ Controller-Firm Map'!F148)</f>
        <v/>
      </c>
      <c r="G186" s="29" t="str">
        <f>IF('⑦ Controller-Firm Map'!A148="","",'⑦ Controller-Firm Map'!G148)</f>
        <v/>
      </c>
      <c r="H186" s="43" t="str">
        <f>IF('⑦ Controller-Firm Map'!A148="","",'⑦ Controller-Firm Map'!H148)</f>
        <v/>
      </c>
    </row>
    <row r="187" spans="1:8" ht="15" customHeight="1" x14ac:dyDescent="0.2">
      <c r="A187" s="101" t="str">
        <f>IF('⑦ Controller-Firm Map'!A149="","",'⑦ Controller-Firm Map'!A149)</f>
        <v/>
      </c>
      <c r="B187" s="101" t="str">
        <f>IF('⑦ Controller-Firm Map'!A149="","",'⑦ Controller-Firm Map'!B149)</f>
        <v/>
      </c>
      <c r="C187" s="101" t="str">
        <f>IF('⑦ Controller-Firm Map'!A149="","",'⑦ Controller-Firm Map'!C149)</f>
        <v/>
      </c>
      <c r="D187" s="39" t="str">
        <f>IF('⑦ Controller-Firm Map'!A149="","",'⑦ Controller-Firm Map'!D149)</f>
        <v/>
      </c>
      <c r="E187" s="101" t="str">
        <f>IF('⑦ Controller-Firm Map'!A149="","",'⑦ Controller-Firm Map'!E149)</f>
        <v/>
      </c>
      <c r="F187" s="43" t="str">
        <f>IF('⑦ Controller-Firm Map'!A149="","",'⑦ Controller-Firm Map'!F149)</f>
        <v/>
      </c>
      <c r="G187" s="29" t="str">
        <f>IF('⑦ Controller-Firm Map'!A149="","",'⑦ Controller-Firm Map'!G149)</f>
        <v/>
      </c>
      <c r="H187" s="43" t="str">
        <f>IF('⑦ Controller-Firm Map'!A149="","",'⑦ Controller-Firm Map'!H149)</f>
        <v/>
      </c>
    </row>
    <row r="188" spans="1:8" ht="15" customHeight="1" x14ac:dyDescent="0.2">
      <c r="A188" s="101" t="str">
        <f>IF('⑦ Controller-Firm Map'!A150="","",'⑦ Controller-Firm Map'!A150)</f>
        <v/>
      </c>
      <c r="B188" s="101" t="str">
        <f>IF('⑦ Controller-Firm Map'!A150="","",'⑦ Controller-Firm Map'!B150)</f>
        <v/>
      </c>
      <c r="C188" s="101" t="str">
        <f>IF('⑦ Controller-Firm Map'!A150="","",'⑦ Controller-Firm Map'!C150)</f>
        <v/>
      </c>
      <c r="D188" s="39" t="str">
        <f>IF('⑦ Controller-Firm Map'!A150="","",'⑦ Controller-Firm Map'!D150)</f>
        <v/>
      </c>
      <c r="E188" s="101" t="str">
        <f>IF('⑦ Controller-Firm Map'!A150="","",'⑦ Controller-Firm Map'!E150)</f>
        <v/>
      </c>
      <c r="F188" s="43" t="str">
        <f>IF('⑦ Controller-Firm Map'!A150="","",'⑦ Controller-Firm Map'!F150)</f>
        <v/>
      </c>
      <c r="G188" s="29" t="str">
        <f>IF('⑦ Controller-Firm Map'!A150="","",'⑦ Controller-Firm Map'!G150)</f>
        <v/>
      </c>
      <c r="H188" s="43" t="str">
        <f>IF('⑦ Controller-Firm Map'!A150="","",'⑦ Controller-Firm Map'!H150)</f>
        <v/>
      </c>
    </row>
    <row r="189" spans="1:8" ht="15" customHeight="1" x14ac:dyDescent="0.2">
      <c r="A189" s="101" t="str">
        <f>IF('⑦ Controller-Firm Map'!A151="","",'⑦ Controller-Firm Map'!A151)</f>
        <v/>
      </c>
      <c r="B189" s="101" t="str">
        <f>IF('⑦ Controller-Firm Map'!A151="","",'⑦ Controller-Firm Map'!B151)</f>
        <v/>
      </c>
      <c r="C189" s="101" t="str">
        <f>IF('⑦ Controller-Firm Map'!A151="","",'⑦ Controller-Firm Map'!C151)</f>
        <v/>
      </c>
      <c r="D189" s="39" t="str">
        <f>IF('⑦ Controller-Firm Map'!A151="","",'⑦ Controller-Firm Map'!D151)</f>
        <v/>
      </c>
      <c r="E189" s="101" t="str">
        <f>IF('⑦ Controller-Firm Map'!A151="","",'⑦ Controller-Firm Map'!E151)</f>
        <v/>
      </c>
      <c r="F189" s="43" t="str">
        <f>IF('⑦ Controller-Firm Map'!A151="","",'⑦ Controller-Firm Map'!F151)</f>
        <v/>
      </c>
      <c r="G189" s="29" t="str">
        <f>IF('⑦ Controller-Firm Map'!A151="","",'⑦ Controller-Firm Map'!G151)</f>
        <v/>
      </c>
      <c r="H189" s="43" t="str">
        <f>IF('⑦ Controller-Firm Map'!A151="","",'⑦ Controller-Firm Map'!H151)</f>
        <v/>
      </c>
    </row>
    <row r="190" spans="1:8" ht="15" customHeight="1" x14ac:dyDescent="0.2">
      <c r="A190" s="101" t="str">
        <f>IF('⑦ Controller-Firm Map'!A152="","",'⑦ Controller-Firm Map'!A152)</f>
        <v/>
      </c>
      <c r="B190" s="101" t="str">
        <f>IF('⑦ Controller-Firm Map'!A152="","",'⑦ Controller-Firm Map'!B152)</f>
        <v/>
      </c>
      <c r="C190" s="101" t="str">
        <f>IF('⑦ Controller-Firm Map'!A152="","",'⑦ Controller-Firm Map'!C152)</f>
        <v/>
      </c>
      <c r="D190" s="39" t="str">
        <f>IF('⑦ Controller-Firm Map'!A152="","",'⑦ Controller-Firm Map'!D152)</f>
        <v/>
      </c>
      <c r="E190" s="101" t="str">
        <f>IF('⑦ Controller-Firm Map'!A152="","",'⑦ Controller-Firm Map'!E152)</f>
        <v/>
      </c>
      <c r="F190" s="43" t="str">
        <f>IF('⑦ Controller-Firm Map'!A152="","",'⑦ Controller-Firm Map'!F152)</f>
        <v/>
      </c>
      <c r="G190" s="29" t="str">
        <f>IF('⑦ Controller-Firm Map'!A152="","",'⑦ Controller-Firm Map'!G152)</f>
        <v/>
      </c>
      <c r="H190" s="43" t="str">
        <f>IF('⑦ Controller-Firm Map'!A152="","",'⑦ Controller-Firm Map'!H152)</f>
        <v/>
      </c>
    </row>
    <row r="191" spans="1:8" ht="15" customHeight="1" x14ac:dyDescent="0.2">
      <c r="A191" s="101" t="str">
        <f>IF('⑦ Controller-Firm Map'!A153="","",'⑦ Controller-Firm Map'!A153)</f>
        <v/>
      </c>
      <c r="B191" s="101" t="str">
        <f>IF('⑦ Controller-Firm Map'!A153="","",'⑦ Controller-Firm Map'!B153)</f>
        <v/>
      </c>
      <c r="C191" s="101" t="str">
        <f>IF('⑦ Controller-Firm Map'!A153="","",'⑦ Controller-Firm Map'!C153)</f>
        <v/>
      </c>
      <c r="D191" s="39" t="str">
        <f>IF('⑦ Controller-Firm Map'!A153="","",'⑦ Controller-Firm Map'!D153)</f>
        <v/>
      </c>
      <c r="E191" s="101" t="str">
        <f>IF('⑦ Controller-Firm Map'!A153="","",'⑦ Controller-Firm Map'!E153)</f>
        <v/>
      </c>
      <c r="F191" s="43" t="str">
        <f>IF('⑦ Controller-Firm Map'!A153="","",'⑦ Controller-Firm Map'!F153)</f>
        <v/>
      </c>
      <c r="G191" s="29" t="str">
        <f>IF('⑦ Controller-Firm Map'!A153="","",'⑦ Controller-Firm Map'!G153)</f>
        <v/>
      </c>
      <c r="H191" s="43" t="str">
        <f>IF('⑦ Controller-Firm Map'!A153="","",'⑦ Controller-Firm Map'!H153)</f>
        <v/>
      </c>
    </row>
  </sheetData>
  <mergeCells count="4">
    <mergeCell ref="A1:V1"/>
    <mergeCell ref="A2:V2"/>
    <mergeCell ref="A31:F31"/>
    <mergeCell ref="A40:H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6D00"/>
  </sheetPr>
  <dimension ref="A1:AH213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/>
    </sheetView>
  </sheetViews>
  <sheetFormatPr baseColWidth="10" defaultColWidth="8.6640625" defaultRowHeight="15" customHeight="1" x14ac:dyDescent="0.2"/>
  <cols>
    <col min="1" max="1" width="5" customWidth="1"/>
    <col min="2" max="2" width="18" customWidth="1"/>
    <col min="3" max="3" width="10" customWidth="1"/>
    <col min="4" max="4" width="16" customWidth="1"/>
    <col min="5" max="5" width="14" customWidth="1"/>
    <col min="6" max="6" width="8" customWidth="1"/>
    <col min="7" max="9" width="10" customWidth="1"/>
    <col min="10" max="10" width="9" customWidth="1"/>
    <col min="11" max="12" width="10" customWidth="1"/>
    <col min="13" max="15" width="9" customWidth="1"/>
    <col min="16" max="16" width="8" customWidth="1"/>
    <col min="17" max="17" width="10" customWidth="1"/>
    <col min="18" max="18" width="11" customWidth="1"/>
    <col min="19" max="22" width="10" customWidth="1"/>
    <col min="23" max="23" width="12" customWidth="1"/>
    <col min="24" max="28" width="10" customWidth="1"/>
    <col min="29" max="29" width="16" customWidth="1"/>
    <col min="30" max="30" width="12" customWidth="1"/>
    <col min="31" max="31" width="10" customWidth="1"/>
    <col min="32" max="33" width="12" customWidth="1"/>
    <col min="34" max="34" width="14" customWidth="1"/>
  </cols>
  <sheetData>
    <row r="1" spans="1:34" ht="17.25" customHeight="1" x14ac:dyDescent="0.2">
      <c r="A1" s="154" t="s">
        <v>949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spans="1:34" ht="15" customHeight="1" x14ac:dyDescent="0.2">
      <c r="A2" s="145" t="s">
        <v>950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34" ht="45.75" customHeight="1" x14ac:dyDescent="0.2">
      <c r="A3" s="12" t="s">
        <v>694</v>
      </c>
      <c r="B3" s="12" t="s">
        <v>63</v>
      </c>
      <c r="C3" s="12" t="s">
        <v>812</v>
      </c>
      <c r="D3" s="12" t="s">
        <v>68</v>
      </c>
      <c r="E3" s="12" t="s">
        <v>66</v>
      </c>
      <c r="F3" s="12" t="s">
        <v>824</v>
      </c>
      <c r="G3" s="89" t="s">
        <v>951</v>
      </c>
      <c r="H3" s="89" t="s">
        <v>952</v>
      </c>
      <c r="I3" s="89" t="s">
        <v>953</v>
      </c>
      <c r="J3" s="89" t="s">
        <v>954</v>
      </c>
      <c r="K3" s="89" t="s">
        <v>955</v>
      </c>
      <c r="L3" s="89" t="s">
        <v>956</v>
      </c>
      <c r="M3" s="89" t="s">
        <v>817</v>
      </c>
      <c r="N3" s="89" t="s">
        <v>957</v>
      </c>
      <c r="O3" s="89" t="s">
        <v>958</v>
      </c>
      <c r="P3" s="89" t="s">
        <v>959</v>
      </c>
      <c r="Q3" s="89" t="s">
        <v>960</v>
      </c>
      <c r="R3" s="89" t="s">
        <v>961</v>
      </c>
      <c r="S3" s="91" t="s">
        <v>962</v>
      </c>
      <c r="T3" s="91" t="s">
        <v>963</v>
      </c>
      <c r="U3" s="91" t="s">
        <v>964</v>
      </c>
      <c r="V3" s="91" t="s">
        <v>965</v>
      </c>
      <c r="W3" s="91" t="s">
        <v>966</v>
      </c>
      <c r="X3" s="91" t="s">
        <v>967</v>
      </c>
      <c r="Y3" s="91" t="s">
        <v>968</v>
      </c>
      <c r="Z3" s="91" t="s">
        <v>969</v>
      </c>
      <c r="AA3" s="102" t="s">
        <v>970</v>
      </c>
      <c r="AB3" s="102" t="s">
        <v>971</v>
      </c>
      <c r="AC3" s="102" t="s">
        <v>972</v>
      </c>
      <c r="AD3" s="102" t="s">
        <v>973</v>
      </c>
      <c r="AE3" s="102" t="s">
        <v>46</v>
      </c>
      <c r="AF3" s="102" t="s">
        <v>974</v>
      </c>
      <c r="AG3" s="102" t="s">
        <v>975</v>
      </c>
      <c r="AH3" s="102" t="s">
        <v>976</v>
      </c>
    </row>
    <row r="4" spans="1:34" ht="23.25" customHeight="1" x14ac:dyDescent="0.2">
      <c r="A4" s="27">
        <f>IF('Employee Master'!B4="","",ROW()-3)</f>
        <v>1</v>
      </c>
      <c r="B4" s="27" t="str">
        <f>IF('Employee Master'!B4="","",'Employee Master'!C4)</f>
        <v>Ankit</v>
      </c>
      <c r="C4" s="27" t="str">
        <f>IF('Employee Master'!B4="","",'Employee Master'!D4)</f>
        <v>In-house</v>
      </c>
      <c r="D4" s="27" t="str">
        <f>IF('Employee Master'!B4="","",'Employee Master'!E4)</f>
        <v>Associate</v>
      </c>
      <c r="E4" s="27" t="str">
        <f>IF('Employee Master'!B4="","",'Employee Master'!G4)</f>
        <v>Jasleen.D</v>
      </c>
      <c r="F4" s="51">
        <f>IF('Employee Master'!B4="","",'⑥ Annual Performance'!R4)</f>
        <v>12</v>
      </c>
      <c r="G4" s="103">
        <f>IF('Employee Master'!B4="","",'⑥ Annual Performance'!J4)</f>
        <v>6.6250000000000003E-2</v>
      </c>
      <c r="H4" s="104">
        <f>IF('Employee Master'!B4="","",IF(G4&gt;=0.85,15,IF(G4&gt;=0.7,12,IF(G4&gt;=0.55,9,IF(G4&gt;=0.4,6,3)))))</f>
        <v>3</v>
      </c>
      <c r="I4" s="103">
        <f>IF('Employee Master'!B4="","",'⑥ Annual Performance'!Q4)</f>
        <v>0</v>
      </c>
      <c r="J4" s="104">
        <f>IF('Employee Master'!B4="","",IF(I4&gt;=0.98,10,IF(I4&gt;=0.95,8,IF(I4&gt;=0.9,6,IF(I4&gt;=0.85,4,2)))))</f>
        <v>2</v>
      </c>
      <c r="K4" s="105">
        <f>IF('Employee Master'!B4="","",'⑥ Annual Performance'!N4)</f>
        <v>0</v>
      </c>
      <c r="L4" s="104">
        <f>IF('Employee Master'!B4="","",IF(K4&gt;=1000,10,IF(K4&gt;=750,8,IF(K4&gt;=500,6,IF(K4&gt;=250,4,2)))))</f>
        <v>2</v>
      </c>
      <c r="M4" s="105">
        <f>IF('Employee Master'!B4="","",'⑥ Annual Performance'!K4)</f>
        <v>3</v>
      </c>
      <c r="N4" s="106">
        <f>IF('Employee Master'!B4="","",'⑥ Annual Performance'!L4)</f>
        <v>3.5</v>
      </c>
      <c r="O4" s="104">
        <f>IF('Employee Master'!B4="","",MIN(N4*2,10))</f>
        <v>7</v>
      </c>
      <c r="P4" s="104">
        <f>IF('Employee Master'!B4="","",IF(F4&gt;=36,5,IF(F4&gt;=24,4,IF(F4&gt;=12,3,IF(F4&gt;=6,2,1)))))</f>
        <v>3</v>
      </c>
      <c r="Q4" s="104">
        <f>IF('Employee Master'!B4="","",IF(D4="Sr. Controller",10,IF(D4="Coo",10,IF(D4="Controller",9,IF(D4="Asst. Controller",8,IF(D4="Sr. Manager",8,IF(D4="Manager",7,IF(D4="Asst. Manager",6,IF(D4="Team Lead",7,IF(D4="Asst. Team Lead",5,IF(D4="Sr. Associate",4,IF(D4="Associate",3,IF(D4="Full Stack Developer",5,IF(D4="Project Manager (S/W)",6,IF(D4="Marketing",4,4)))))))))))))))</f>
        <v>3</v>
      </c>
      <c r="R4" s="107">
        <f>IF('Employee Master'!B4="","",H4+J4+L4+O4+P4+Q4)</f>
        <v>20</v>
      </c>
      <c r="S4" s="108">
        <f>IF('Employee Master'!B4="","",3)</f>
        <v>3</v>
      </c>
      <c r="T4" s="104">
        <f>IF('Employee Master'!B4="","",MIN(S4*2,10))</f>
        <v>6</v>
      </c>
      <c r="U4" s="108">
        <f>IF('Employee Master'!B4="","",3)</f>
        <v>3</v>
      </c>
      <c r="V4" s="104">
        <f>IF('Employee Master'!B4="","",MIN(U4*2,10))</f>
        <v>6</v>
      </c>
      <c r="W4" s="108">
        <f>IF('Employee Master'!B4="","",3)</f>
        <v>3</v>
      </c>
      <c r="X4" s="104">
        <f>IF('Employee Master'!B4="","",MIN(W4*2,10))</f>
        <v>6</v>
      </c>
      <c r="Y4" s="108">
        <f>IF('Employee Master'!B4="","",3)</f>
        <v>3</v>
      </c>
      <c r="Z4" s="104">
        <f>IF('Employee Master'!B4="","",MIN(Y4*2,10))</f>
        <v>6</v>
      </c>
      <c r="AA4" s="109">
        <f>IF('Employee Master'!B4="","",T4+V4+X4+Z4)</f>
        <v>24</v>
      </c>
      <c r="AB4" s="110">
        <f>IF('Employee Master'!B4="","",R4+AA4)</f>
        <v>44</v>
      </c>
      <c r="AC4" s="27" t="str">
        <f>IF('Employee Master'!B4="","",IF(AB4&gt;=85,"Exceptional",IF(AB4&gt;=70,"High Performer",IF(AB4&gt;=50,"Meets Expectations",IF(AB4&gt;=30,"Below Expectations","Underperformer")))))</f>
        <v>Below Expectations</v>
      </c>
      <c r="AD4" s="51">
        <f>IF('Employee Master'!B4="","",'Employee Master'!M4)</f>
        <v>60000</v>
      </c>
      <c r="AE4" s="52">
        <f>IF('Employee Master'!B4="","",IF(AB4&gt;=85,Settings!B31,IF(AB4&gt;=70,Settings!B32,IF(AB4&gt;=50,Settings!B33,IF(AB4&gt;=30,Settings!B34,Settings!B35)))))</f>
        <v>0.03</v>
      </c>
      <c r="AF4" s="51">
        <f>IF('Employee Master'!B4="","",AD4*(1+AE4))</f>
        <v>61800</v>
      </c>
      <c r="AG4" s="51">
        <f>IF('Employee Master'!B4="","",AF4-AD4)</f>
        <v>1800</v>
      </c>
      <c r="AH4" s="51">
        <f>IF('Employee Master'!B4="","",AG4*12)</f>
        <v>21600</v>
      </c>
    </row>
    <row r="5" spans="1:34" ht="23.25" customHeight="1" x14ac:dyDescent="0.2">
      <c r="A5" s="27">
        <f>IF('Employee Master'!B5="","",ROW()-3)</f>
        <v>2</v>
      </c>
      <c r="B5" s="27" t="str">
        <f>IF('Employee Master'!B5="","",'Employee Master'!C5)</f>
        <v>Astha.D</v>
      </c>
      <c r="C5" s="27" t="str">
        <f>IF('Employee Master'!B5="","",'Employee Master'!D5)</f>
        <v>In-house</v>
      </c>
      <c r="D5" s="27" t="str">
        <f>IF('Employee Master'!B5="","",'Employee Master'!E5)</f>
        <v>Associate</v>
      </c>
      <c r="E5" s="27" t="str">
        <f>IF('Employee Master'!B5="","",'Employee Master'!G5)</f>
        <v>Jasleen.D</v>
      </c>
      <c r="F5" s="51">
        <f>IF('Employee Master'!B5="","",'⑥ Annual Performance'!R5)</f>
        <v>12</v>
      </c>
      <c r="G5" s="103">
        <f>IF('Employee Master'!B5="","",'⑥ Annual Performance'!J5)</f>
        <v>7.8020833333333345E-2</v>
      </c>
      <c r="H5" s="104">
        <f>IF('Employee Master'!B5="","",IF(G5&gt;=0.85,15,IF(G5&gt;=0.7,12,IF(G5&gt;=0.55,9,IF(G5&gt;=0.4,6,3)))))</f>
        <v>3</v>
      </c>
      <c r="I5" s="103">
        <f>IF('Employee Master'!B5="","",'⑥ Annual Performance'!Q5)</f>
        <v>0</v>
      </c>
      <c r="J5" s="104">
        <f>IF('Employee Master'!B5="","",IF(I5&gt;=0.98,10,IF(I5&gt;=0.95,8,IF(I5&gt;=0.9,6,IF(I5&gt;=0.85,4,2)))))</f>
        <v>2</v>
      </c>
      <c r="K5" s="105">
        <f>IF('Employee Master'!B5="","",'⑥ Annual Performance'!N5)</f>
        <v>0</v>
      </c>
      <c r="L5" s="104">
        <f>IF('Employee Master'!B5="","",IF(K5&gt;=1000,10,IF(K5&gt;=750,8,IF(K5&gt;=500,6,IF(K5&gt;=250,4,2)))))</f>
        <v>2</v>
      </c>
      <c r="M5" s="105">
        <f>IF('Employee Master'!B5="","",'⑥ Annual Performance'!K5)</f>
        <v>1</v>
      </c>
      <c r="N5" s="106">
        <f>IF('Employee Master'!B5="","",'⑥ Annual Performance'!L5)</f>
        <v>3.5</v>
      </c>
      <c r="O5" s="104">
        <f>IF('Employee Master'!B5="","",MIN(N5*2,10))</f>
        <v>7</v>
      </c>
      <c r="P5" s="104">
        <f>IF('Employee Master'!B5="","",IF(F5&gt;=36,5,IF(F5&gt;=24,4,IF(F5&gt;=12,3,IF(F5&gt;=6,2,1)))))</f>
        <v>3</v>
      </c>
      <c r="Q5" s="104">
        <f>IF('Employee Master'!B5="","",IF(D5="Sr. Controller",10,IF(D5="Coo",10,IF(D5="Controller",9,IF(D5="Asst. Controller",8,IF(D5="Sr. Manager",8,IF(D5="Manager",7,IF(D5="Asst. Manager",6,IF(D5="Team Lead",7,IF(D5="Asst. Team Lead",5,IF(D5="Sr. Associate",4,IF(D5="Associate",3,IF(D5="Full Stack Developer",5,IF(D5="Project Manager (S/W)",6,IF(D5="Marketing",4,4)))))))))))))))</f>
        <v>3</v>
      </c>
      <c r="R5" s="107">
        <f>IF('Employee Master'!B5="","",H5+J5+L5+O5+P5+Q5)</f>
        <v>20</v>
      </c>
      <c r="S5" s="108">
        <f>IF('Employee Master'!B5="","",3)</f>
        <v>3</v>
      </c>
      <c r="T5" s="104">
        <f>IF('Employee Master'!B5="","",MIN(S5*2,10))</f>
        <v>6</v>
      </c>
      <c r="U5" s="108">
        <f>IF('Employee Master'!B5="","",3)</f>
        <v>3</v>
      </c>
      <c r="V5" s="104">
        <f>IF('Employee Master'!B5="","",MIN(U5*2,10))</f>
        <v>6</v>
      </c>
      <c r="W5" s="108">
        <f>IF('Employee Master'!B5="","",3)</f>
        <v>3</v>
      </c>
      <c r="X5" s="104">
        <f>IF('Employee Master'!B5="","",MIN(W5*2,10))</f>
        <v>6</v>
      </c>
      <c r="Y5" s="108">
        <f>IF('Employee Master'!B5="","",3)</f>
        <v>3</v>
      </c>
      <c r="Z5" s="104">
        <f>IF('Employee Master'!B5="","",MIN(Y5*2,10))</f>
        <v>6</v>
      </c>
      <c r="AA5" s="109">
        <f>IF('Employee Master'!B5="","",T5+V5+X5+Z5)</f>
        <v>24</v>
      </c>
      <c r="AB5" s="110">
        <f>IF('Employee Master'!B5="","",R5+AA5)</f>
        <v>44</v>
      </c>
      <c r="AC5" s="27" t="str">
        <f>IF('Employee Master'!B5="","",IF(AB5&gt;=85,"Exceptional",IF(AB5&gt;=70,"High Performer",IF(AB5&gt;=50,"Meets Expectations",IF(AB5&gt;=30,"Below Expectations","Underperformer")))))</f>
        <v>Below Expectations</v>
      </c>
      <c r="AD5" s="51">
        <f>IF('Employee Master'!B5="","",'Employee Master'!M5)</f>
        <v>45000</v>
      </c>
      <c r="AE5" s="52">
        <f>IF('Employee Master'!B5="","",IF(AB5&gt;=85,Settings!B31,IF(AB5&gt;=70,Settings!B32,IF(AB5&gt;=50,Settings!B33,IF(AB5&gt;=30,Settings!B34,Settings!B35)))))</f>
        <v>0.03</v>
      </c>
      <c r="AF5" s="51">
        <f>IF('Employee Master'!B5="","",AD5*(1+AE5))</f>
        <v>46350</v>
      </c>
      <c r="AG5" s="51">
        <f>IF('Employee Master'!B5="","",AF5-AD5)</f>
        <v>1350</v>
      </c>
      <c r="AH5" s="51">
        <f>IF('Employee Master'!B5="","",AG5*12)</f>
        <v>16200</v>
      </c>
    </row>
    <row r="6" spans="1:34" ht="23.25" customHeight="1" x14ac:dyDescent="0.2">
      <c r="A6" s="27">
        <f>IF('Employee Master'!B6="","",ROW()-3)</f>
        <v>3</v>
      </c>
      <c r="B6" s="27" t="str">
        <f>IF('Employee Master'!B6="","",'Employee Master'!C6)</f>
        <v>Pragati.S</v>
      </c>
      <c r="C6" s="27" t="str">
        <f>IF('Employee Master'!B6="","",'Employee Master'!D6)</f>
        <v>In-house</v>
      </c>
      <c r="D6" s="27" t="str">
        <f>IF('Employee Master'!B6="","",'Employee Master'!E6)</f>
        <v>Asst. Team Lead</v>
      </c>
      <c r="E6" s="27" t="str">
        <f>IF('Employee Master'!B6="","",'Employee Master'!G6)</f>
        <v>Jasleen.D</v>
      </c>
      <c r="F6" s="51">
        <f>IF('Employee Master'!B6="","",'⑥ Annual Performance'!R6)</f>
        <v>12</v>
      </c>
      <c r="G6" s="103">
        <f>IF('Employee Master'!B6="","",'⑥ Annual Performance'!J6)</f>
        <v>8.385416666666666E-2</v>
      </c>
      <c r="H6" s="104">
        <f>IF('Employee Master'!B6="","",IF(G6&gt;=0.85,15,IF(G6&gt;=0.7,12,IF(G6&gt;=0.55,9,IF(G6&gt;=0.4,6,3)))))</f>
        <v>3</v>
      </c>
      <c r="I6" s="103">
        <f>IF('Employee Master'!B6="","",'⑥ Annual Performance'!Q6)</f>
        <v>0</v>
      </c>
      <c r="J6" s="104">
        <f>IF('Employee Master'!B6="","",IF(I6&gt;=0.98,10,IF(I6&gt;=0.95,8,IF(I6&gt;=0.9,6,IF(I6&gt;=0.85,4,2)))))</f>
        <v>2</v>
      </c>
      <c r="K6" s="105">
        <f>IF('Employee Master'!B6="","",'⑥ Annual Performance'!N6)</f>
        <v>0</v>
      </c>
      <c r="L6" s="104">
        <f>IF('Employee Master'!B6="","",IF(K6&gt;=1000,10,IF(K6&gt;=750,8,IF(K6&gt;=500,6,IF(K6&gt;=250,4,2)))))</f>
        <v>2</v>
      </c>
      <c r="M6" s="105">
        <f>IF('Employee Master'!B6="","",'⑥ Annual Performance'!K6)</f>
        <v>6</v>
      </c>
      <c r="N6" s="106">
        <f>IF('Employee Master'!B6="","",'⑥ Annual Performance'!L6)</f>
        <v>3.5</v>
      </c>
      <c r="O6" s="104">
        <f>IF('Employee Master'!B6="","",MIN(N6*2,10))</f>
        <v>7</v>
      </c>
      <c r="P6" s="104">
        <f>IF('Employee Master'!B6="","",IF(F6&gt;=36,5,IF(F6&gt;=24,4,IF(F6&gt;=12,3,IF(F6&gt;=6,2,1)))))</f>
        <v>3</v>
      </c>
      <c r="Q6" s="104">
        <f>IF('Employee Master'!B6="","",IF(D6="Sr. Controller",10,IF(D6="Coo",10,IF(D6="Controller",9,IF(D6="Asst. Controller",8,IF(D6="Sr. Manager",8,IF(D6="Manager",7,IF(D6="Asst. Manager",6,IF(D6="Team Lead",7,IF(D6="Asst. Team Lead",5,IF(D6="Sr. Associate",4,IF(D6="Associate",3,IF(D6="Full Stack Developer",5,IF(D6="Project Manager (S/W)",6,IF(D6="Marketing",4,4)))))))))))))))</f>
        <v>5</v>
      </c>
      <c r="R6" s="107">
        <f>IF('Employee Master'!B6="","",H6+J6+L6+O6+P6+Q6)</f>
        <v>22</v>
      </c>
      <c r="S6" s="108">
        <f>IF('Employee Master'!B6="","",3)</f>
        <v>3</v>
      </c>
      <c r="T6" s="104">
        <f>IF('Employee Master'!B6="","",MIN(S6*2,10))</f>
        <v>6</v>
      </c>
      <c r="U6" s="108">
        <f>IF('Employee Master'!B6="","",3)</f>
        <v>3</v>
      </c>
      <c r="V6" s="104">
        <f>IF('Employee Master'!B6="","",MIN(U6*2,10))</f>
        <v>6</v>
      </c>
      <c r="W6" s="108">
        <f>IF('Employee Master'!B6="","",3)</f>
        <v>3</v>
      </c>
      <c r="X6" s="104">
        <f>IF('Employee Master'!B6="","",MIN(W6*2,10))</f>
        <v>6</v>
      </c>
      <c r="Y6" s="108">
        <f>IF('Employee Master'!B6="","",3)</f>
        <v>3</v>
      </c>
      <c r="Z6" s="104">
        <f>IF('Employee Master'!B6="","",MIN(Y6*2,10))</f>
        <v>6</v>
      </c>
      <c r="AA6" s="109">
        <f>IF('Employee Master'!B6="","",T6+V6+X6+Z6)</f>
        <v>24</v>
      </c>
      <c r="AB6" s="110">
        <f>IF('Employee Master'!B6="","",R6+AA6)</f>
        <v>46</v>
      </c>
      <c r="AC6" s="27" t="str">
        <f>IF('Employee Master'!B6="","",IF(AB6&gt;=85,"Exceptional",IF(AB6&gt;=70,"High Performer",IF(AB6&gt;=50,"Meets Expectations",IF(AB6&gt;=30,"Below Expectations","Underperformer")))))</f>
        <v>Below Expectations</v>
      </c>
      <c r="AD6" s="51">
        <f>IF('Employee Master'!B6="","",'Employee Master'!M6)</f>
        <v>65000</v>
      </c>
      <c r="AE6" s="52">
        <f>IF('Employee Master'!B6="","",IF(AB6&gt;=85,Settings!B31,IF(AB6&gt;=70,Settings!B32,IF(AB6&gt;=50,Settings!B33,IF(AB6&gt;=30,Settings!B34,Settings!B35)))))</f>
        <v>0.03</v>
      </c>
      <c r="AF6" s="51">
        <f>IF('Employee Master'!B6="","",AD6*(1+AE6))</f>
        <v>66950</v>
      </c>
      <c r="AG6" s="51">
        <f>IF('Employee Master'!B6="","",AF6-AD6)</f>
        <v>1950</v>
      </c>
      <c r="AH6" s="51">
        <f>IF('Employee Master'!B6="","",AG6*12)</f>
        <v>23400</v>
      </c>
    </row>
    <row r="7" spans="1:34" ht="23.25" customHeight="1" x14ac:dyDescent="0.2">
      <c r="A7" s="27">
        <f>IF('Employee Master'!B7="","",ROW()-3)</f>
        <v>4</v>
      </c>
      <c r="B7" s="27" t="str">
        <f>IF('Employee Master'!B7="","",'Employee Master'!C7)</f>
        <v>Anshul.O</v>
      </c>
      <c r="C7" s="27" t="str">
        <f>IF('Employee Master'!B7="","",'Employee Master'!D7)</f>
        <v>In-house</v>
      </c>
      <c r="D7" s="27" t="str">
        <f>IF('Employee Master'!B7="","",'Employee Master'!E7)</f>
        <v>Team Lead</v>
      </c>
      <c r="E7" s="27" t="str">
        <f>IF('Employee Master'!B7="","",'Employee Master'!G7)</f>
        <v>Jasleen.D</v>
      </c>
      <c r="F7" s="51">
        <f>IF('Employee Master'!B7="","",'⑥ Annual Performance'!R7)</f>
        <v>12</v>
      </c>
      <c r="G7" s="103">
        <f>IF('Employee Master'!B7="","",'⑥ Annual Performance'!J7)</f>
        <v>7.947916666666667E-2</v>
      </c>
      <c r="H7" s="104">
        <f>IF('Employee Master'!B7="","",IF(G7&gt;=0.85,15,IF(G7&gt;=0.7,12,IF(G7&gt;=0.55,9,IF(G7&gt;=0.4,6,3)))))</f>
        <v>3</v>
      </c>
      <c r="I7" s="103">
        <f>IF('Employee Master'!B7="","",'⑥ Annual Performance'!Q7)</f>
        <v>0</v>
      </c>
      <c r="J7" s="104">
        <f>IF('Employee Master'!B7="","",IF(I7&gt;=0.98,10,IF(I7&gt;=0.95,8,IF(I7&gt;=0.9,6,IF(I7&gt;=0.85,4,2)))))</f>
        <v>2</v>
      </c>
      <c r="K7" s="105">
        <f>IF('Employee Master'!B7="","",'⑥ Annual Performance'!N7)</f>
        <v>0</v>
      </c>
      <c r="L7" s="104">
        <f>IF('Employee Master'!B7="","",IF(K7&gt;=1000,10,IF(K7&gt;=750,8,IF(K7&gt;=500,6,IF(K7&gt;=250,4,2)))))</f>
        <v>2</v>
      </c>
      <c r="M7" s="105">
        <f>IF('Employee Master'!B7="","",'⑥ Annual Performance'!K7)</f>
        <v>10</v>
      </c>
      <c r="N7" s="106">
        <f>IF('Employee Master'!B7="","",'⑥ Annual Performance'!L7)</f>
        <v>3.5</v>
      </c>
      <c r="O7" s="104">
        <f>IF('Employee Master'!B7="","",MIN(N7*2,10))</f>
        <v>7</v>
      </c>
      <c r="P7" s="104">
        <f>IF('Employee Master'!B7="","",IF(F7&gt;=36,5,IF(F7&gt;=24,4,IF(F7&gt;=12,3,IF(F7&gt;=6,2,1)))))</f>
        <v>3</v>
      </c>
      <c r="Q7" s="104">
        <f>IF('Employee Master'!B7="","",IF(D7="Sr. Controller",10,IF(D7="Coo",10,IF(D7="Controller",9,IF(D7="Asst. Controller",8,IF(D7="Sr. Manager",8,IF(D7="Manager",7,IF(D7="Asst. Manager",6,IF(D7="Team Lead",7,IF(D7="Asst. Team Lead",5,IF(D7="Sr. Associate",4,IF(D7="Associate",3,IF(D7="Full Stack Developer",5,IF(D7="Project Manager (S/W)",6,IF(D7="Marketing",4,4)))))))))))))))</f>
        <v>7</v>
      </c>
      <c r="R7" s="107">
        <f>IF('Employee Master'!B7="","",H7+J7+L7+O7+P7+Q7)</f>
        <v>24</v>
      </c>
      <c r="S7" s="108">
        <f>IF('Employee Master'!B7="","",3)</f>
        <v>3</v>
      </c>
      <c r="T7" s="104">
        <f>IF('Employee Master'!B7="","",MIN(S7*2,10))</f>
        <v>6</v>
      </c>
      <c r="U7" s="108">
        <f>IF('Employee Master'!B7="","",3)</f>
        <v>3</v>
      </c>
      <c r="V7" s="104">
        <f>IF('Employee Master'!B7="","",MIN(U7*2,10))</f>
        <v>6</v>
      </c>
      <c r="W7" s="108">
        <f>IF('Employee Master'!B7="","",3)</f>
        <v>3</v>
      </c>
      <c r="X7" s="104">
        <f>IF('Employee Master'!B7="","",MIN(W7*2,10))</f>
        <v>6</v>
      </c>
      <c r="Y7" s="108">
        <f>IF('Employee Master'!B7="","",3)</f>
        <v>3</v>
      </c>
      <c r="Z7" s="104">
        <f>IF('Employee Master'!B7="","",MIN(Y7*2,10))</f>
        <v>6</v>
      </c>
      <c r="AA7" s="109">
        <f>IF('Employee Master'!B7="","",T7+V7+X7+Z7)</f>
        <v>24</v>
      </c>
      <c r="AB7" s="110">
        <f>IF('Employee Master'!B7="","",R7+AA7)</f>
        <v>48</v>
      </c>
      <c r="AC7" s="27" t="str">
        <f>IF('Employee Master'!B7="","",IF(AB7&gt;=85,"Exceptional",IF(AB7&gt;=70,"High Performer",IF(AB7&gt;=50,"Meets Expectations",IF(AB7&gt;=30,"Below Expectations","Underperformer")))))</f>
        <v>Below Expectations</v>
      </c>
      <c r="AD7" s="51">
        <f>IF('Employee Master'!B7="","",'Employee Master'!M7)</f>
        <v>84000</v>
      </c>
      <c r="AE7" s="52">
        <f>IF('Employee Master'!B7="","",IF(AB7&gt;=85,Settings!B31,IF(AB7&gt;=70,Settings!B32,IF(AB7&gt;=50,Settings!B33,IF(AB7&gt;=30,Settings!B34,Settings!B35)))))</f>
        <v>0.03</v>
      </c>
      <c r="AF7" s="51">
        <f>IF('Employee Master'!B7="","",AD7*(1+AE7))</f>
        <v>86520</v>
      </c>
      <c r="AG7" s="51">
        <f>IF('Employee Master'!B7="","",AF7-AD7)</f>
        <v>2520</v>
      </c>
      <c r="AH7" s="51">
        <f>IF('Employee Master'!B7="","",AG7*12)</f>
        <v>30240</v>
      </c>
    </row>
    <row r="8" spans="1:34" ht="23.25" customHeight="1" x14ac:dyDescent="0.2">
      <c r="A8" s="27">
        <f>IF('Employee Master'!B8="","",ROW()-3)</f>
        <v>5</v>
      </c>
      <c r="B8" s="27" t="str">
        <f>IF('Employee Master'!B8="","",'Employee Master'!C8)</f>
        <v>Shefali.B</v>
      </c>
      <c r="C8" s="27" t="str">
        <f>IF('Employee Master'!B8="","",'Employee Master'!D8)</f>
        <v>In-house</v>
      </c>
      <c r="D8" s="27" t="str">
        <f>IF('Employee Master'!B8="","",'Employee Master'!E8)</f>
        <v>Associate</v>
      </c>
      <c r="E8" s="27" t="str">
        <f>IF('Employee Master'!B8="","",'Employee Master'!G8)</f>
        <v>Jasleen.D</v>
      </c>
      <c r="F8" s="51">
        <f>IF('Employee Master'!B8="","",'⑥ Annual Performance'!R8)</f>
        <v>12</v>
      </c>
      <c r="G8" s="103">
        <f>IF('Employee Master'!B8="","",'⑥ Annual Performance'!J8)</f>
        <v>8.2343749999999993E-2</v>
      </c>
      <c r="H8" s="104">
        <f>IF('Employee Master'!B8="","",IF(G8&gt;=0.85,15,IF(G8&gt;=0.7,12,IF(G8&gt;=0.55,9,IF(G8&gt;=0.4,6,3)))))</f>
        <v>3</v>
      </c>
      <c r="I8" s="103">
        <f>IF('Employee Master'!B8="","",'⑥ Annual Performance'!Q8)</f>
        <v>0</v>
      </c>
      <c r="J8" s="104">
        <f>IF('Employee Master'!B8="","",IF(I8&gt;=0.98,10,IF(I8&gt;=0.95,8,IF(I8&gt;=0.9,6,IF(I8&gt;=0.85,4,2)))))</f>
        <v>2</v>
      </c>
      <c r="K8" s="105">
        <f>IF('Employee Master'!B8="","",'⑥ Annual Performance'!N8)</f>
        <v>0</v>
      </c>
      <c r="L8" s="104">
        <f>IF('Employee Master'!B8="","",IF(K8&gt;=1000,10,IF(K8&gt;=750,8,IF(K8&gt;=500,6,IF(K8&gt;=250,4,2)))))</f>
        <v>2</v>
      </c>
      <c r="M8" s="105">
        <f>IF('Employee Master'!B8="","",'⑥ Annual Performance'!K8)</f>
        <v>2</v>
      </c>
      <c r="N8" s="106">
        <f>IF('Employee Master'!B8="","",'⑥ Annual Performance'!L8)</f>
        <v>3.5</v>
      </c>
      <c r="O8" s="104">
        <f>IF('Employee Master'!B8="","",MIN(N8*2,10))</f>
        <v>7</v>
      </c>
      <c r="P8" s="104">
        <f>IF('Employee Master'!B8="","",IF(F8&gt;=36,5,IF(F8&gt;=24,4,IF(F8&gt;=12,3,IF(F8&gt;=6,2,1)))))</f>
        <v>3</v>
      </c>
      <c r="Q8" s="104">
        <f>IF('Employee Master'!B8="","",IF(D8="Sr. Controller",10,IF(D8="Coo",10,IF(D8="Controller",9,IF(D8="Asst. Controller",8,IF(D8="Sr. Manager",8,IF(D8="Manager",7,IF(D8="Asst. Manager",6,IF(D8="Team Lead",7,IF(D8="Asst. Team Lead",5,IF(D8="Sr. Associate",4,IF(D8="Associate",3,IF(D8="Full Stack Developer",5,IF(D8="Project Manager (S/W)",6,IF(D8="Marketing",4,4)))))))))))))))</f>
        <v>3</v>
      </c>
      <c r="R8" s="107">
        <f>IF('Employee Master'!B8="","",H8+J8+L8+O8+P8+Q8)</f>
        <v>20</v>
      </c>
      <c r="S8" s="108">
        <f>IF('Employee Master'!B8="","",3)</f>
        <v>3</v>
      </c>
      <c r="T8" s="104">
        <f>IF('Employee Master'!B8="","",MIN(S8*2,10))</f>
        <v>6</v>
      </c>
      <c r="U8" s="108">
        <f>IF('Employee Master'!B8="","",3)</f>
        <v>3</v>
      </c>
      <c r="V8" s="104">
        <f>IF('Employee Master'!B8="","",MIN(U8*2,10))</f>
        <v>6</v>
      </c>
      <c r="W8" s="108">
        <f>IF('Employee Master'!B8="","",3)</f>
        <v>3</v>
      </c>
      <c r="X8" s="104">
        <f>IF('Employee Master'!B8="","",MIN(W8*2,10))</f>
        <v>6</v>
      </c>
      <c r="Y8" s="108">
        <f>IF('Employee Master'!B8="","",3)</f>
        <v>3</v>
      </c>
      <c r="Z8" s="104">
        <f>IF('Employee Master'!B8="","",MIN(Y8*2,10))</f>
        <v>6</v>
      </c>
      <c r="AA8" s="109">
        <f>IF('Employee Master'!B8="","",T8+V8+X8+Z8)</f>
        <v>24</v>
      </c>
      <c r="AB8" s="110">
        <f>IF('Employee Master'!B8="","",R8+AA8)</f>
        <v>44</v>
      </c>
      <c r="AC8" s="27" t="str">
        <f>IF('Employee Master'!B8="","",IF(AB8&gt;=85,"Exceptional",IF(AB8&gt;=70,"High Performer",IF(AB8&gt;=50,"Meets Expectations",IF(AB8&gt;=30,"Below Expectations","Underperformer")))))</f>
        <v>Below Expectations</v>
      </c>
      <c r="AD8" s="51">
        <f>IF('Employee Master'!B8="","",'Employee Master'!M8)</f>
        <v>45000</v>
      </c>
      <c r="AE8" s="52">
        <f>IF('Employee Master'!B8="","",IF(AB8&gt;=85,Settings!B31,IF(AB8&gt;=70,Settings!B32,IF(AB8&gt;=50,Settings!B33,IF(AB8&gt;=30,Settings!B34,Settings!B35)))))</f>
        <v>0.03</v>
      </c>
      <c r="AF8" s="51">
        <f>IF('Employee Master'!B8="","",AD8*(1+AE8))</f>
        <v>46350</v>
      </c>
      <c r="AG8" s="51">
        <f>IF('Employee Master'!B8="","",AF8-AD8)</f>
        <v>1350</v>
      </c>
      <c r="AH8" s="51">
        <f>IF('Employee Master'!B8="","",AG8*12)</f>
        <v>16200</v>
      </c>
    </row>
    <row r="9" spans="1:34" ht="23.25" customHeight="1" x14ac:dyDescent="0.2">
      <c r="A9" s="27">
        <f>IF('Employee Master'!B9="","",ROW()-3)</f>
        <v>6</v>
      </c>
      <c r="B9" s="27" t="str">
        <f>IF('Employee Master'!B9="","",'Employee Master'!C9)</f>
        <v>Sandesh.H</v>
      </c>
      <c r="C9" s="27" t="str">
        <f>IF('Employee Master'!B9="","",'Employee Master'!D9)</f>
        <v>In-house</v>
      </c>
      <c r="D9" s="27" t="str">
        <f>IF('Employee Master'!B9="","",'Employee Master'!E9)</f>
        <v>Associate</v>
      </c>
      <c r="E9" s="27" t="str">
        <f>IF('Employee Master'!B9="","",'Employee Master'!G9)</f>
        <v>Jasleen.D</v>
      </c>
      <c r="F9" s="51">
        <f>IF('Employee Master'!B9="","",'⑥ Annual Performance'!R9)</f>
        <v>12</v>
      </c>
      <c r="G9" s="103">
        <f>IF('Employee Master'!B9="","",'⑥ Annual Performance'!J9)</f>
        <v>9.1718750000000002E-2</v>
      </c>
      <c r="H9" s="104">
        <f>IF('Employee Master'!B9="","",IF(G9&gt;=0.85,15,IF(G9&gt;=0.7,12,IF(G9&gt;=0.55,9,IF(G9&gt;=0.4,6,3)))))</f>
        <v>3</v>
      </c>
      <c r="I9" s="103">
        <f>IF('Employee Master'!B9="","",'⑥ Annual Performance'!Q9)</f>
        <v>0</v>
      </c>
      <c r="J9" s="104">
        <f>IF('Employee Master'!B9="","",IF(I9&gt;=0.98,10,IF(I9&gt;=0.95,8,IF(I9&gt;=0.9,6,IF(I9&gt;=0.85,4,2)))))</f>
        <v>2</v>
      </c>
      <c r="K9" s="105">
        <f>IF('Employee Master'!B9="","",'⑥ Annual Performance'!N9)</f>
        <v>0</v>
      </c>
      <c r="L9" s="104">
        <f>IF('Employee Master'!B9="","",IF(K9&gt;=1000,10,IF(K9&gt;=750,8,IF(K9&gt;=500,6,IF(K9&gt;=250,4,2)))))</f>
        <v>2</v>
      </c>
      <c r="M9" s="105">
        <f>IF('Employee Master'!B9="","",'⑥ Annual Performance'!K9)</f>
        <v>2</v>
      </c>
      <c r="N9" s="106">
        <f>IF('Employee Master'!B9="","",'⑥ Annual Performance'!L9)</f>
        <v>3.5</v>
      </c>
      <c r="O9" s="104">
        <f>IF('Employee Master'!B9="","",MIN(N9*2,10))</f>
        <v>7</v>
      </c>
      <c r="P9" s="104">
        <f>IF('Employee Master'!B9="","",IF(F9&gt;=36,5,IF(F9&gt;=24,4,IF(F9&gt;=12,3,IF(F9&gt;=6,2,1)))))</f>
        <v>3</v>
      </c>
      <c r="Q9" s="104">
        <f>IF('Employee Master'!B9="","",IF(D9="Sr. Controller",10,IF(D9="Coo",10,IF(D9="Controller",9,IF(D9="Asst. Controller",8,IF(D9="Sr. Manager",8,IF(D9="Manager",7,IF(D9="Asst. Manager",6,IF(D9="Team Lead",7,IF(D9="Asst. Team Lead",5,IF(D9="Sr. Associate",4,IF(D9="Associate",3,IF(D9="Full Stack Developer",5,IF(D9="Project Manager (S/W)",6,IF(D9="Marketing",4,4)))))))))))))))</f>
        <v>3</v>
      </c>
      <c r="R9" s="107">
        <f>IF('Employee Master'!B9="","",H9+J9+L9+O9+P9+Q9)</f>
        <v>20</v>
      </c>
      <c r="S9" s="108">
        <f>IF('Employee Master'!B9="","",3)</f>
        <v>3</v>
      </c>
      <c r="T9" s="104">
        <f>IF('Employee Master'!B9="","",MIN(S9*2,10))</f>
        <v>6</v>
      </c>
      <c r="U9" s="108">
        <f>IF('Employee Master'!B9="","",3)</f>
        <v>3</v>
      </c>
      <c r="V9" s="104">
        <f>IF('Employee Master'!B9="","",MIN(U9*2,10))</f>
        <v>6</v>
      </c>
      <c r="W9" s="108">
        <f>IF('Employee Master'!B9="","",3)</f>
        <v>3</v>
      </c>
      <c r="X9" s="104">
        <f>IF('Employee Master'!B9="","",MIN(W9*2,10))</f>
        <v>6</v>
      </c>
      <c r="Y9" s="108">
        <f>IF('Employee Master'!B9="","",3)</f>
        <v>3</v>
      </c>
      <c r="Z9" s="104">
        <f>IF('Employee Master'!B9="","",MIN(Y9*2,10))</f>
        <v>6</v>
      </c>
      <c r="AA9" s="109">
        <f>IF('Employee Master'!B9="","",T9+V9+X9+Z9)</f>
        <v>24</v>
      </c>
      <c r="AB9" s="110">
        <f>IF('Employee Master'!B9="","",R9+AA9)</f>
        <v>44</v>
      </c>
      <c r="AC9" s="27" t="str">
        <f>IF('Employee Master'!B9="","",IF(AB9&gt;=85,"Exceptional",IF(AB9&gt;=70,"High Performer",IF(AB9&gt;=50,"Meets Expectations",IF(AB9&gt;=30,"Below Expectations","Underperformer")))))</f>
        <v>Below Expectations</v>
      </c>
      <c r="AD9" s="51">
        <f>IF('Employee Master'!B9="","",'Employee Master'!M9)</f>
        <v>40000</v>
      </c>
      <c r="AE9" s="52">
        <f>IF('Employee Master'!B9="","",IF(AB9&gt;=85,Settings!B31,IF(AB9&gt;=70,Settings!B32,IF(AB9&gt;=50,Settings!B33,IF(AB9&gt;=30,Settings!B34,Settings!B35)))))</f>
        <v>0.03</v>
      </c>
      <c r="AF9" s="51">
        <f>IF('Employee Master'!B9="","",AD9*(1+AE9))</f>
        <v>41200</v>
      </c>
      <c r="AG9" s="51">
        <f>IF('Employee Master'!B9="","",AF9-AD9)</f>
        <v>1200</v>
      </c>
      <c r="AH9" s="51">
        <f>IF('Employee Master'!B9="","",AG9*12)</f>
        <v>14400</v>
      </c>
    </row>
    <row r="10" spans="1:34" ht="23.25" customHeight="1" x14ac:dyDescent="0.2">
      <c r="A10" s="27">
        <f>IF('Employee Master'!B10="","",ROW()-3)</f>
        <v>7</v>
      </c>
      <c r="B10" s="27" t="str">
        <f>IF('Employee Master'!B10="","",'Employee Master'!C10)</f>
        <v>Robin.S</v>
      </c>
      <c r="C10" s="27" t="str">
        <f>IF('Employee Master'!B10="","",'Employee Master'!D10)</f>
        <v>Remote</v>
      </c>
      <c r="D10" s="27" t="str">
        <f>IF('Employee Master'!B10="","",'Employee Master'!E10)</f>
        <v>Associate</v>
      </c>
      <c r="E10" s="27" t="str">
        <f>IF('Employee Master'!B10="","",'Employee Master'!G10)</f>
        <v>Jasleen.D</v>
      </c>
      <c r="F10" s="51">
        <f>IF('Employee Master'!B10="","",'⑥ Annual Performance'!R10)</f>
        <v>12</v>
      </c>
      <c r="G10" s="103">
        <f>IF('Employee Master'!B10="","",'⑥ Annual Performance'!J10)</f>
        <v>6.3281249999999997E-2</v>
      </c>
      <c r="H10" s="104">
        <f>IF('Employee Master'!B10="","",IF(G10&gt;=0.85,15,IF(G10&gt;=0.7,12,IF(G10&gt;=0.55,9,IF(G10&gt;=0.4,6,3)))))</f>
        <v>3</v>
      </c>
      <c r="I10" s="103">
        <f>IF('Employee Master'!B10="","",'⑥ Annual Performance'!Q10)</f>
        <v>0</v>
      </c>
      <c r="J10" s="104">
        <f>IF('Employee Master'!B10="","",IF(I10&gt;=0.98,10,IF(I10&gt;=0.95,8,IF(I10&gt;=0.9,6,IF(I10&gt;=0.85,4,2)))))</f>
        <v>2</v>
      </c>
      <c r="K10" s="105">
        <f>IF('Employee Master'!B10="","",'⑥ Annual Performance'!N10)</f>
        <v>0</v>
      </c>
      <c r="L10" s="104">
        <f>IF('Employee Master'!B10="","",IF(K10&gt;=1000,10,IF(K10&gt;=750,8,IF(K10&gt;=500,6,IF(K10&gt;=250,4,2)))))</f>
        <v>2</v>
      </c>
      <c r="M10" s="105">
        <f>IF('Employee Master'!B10="","",'⑥ Annual Performance'!K10)</f>
        <v>2</v>
      </c>
      <c r="N10" s="106">
        <f>IF('Employee Master'!B10="","",'⑥ Annual Performance'!L10)</f>
        <v>3.5</v>
      </c>
      <c r="O10" s="104">
        <f>IF('Employee Master'!B10="","",MIN(N10*2,10))</f>
        <v>7</v>
      </c>
      <c r="P10" s="104">
        <f>IF('Employee Master'!B10="","",IF(F10&gt;=36,5,IF(F10&gt;=24,4,IF(F10&gt;=12,3,IF(F10&gt;=6,2,1)))))</f>
        <v>3</v>
      </c>
      <c r="Q10" s="104">
        <f>IF('Employee Master'!B10="","",IF(D10="Sr. Controller",10,IF(D10="Coo",10,IF(D10="Controller",9,IF(D10="Asst. Controller",8,IF(D10="Sr. Manager",8,IF(D10="Manager",7,IF(D10="Asst. Manager",6,IF(D10="Team Lead",7,IF(D10="Asst. Team Lead",5,IF(D10="Sr. Associate",4,IF(D10="Associate",3,IF(D10="Full Stack Developer",5,IF(D10="Project Manager (S/W)",6,IF(D10="Marketing",4,4)))))))))))))))</f>
        <v>3</v>
      </c>
      <c r="R10" s="107">
        <f>IF('Employee Master'!B10="","",H10+J10+L10+O10+P10+Q10)</f>
        <v>20</v>
      </c>
      <c r="S10" s="108">
        <f>IF('Employee Master'!B10="","",3)</f>
        <v>3</v>
      </c>
      <c r="T10" s="104">
        <f>IF('Employee Master'!B10="","",MIN(S10*2,10))</f>
        <v>6</v>
      </c>
      <c r="U10" s="108">
        <f>IF('Employee Master'!B10="","",3)</f>
        <v>3</v>
      </c>
      <c r="V10" s="104">
        <f>IF('Employee Master'!B10="","",MIN(U10*2,10))</f>
        <v>6</v>
      </c>
      <c r="W10" s="108">
        <f>IF('Employee Master'!B10="","",3)</f>
        <v>3</v>
      </c>
      <c r="X10" s="104">
        <f>IF('Employee Master'!B10="","",MIN(W10*2,10))</f>
        <v>6</v>
      </c>
      <c r="Y10" s="108">
        <f>IF('Employee Master'!B10="","",3)</f>
        <v>3</v>
      </c>
      <c r="Z10" s="104">
        <f>IF('Employee Master'!B10="","",MIN(Y10*2,10))</f>
        <v>6</v>
      </c>
      <c r="AA10" s="109">
        <f>IF('Employee Master'!B10="","",T10+V10+X10+Z10)</f>
        <v>24</v>
      </c>
      <c r="AB10" s="110">
        <f>IF('Employee Master'!B10="","",R10+AA10)</f>
        <v>44</v>
      </c>
      <c r="AC10" s="27" t="str">
        <f>IF('Employee Master'!B10="","",IF(AB10&gt;=85,"Exceptional",IF(AB10&gt;=70,"High Performer",IF(AB10&gt;=50,"Meets Expectations",IF(AB10&gt;=30,"Below Expectations","Underperformer")))))</f>
        <v>Below Expectations</v>
      </c>
      <c r="AD10" s="51">
        <f>IF('Employee Master'!B10="","",'Employee Master'!M10)</f>
        <v>40000</v>
      </c>
      <c r="AE10" s="52">
        <f>IF('Employee Master'!B10="","",IF(AB10&gt;=85,Settings!B31,IF(AB10&gt;=70,Settings!B32,IF(AB10&gt;=50,Settings!B33,IF(AB10&gt;=30,Settings!B34,Settings!B35)))))</f>
        <v>0.03</v>
      </c>
      <c r="AF10" s="51">
        <f>IF('Employee Master'!B10="","",AD10*(1+AE10))</f>
        <v>41200</v>
      </c>
      <c r="AG10" s="51">
        <f>IF('Employee Master'!B10="","",AF10-AD10)</f>
        <v>1200</v>
      </c>
      <c r="AH10" s="51">
        <f>IF('Employee Master'!B10="","",AG10*12)</f>
        <v>14400</v>
      </c>
    </row>
    <row r="11" spans="1:34" ht="23.25" customHeight="1" x14ac:dyDescent="0.2">
      <c r="A11" s="27">
        <f>IF('Employee Master'!B11="","",ROW()-3)</f>
        <v>8</v>
      </c>
      <c r="B11" s="27" t="str">
        <f>IF('Employee Master'!B11="","",'Employee Master'!C11)</f>
        <v>Vijet.B</v>
      </c>
      <c r="C11" s="27" t="str">
        <f>IF('Employee Master'!B11="","",'Employee Master'!D11)</f>
        <v>Remote</v>
      </c>
      <c r="D11" s="27" t="str">
        <f>IF('Employee Master'!B11="","",'Employee Master'!E11)</f>
        <v>Associate</v>
      </c>
      <c r="E11" s="27" t="str">
        <f>IF('Employee Master'!B11="","",'Employee Master'!G11)</f>
        <v>Jasleen.D</v>
      </c>
      <c r="F11" s="51">
        <f>IF('Employee Master'!B11="","",'⑥ Annual Performance'!R11)</f>
        <v>12</v>
      </c>
      <c r="G11" s="103">
        <f>IF('Employee Master'!B11="","",'⑥ Annual Performance'!J11)</f>
        <v>7.8645833333333331E-2</v>
      </c>
      <c r="H11" s="104">
        <f>IF('Employee Master'!B11="","",IF(G11&gt;=0.85,15,IF(G11&gt;=0.7,12,IF(G11&gt;=0.55,9,IF(G11&gt;=0.4,6,3)))))</f>
        <v>3</v>
      </c>
      <c r="I11" s="103">
        <f>IF('Employee Master'!B11="","",'⑥ Annual Performance'!Q11)</f>
        <v>0</v>
      </c>
      <c r="J11" s="104">
        <f>IF('Employee Master'!B11="","",IF(I11&gt;=0.98,10,IF(I11&gt;=0.95,8,IF(I11&gt;=0.9,6,IF(I11&gt;=0.85,4,2)))))</f>
        <v>2</v>
      </c>
      <c r="K11" s="105">
        <f>IF('Employee Master'!B11="","",'⑥ Annual Performance'!N11)</f>
        <v>0</v>
      </c>
      <c r="L11" s="104">
        <f>IF('Employee Master'!B11="","",IF(K11&gt;=1000,10,IF(K11&gt;=750,8,IF(K11&gt;=500,6,IF(K11&gt;=250,4,2)))))</f>
        <v>2</v>
      </c>
      <c r="M11" s="105">
        <f>IF('Employee Master'!B11="","",'⑥ Annual Performance'!K11)</f>
        <v>3</v>
      </c>
      <c r="N11" s="106">
        <f>IF('Employee Master'!B11="","",'⑥ Annual Performance'!L11)</f>
        <v>3.5</v>
      </c>
      <c r="O11" s="104">
        <f>IF('Employee Master'!B11="","",MIN(N11*2,10))</f>
        <v>7</v>
      </c>
      <c r="P11" s="104">
        <f>IF('Employee Master'!B11="","",IF(F11&gt;=36,5,IF(F11&gt;=24,4,IF(F11&gt;=12,3,IF(F11&gt;=6,2,1)))))</f>
        <v>3</v>
      </c>
      <c r="Q11" s="104">
        <f>IF('Employee Master'!B11="","",IF(D11="Sr. Controller",10,IF(D11="Coo",10,IF(D11="Controller",9,IF(D11="Asst. Controller",8,IF(D11="Sr. Manager",8,IF(D11="Manager",7,IF(D11="Asst. Manager",6,IF(D11="Team Lead",7,IF(D11="Asst. Team Lead",5,IF(D11="Sr. Associate",4,IF(D11="Associate",3,IF(D11="Full Stack Developer",5,IF(D11="Project Manager (S/W)",6,IF(D11="Marketing",4,4)))))))))))))))</f>
        <v>3</v>
      </c>
      <c r="R11" s="107">
        <f>IF('Employee Master'!B11="","",H11+J11+L11+O11+P11+Q11)</f>
        <v>20</v>
      </c>
      <c r="S11" s="108">
        <f>IF('Employee Master'!B11="","",3)</f>
        <v>3</v>
      </c>
      <c r="T11" s="104">
        <f>IF('Employee Master'!B11="","",MIN(S11*2,10))</f>
        <v>6</v>
      </c>
      <c r="U11" s="108">
        <f>IF('Employee Master'!B11="","",3)</f>
        <v>3</v>
      </c>
      <c r="V11" s="104">
        <f>IF('Employee Master'!B11="","",MIN(U11*2,10))</f>
        <v>6</v>
      </c>
      <c r="W11" s="108">
        <f>IF('Employee Master'!B11="","",3)</f>
        <v>3</v>
      </c>
      <c r="X11" s="104">
        <f>IF('Employee Master'!B11="","",MIN(W11*2,10))</f>
        <v>6</v>
      </c>
      <c r="Y11" s="108">
        <f>IF('Employee Master'!B11="","",3)</f>
        <v>3</v>
      </c>
      <c r="Z11" s="104">
        <f>IF('Employee Master'!B11="","",MIN(Y11*2,10))</f>
        <v>6</v>
      </c>
      <c r="AA11" s="109">
        <f>IF('Employee Master'!B11="","",T11+V11+X11+Z11)</f>
        <v>24</v>
      </c>
      <c r="AB11" s="110">
        <f>IF('Employee Master'!B11="","",R11+AA11)</f>
        <v>44</v>
      </c>
      <c r="AC11" s="27" t="str">
        <f>IF('Employee Master'!B11="","",IF(AB11&gt;=85,"Exceptional",IF(AB11&gt;=70,"High Performer",IF(AB11&gt;=50,"Meets Expectations",IF(AB11&gt;=30,"Below Expectations","Underperformer")))))</f>
        <v>Below Expectations</v>
      </c>
      <c r="AD11" s="51">
        <f>IF('Employee Master'!B11="","",'Employee Master'!M11)</f>
        <v>32000</v>
      </c>
      <c r="AE11" s="52">
        <f>IF('Employee Master'!B11="","",IF(AB11&gt;=85,Settings!B31,IF(AB11&gt;=70,Settings!B32,IF(AB11&gt;=50,Settings!B33,IF(AB11&gt;=30,Settings!B34,Settings!B35)))))</f>
        <v>0.03</v>
      </c>
      <c r="AF11" s="51">
        <f>IF('Employee Master'!B11="","",AD11*(1+AE11))</f>
        <v>32960</v>
      </c>
      <c r="AG11" s="51">
        <f>IF('Employee Master'!B11="","",AF11-AD11)</f>
        <v>960</v>
      </c>
      <c r="AH11" s="51">
        <f>IF('Employee Master'!B11="","",AG11*12)</f>
        <v>11520</v>
      </c>
    </row>
    <row r="12" spans="1:34" ht="23.25" customHeight="1" x14ac:dyDescent="0.2">
      <c r="A12" s="27">
        <f>IF('Employee Master'!B12="","",ROW()-3)</f>
        <v>9</v>
      </c>
      <c r="B12" s="27" t="str">
        <f>IF('Employee Master'!B12="","",'Employee Master'!C12)</f>
        <v>Somya.B</v>
      </c>
      <c r="C12" s="27" t="str">
        <f>IF('Employee Master'!B12="","",'Employee Master'!D12)</f>
        <v>Retainer</v>
      </c>
      <c r="D12" s="27" t="str">
        <f>IF('Employee Master'!B12="","",'Employee Master'!E12)</f>
        <v>Sr. Associate</v>
      </c>
      <c r="E12" s="27" t="str">
        <f>IF('Employee Master'!B12="","",'Employee Master'!G12)</f>
        <v>Jasleen.D</v>
      </c>
      <c r="F12" s="51">
        <f>IF('Employee Master'!B12="","",'⑥ Annual Performance'!R12)</f>
        <v>12</v>
      </c>
      <c r="G12" s="103">
        <f>IF('Employee Master'!B12="","",'⑥ Annual Performance'!J12)</f>
        <v>8.3333333333333329E-2</v>
      </c>
      <c r="H12" s="104">
        <f>IF('Employee Master'!B12="","",IF(G12&gt;=0.85,15,IF(G12&gt;=0.7,12,IF(G12&gt;=0.55,9,IF(G12&gt;=0.4,6,3)))))</f>
        <v>3</v>
      </c>
      <c r="I12" s="103">
        <f>IF('Employee Master'!B12="","",'⑥ Annual Performance'!Q12)</f>
        <v>0</v>
      </c>
      <c r="J12" s="104">
        <f>IF('Employee Master'!B12="","",IF(I12&gt;=0.98,10,IF(I12&gt;=0.95,8,IF(I12&gt;=0.9,6,IF(I12&gt;=0.85,4,2)))))</f>
        <v>2</v>
      </c>
      <c r="K12" s="105">
        <f>IF('Employee Master'!B12="","",'⑥ Annual Performance'!N12)</f>
        <v>0</v>
      </c>
      <c r="L12" s="104">
        <f>IF('Employee Master'!B12="","",IF(K12&gt;=1000,10,IF(K12&gt;=750,8,IF(K12&gt;=500,6,IF(K12&gt;=250,4,2)))))</f>
        <v>2</v>
      </c>
      <c r="M12" s="105">
        <f>IF('Employee Master'!B12="","",'⑥ Annual Performance'!K12)</f>
        <v>2</v>
      </c>
      <c r="N12" s="106">
        <f>IF('Employee Master'!B12="","",'⑥ Annual Performance'!L12)</f>
        <v>3.5</v>
      </c>
      <c r="O12" s="104">
        <f>IF('Employee Master'!B12="","",MIN(N12*2,10))</f>
        <v>7</v>
      </c>
      <c r="P12" s="104">
        <f>IF('Employee Master'!B12="","",IF(F12&gt;=36,5,IF(F12&gt;=24,4,IF(F12&gt;=12,3,IF(F12&gt;=6,2,1)))))</f>
        <v>3</v>
      </c>
      <c r="Q12" s="104">
        <f>IF('Employee Master'!B12="","",IF(D12="Sr. Controller",10,IF(D12="Coo",10,IF(D12="Controller",9,IF(D12="Asst. Controller",8,IF(D12="Sr. Manager",8,IF(D12="Manager",7,IF(D12="Asst. Manager",6,IF(D12="Team Lead",7,IF(D12="Asst. Team Lead",5,IF(D12="Sr. Associate",4,IF(D12="Associate",3,IF(D12="Full Stack Developer",5,IF(D12="Project Manager (S/W)",6,IF(D12="Marketing",4,4)))))))))))))))</f>
        <v>4</v>
      </c>
      <c r="R12" s="107">
        <f>IF('Employee Master'!B12="","",H12+J12+L12+O12+P12+Q12)</f>
        <v>21</v>
      </c>
      <c r="S12" s="108">
        <f>IF('Employee Master'!B12="","",3)</f>
        <v>3</v>
      </c>
      <c r="T12" s="104">
        <f>IF('Employee Master'!B12="","",MIN(S12*2,10))</f>
        <v>6</v>
      </c>
      <c r="U12" s="108">
        <f>IF('Employee Master'!B12="","",3)</f>
        <v>3</v>
      </c>
      <c r="V12" s="104">
        <f>IF('Employee Master'!B12="","",MIN(U12*2,10))</f>
        <v>6</v>
      </c>
      <c r="W12" s="108">
        <f>IF('Employee Master'!B12="","",3)</f>
        <v>3</v>
      </c>
      <c r="X12" s="104">
        <f>IF('Employee Master'!B12="","",MIN(W12*2,10))</f>
        <v>6</v>
      </c>
      <c r="Y12" s="108">
        <f>IF('Employee Master'!B12="","",3)</f>
        <v>3</v>
      </c>
      <c r="Z12" s="104">
        <f>IF('Employee Master'!B12="","",MIN(Y12*2,10))</f>
        <v>6</v>
      </c>
      <c r="AA12" s="109">
        <f>IF('Employee Master'!B12="","",T12+V12+X12+Z12)</f>
        <v>24</v>
      </c>
      <c r="AB12" s="110">
        <f>IF('Employee Master'!B12="","",R12+AA12)</f>
        <v>45</v>
      </c>
      <c r="AC12" s="27" t="str">
        <f>IF('Employee Master'!B12="","",IF(AB12&gt;=85,"Exceptional",IF(AB12&gt;=70,"High Performer",IF(AB12&gt;=50,"Meets Expectations",IF(AB12&gt;=30,"Below Expectations","Underperformer")))))</f>
        <v>Below Expectations</v>
      </c>
      <c r="AD12" s="51">
        <f>IF('Employee Master'!B12="","",'Employee Master'!M12)</f>
        <v>50000</v>
      </c>
      <c r="AE12" s="52">
        <f>IF('Employee Master'!B12="","",IF(AB12&gt;=85,Settings!B31,IF(AB12&gt;=70,Settings!B32,IF(AB12&gt;=50,Settings!B33,IF(AB12&gt;=30,Settings!B34,Settings!B35)))))</f>
        <v>0.03</v>
      </c>
      <c r="AF12" s="51">
        <f>IF('Employee Master'!B12="","",AD12*(1+AE12))</f>
        <v>51500</v>
      </c>
      <c r="AG12" s="51">
        <f>IF('Employee Master'!B12="","",AF12-AD12)</f>
        <v>1500</v>
      </c>
      <c r="AH12" s="51">
        <f>IF('Employee Master'!B12="","",AG12*12)</f>
        <v>18000</v>
      </c>
    </row>
    <row r="13" spans="1:34" ht="23.25" customHeight="1" x14ac:dyDescent="0.2">
      <c r="A13" s="27">
        <f>IF('Employee Master'!B13="","",ROW()-3)</f>
        <v>10</v>
      </c>
      <c r="B13" s="27" t="str">
        <f>IF('Employee Master'!B13="","",'Employee Master'!C13)</f>
        <v>Jasleen.D</v>
      </c>
      <c r="C13" s="27" t="str">
        <f>IF('Employee Master'!B13="","",'Employee Master'!D13)</f>
        <v>In-house</v>
      </c>
      <c r="D13" s="27" t="str">
        <f>IF('Employee Master'!B13="","",'Employee Master'!E13)</f>
        <v>Controller</v>
      </c>
      <c r="E13" s="27" t="str">
        <f>IF('Employee Master'!B13="","",'Employee Master'!G13)</f>
        <v>--</v>
      </c>
      <c r="F13" s="51">
        <f>IF('Employee Master'!B13="","",'⑥ Annual Performance'!R13)</f>
        <v>12</v>
      </c>
      <c r="G13" s="103">
        <f>IF('Employee Master'!B13="","",'⑥ Annual Performance'!J13)</f>
        <v>7.2916666666666671E-2</v>
      </c>
      <c r="H13" s="104">
        <f>IF('Employee Master'!B13="","",IF(G13&gt;=0.85,15,IF(G13&gt;=0.7,12,IF(G13&gt;=0.55,9,IF(G13&gt;=0.4,6,3)))))</f>
        <v>3</v>
      </c>
      <c r="I13" s="103">
        <f>IF('Employee Master'!B13="","",'⑥ Annual Performance'!Q13)</f>
        <v>0</v>
      </c>
      <c r="J13" s="104">
        <f>IF('Employee Master'!B13="","",IF(I13&gt;=0.98,10,IF(I13&gt;=0.95,8,IF(I13&gt;=0.9,6,IF(I13&gt;=0.85,4,2)))))</f>
        <v>2</v>
      </c>
      <c r="K13" s="105">
        <f>IF('Employee Master'!B13="","",'⑥ Annual Performance'!N13)</f>
        <v>0</v>
      </c>
      <c r="L13" s="104">
        <f>IF('Employee Master'!B13="","",IF(K13&gt;=1000,10,IF(K13&gt;=750,8,IF(K13&gt;=500,6,IF(K13&gt;=250,4,2)))))</f>
        <v>2</v>
      </c>
      <c r="M13" s="105">
        <f>IF('Employee Master'!B13="","",'⑥ Annual Performance'!K13)</f>
        <v>16</v>
      </c>
      <c r="N13" s="106">
        <f>IF('Employee Master'!B13="","",'⑥ Annual Performance'!L13)</f>
        <v>3.5</v>
      </c>
      <c r="O13" s="104">
        <f>IF('Employee Master'!B13="","",MIN(N13*2,10))</f>
        <v>7</v>
      </c>
      <c r="P13" s="104">
        <f>IF('Employee Master'!B13="","",IF(F13&gt;=36,5,IF(F13&gt;=24,4,IF(F13&gt;=12,3,IF(F13&gt;=6,2,1)))))</f>
        <v>3</v>
      </c>
      <c r="Q13" s="104">
        <f>IF('Employee Master'!B13="","",IF(D13="Sr. Controller",10,IF(D13="Coo",10,IF(D13="Controller",9,IF(D13="Asst. Controller",8,IF(D13="Sr. Manager",8,IF(D13="Manager",7,IF(D13="Asst. Manager",6,IF(D13="Team Lead",7,IF(D13="Asst. Team Lead",5,IF(D13="Sr. Associate",4,IF(D13="Associate",3,IF(D13="Full Stack Developer",5,IF(D13="Project Manager (S/W)",6,IF(D13="Marketing",4,4)))))))))))))))</f>
        <v>9</v>
      </c>
      <c r="R13" s="107">
        <f>IF('Employee Master'!B13="","",H13+J13+L13+O13+P13+Q13)</f>
        <v>26</v>
      </c>
      <c r="S13" s="108">
        <f>IF('Employee Master'!B13="","",3)</f>
        <v>3</v>
      </c>
      <c r="T13" s="104">
        <f>IF('Employee Master'!B13="","",MIN(S13*2,10))</f>
        <v>6</v>
      </c>
      <c r="U13" s="108">
        <f>IF('Employee Master'!B13="","",3)</f>
        <v>3</v>
      </c>
      <c r="V13" s="104">
        <f>IF('Employee Master'!B13="","",MIN(U13*2,10))</f>
        <v>6</v>
      </c>
      <c r="W13" s="108">
        <f>IF('Employee Master'!B13="","",3)</f>
        <v>3</v>
      </c>
      <c r="X13" s="104">
        <f>IF('Employee Master'!B13="","",MIN(W13*2,10))</f>
        <v>6</v>
      </c>
      <c r="Y13" s="108">
        <f>IF('Employee Master'!B13="","",3)</f>
        <v>3</v>
      </c>
      <c r="Z13" s="104">
        <f>IF('Employee Master'!B13="","",MIN(Y13*2,10))</f>
        <v>6</v>
      </c>
      <c r="AA13" s="109">
        <f>IF('Employee Master'!B13="","",T13+V13+X13+Z13)</f>
        <v>24</v>
      </c>
      <c r="AB13" s="110">
        <f>IF('Employee Master'!B13="","",R13+AA13)</f>
        <v>50</v>
      </c>
      <c r="AC13" s="27" t="str">
        <f>IF('Employee Master'!B13="","",IF(AB13&gt;=85,"Exceptional",IF(AB13&gt;=70,"High Performer",IF(AB13&gt;=50,"Meets Expectations",IF(AB13&gt;=30,"Below Expectations","Underperformer")))))</f>
        <v>Meets Expectations</v>
      </c>
      <c r="AD13" s="51">
        <f>IF('Employee Master'!B13="","",'Employee Master'!M13)</f>
        <v>245000</v>
      </c>
      <c r="AE13" s="52">
        <f>IF('Employee Master'!B13="","",IF(AB13&gt;=85,Settings!B31,IF(AB13&gt;=70,Settings!B32,IF(AB13&gt;=50,Settings!B33,IF(AB13&gt;=30,Settings!B34,Settings!B35)))))</f>
        <v>7.4999999999999997E-2</v>
      </c>
      <c r="AF13" s="51">
        <f>IF('Employee Master'!B13="","",AD13*(1+AE13))</f>
        <v>263375</v>
      </c>
      <c r="AG13" s="51">
        <f>IF('Employee Master'!B13="","",AF13-AD13)</f>
        <v>18375</v>
      </c>
      <c r="AH13" s="51">
        <f>IF('Employee Master'!B13="","",AG13*12)</f>
        <v>220500</v>
      </c>
    </row>
    <row r="14" spans="1:34" ht="23.25" customHeight="1" x14ac:dyDescent="0.2">
      <c r="A14" s="27">
        <f>IF('Employee Master'!B14="","",ROW()-3)</f>
        <v>11</v>
      </c>
      <c r="B14" s="27" t="str">
        <f>IF('Employee Master'!B14="","",'Employee Master'!C14)</f>
        <v>Jyoti</v>
      </c>
      <c r="C14" s="27" t="str">
        <f>IF('Employee Master'!B14="","",'Employee Master'!D14)</f>
        <v>In-house</v>
      </c>
      <c r="D14" s="27" t="str">
        <f>IF('Employee Master'!B14="","",'Employee Master'!E14)</f>
        <v>Controller</v>
      </c>
      <c r="E14" s="27" t="str">
        <f>IF('Employee Master'!B14="","",'Employee Master'!G14)</f>
        <v>--</v>
      </c>
      <c r="F14" s="51">
        <f>IF('Employee Master'!B14="","",'⑥ Annual Performance'!R14)</f>
        <v>12</v>
      </c>
      <c r="G14" s="103">
        <f>IF('Employee Master'!B14="","",'⑥ Annual Performance'!J14)</f>
        <v>5.6875000000000002E-2</v>
      </c>
      <c r="H14" s="104">
        <f>IF('Employee Master'!B14="","",IF(G14&gt;=0.85,15,IF(G14&gt;=0.7,12,IF(G14&gt;=0.55,9,IF(G14&gt;=0.4,6,3)))))</f>
        <v>3</v>
      </c>
      <c r="I14" s="103">
        <f>IF('Employee Master'!B14="","",'⑥ Annual Performance'!Q14)</f>
        <v>0</v>
      </c>
      <c r="J14" s="104">
        <f>IF('Employee Master'!B14="","",IF(I14&gt;=0.98,10,IF(I14&gt;=0.95,8,IF(I14&gt;=0.9,6,IF(I14&gt;=0.85,4,2)))))</f>
        <v>2</v>
      </c>
      <c r="K14" s="105">
        <f>IF('Employee Master'!B14="","",'⑥ Annual Performance'!N14)</f>
        <v>0</v>
      </c>
      <c r="L14" s="104">
        <f>IF('Employee Master'!B14="","",IF(K14&gt;=1000,10,IF(K14&gt;=750,8,IF(K14&gt;=500,6,IF(K14&gt;=250,4,2)))))</f>
        <v>2</v>
      </c>
      <c r="M14" s="105">
        <f>IF('Employee Master'!B14="","",'⑥ Annual Performance'!K14)</f>
        <v>4</v>
      </c>
      <c r="N14" s="106">
        <f>IF('Employee Master'!B14="","",'⑥ Annual Performance'!L14)</f>
        <v>3.5</v>
      </c>
      <c r="O14" s="104">
        <f>IF('Employee Master'!B14="","",MIN(N14*2,10))</f>
        <v>7</v>
      </c>
      <c r="P14" s="104">
        <f>IF('Employee Master'!B14="","",IF(F14&gt;=36,5,IF(F14&gt;=24,4,IF(F14&gt;=12,3,IF(F14&gt;=6,2,1)))))</f>
        <v>3</v>
      </c>
      <c r="Q14" s="104">
        <f>IF('Employee Master'!B14="","",IF(D14="Sr. Controller",10,IF(D14="Coo",10,IF(D14="Controller",9,IF(D14="Asst. Controller",8,IF(D14="Sr. Manager",8,IF(D14="Manager",7,IF(D14="Asst. Manager",6,IF(D14="Team Lead",7,IF(D14="Asst. Team Lead",5,IF(D14="Sr. Associate",4,IF(D14="Associate",3,IF(D14="Full Stack Developer",5,IF(D14="Project Manager (S/W)",6,IF(D14="Marketing",4,4)))))))))))))))</f>
        <v>9</v>
      </c>
      <c r="R14" s="107">
        <f>IF('Employee Master'!B14="","",H14+J14+L14+O14+P14+Q14)</f>
        <v>26</v>
      </c>
      <c r="S14" s="108">
        <f>IF('Employee Master'!B14="","",3)</f>
        <v>3</v>
      </c>
      <c r="T14" s="104">
        <f>IF('Employee Master'!B14="","",MIN(S14*2,10))</f>
        <v>6</v>
      </c>
      <c r="U14" s="108">
        <f>IF('Employee Master'!B14="","",3)</f>
        <v>3</v>
      </c>
      <c r="V14" s="104">
        <f>IF('Employee Master'!B14="","",MIN(U14*2,10))</f>
        <v>6</v>
      </c>
      <c r="W14" s="108">
        <f>IF('Employee Master'!B14="","",3)</f>
        <v>3</v>
      </c>
      <c r="X14" s="104">
        <f>IF('Employee Master'!B14="","",MIN(W14*2,10))</f>
        <v>6</v>
      </c>
      <c r="Y14" s="108">
        <f>IF('Employee Master'!B14="","",3)</f>
        <v>3</v>
      </c>
      <c r="Z14" s="104">
        <f>IF('Employee Master'!B14="","",MIN(Y14*2,10))</f>
        <v>6</v>
      </c>
      <c r="AA14" s="109">
        <f>IF('Employee Master'!B14="","",T14+V14+X14+Z14)</f>
        <v>24</v>
      </c>
      <c r="AB14" s="110">
        <f>IF('Employee Master'!B14="","",R14+AA14)</f>
        <v>50</v>
      </c>
      <c r="AC14" s="27" t="str">
        <f>IF('Employee Master'!B14="","",IF(AB14&gt;=85,"Exceptional",IF(AB14&gt;=70,"High Performer",IF(AB14&gt;=50,"Meets Expectations",IF(AB14&gt;=30,"Below Expectations","Underperformer")))))</f>
        <v>Meets Expectations</v>
      </c>
      <c r="AD14" s="51">
        <f>IF('Employee Master'!B14="","",'Employee Master'!M14)</f>
        <v>0</v>
      </c>
      <c r="AE14" s="52">
        <f>IF('Employee Master'!B14="","",IF(AB14&gt;=85,Settings!B31,IF(AB14&gt;=70,Settings!B32,IF(AB14&gt;=50,Settings!B33,IF(AB14&gt;=30,Settings!B34,Settings!B35)))))</f>
        <v>7.4999999999999997E-2</v>
      </c>
      <c r="AF14" s="51">
        <f>IF('Employee Master'!B14="","",AD14*(1+AE14))</f>
        <v>0</v>
      </c>
      <c r="AG14" s="51">
        <f>IF('Employee Master'!B14="","",AF14-AD14)</f>
        <v>0</v>
      </c>
      <c r="AH14" s="51">
        <f>IF('Employee Master'!B14="","",AG14*12)</f>
        <v>0</v>
      </c>
    </row>
    <row r="15" spans="1:34" ht="23.25" customHeight="1" x14ac:dyDescent="0.2">
      <c r="A15" s="27">
        <f>IF('Employee Master'!B15="","",ROW()-3)</f>
        <v>12</v>
      </c>
      <c r="B15" s="27" t="str">
        <f>IF('Employee Master'!B15="","",'Employee Master'!C15)</f>
        <v>Vini</v>
      </c>
      <c r="C15" s="27" t="str">
        <f>IF('Employee Master'!B15="","",'Employee Master'!D15)</f>
        <v>In-house</v>
      </c>
      <c r="D15" s="27" t="str">
        <f>IF('Employee Master'!B15="","",'Employee Master'!E15)</f>
        <v>Controller</v>
      </c>
      <c r="E15" s="27" t="str">
        <f>IF('Employee Master'!B15="","",'Employee Master'!G15)</f>
        <v>--</v>
      </c>
      <c r="F15" s="51">
        <f>IF('Employee Master'!B15="","",'⑥ Annual Performance'!R15)</f>
        <v>12</v>
      </c>
      <c r="G15" s="103">
        <f>IF('Employee Master'!B15="","",'⑥ Annual Performance'!J15)</f>
        <v>2.34375E-2</v>
      </c>
      <c r="H15" s="104">
        <f>IF('Employee Master'!B15="","",IF(G15&gt;=0.85,15,IF(G15&gt;=0.7,12,IF(G15&gt;=0.55,9,IF(G15&gt;=0.4,6,3)))))</f>
        <v>3</v>
      </c>
      <c r="I15" s="103">
        <f>IF('Employee Master'!B15="","",'⑥ Annual Performance'!Q15)</f>
        <v>0</v>
      </c>
      <c r="J15" s="104">
        <f>IF('Employee Master'!B15="","",IF(I15&gt;=0.98,10,IF(I15&gt;=0.95,8,IF(I15&gt;=0.9,6,IF(I15&gt;=0.85,4,2)))))</f>
        <v>2</v>
      </c>
      <c r="K15" s="105">
        <f>IF('Employee Master'!B15="","",'⑥ Annual Performance'!N15)</f>
        <v>0</v>
      </c>
      <c r="L15" s="104">
        <f>IF('Employee Master'!B15="","",IF(K15&gt;=1000,10,IF(K15&gt;=750,8,IF(K15&gt;=500,6,IF(K15&gt;=250,4,2)))))</f>
        <v>2</v>
      </c>
      <c r="M15" s="105">
        <f>IF('Employee Master'!B15="","",'⑥ Annual Performance'!K15)</f>
        <v>1</v>
      </c>
      <c r="N15" s="106">
        <f>IF('Employee Master'!B15="","",'⑥ Annual Performance'!L15)</f>
        <v>3.5</v>
      </c>
      <c r="O15" s="104">
        <f>IF('Employee Master'!B15="","",MIN(N15*2,10))</f>
        <v>7</v>
      </c>
      <c r="P15" s="104">
        <f>IF('Employee Master'!B15="","",IF(F15&gt;=36,5,IF(F15&gt;=24,4,IF(F15&gt;=12,3,IF(F15&gt;=6,2,1)))))</f>
        <v>3</v>
      </c>
      <c r="Q15" s="104">
        <f>IF('Employee Master'!B15="","",IF(D15="Sr. Controller",10,IF(D15="Coo",10,IF(D15="Controller",9,IF(D15="Asst. Controller",8,IF(D15="Sr. Manager",8,IF(D15="Manager",7,IF(D15="Asst. Manager",6,IF(D15="Team Lead",7,IF(D15="Asst. Team Lead",5,IF(D15="Sr. Associate",4,IF(D15="Associate",3,IF(D15="Full Stack Developer",5,IF(D15="Project Manager (S/W)",6,IF(D15="Marketing",4,4)))))))))))))))</f>
        <v>9</v>
      </c>
      <c r="R15" s="107">
        <f>IF('Employee Master'!B15="","",H15+J15+L15+O15+P15+Q15)</f>
        <v>26</v>
      </c>
      <c r="S15" s="108">
        <f>IF('Employee Master'!B15="","",3)</f>
        <v>3</v>
      </c>
      <c r="T15" s="104">
        <f>IF('Employee Master'!B15="","",MIN(S15*2,10))</f>
        <v>6</v>
      </c>
      <c r="U15" s="108">
        <f>IF('Employee Master'!B15="","",3)</f>
        <v>3</v>
      </c>
      <c r="V15" s="104">
        <f>IF('Employee Master'!B15="","",MIN(U15*2,10))</f>
        <v>6</v>
      </c>
      <c r="W15" s="108">
        <f>IF('Employee Master'!B15="","",3)</f>
        <v>3</v>
      </c>
      <c r="X15" s="104">
        <f>IF('Employee Master'!B15="","",MIN(W15*2,10))</f>
        <v>6</v>
      </c>
      <c r="Y15" s="108">
        <f>IF('Employee Master'!B15="","",3)</f>
        <v>3</v>
      </c>
      <c r="Z15" s="104">
        <f>IF('Employee Master'!B15="","",MIN(Y15*2,10))</f>
        <v>6</v>
      </c>
      <c r="AA15" s="109">
        <f>IF('Employee Master'!B15="","",T15+V15+X15+Z15)</f>
        <v>24</v>
      </c>
      <c r="AB15" s="110">
        <f>IF('Employee Master'!B15="","",R15+AA15)</f>
        <v>50</v>
      </c>
      <c r="AC15" s="27" t="str">
        <f>IF('Employee Master'!B15="","",IF(AB15&gt;=85,"Exceptional",IF(AB15&gt;=70,"High Performer",IF(AB15&gt;=50,"Meets Expectations",IF(AB15&gt;=30,"Below Expectations","Underperformer")))))</f>
        <v>Meets Expectations</v>
      </c>
      <c r="AD15" s="51">
        <f>IF('Employee Master'!B15="","",'Employee Master'!M15)</f>
        <v>175000</v>
      </c>
      <c r="AE15" s="52">
        <f>IF('Employee Master'!B15="","",IF(AB15&gt;=85,Settings!B31,IF(AB15&gt;=70,Settings!B32,IF(AB15&gt;=50,Settings!B33,IF(AB15&gt;=30,Settings!B34,Settings!B35)))))</f>
        <v>7.4999999999999997E-2</v>
      </c>
      <c r="AF15" s="51">
        <f>IF('Employee Master'!B15="","",AD15*(1+AE15))</f>
        <v>188125</v>
      </c>
      <c r="AG15" s="51">
        <f>IF('Employee Master'!B15="","",AF15-AD15)</f>
        <v>13125</v>
      </c>
      <c r="AH15" s="51">
        <f>IF('Employee Master'!B15="","",AG15*12)</f>
        <v>157500</v>
      </c>
    </row>
    <row r="16" spans="1:34" ht="23.25" customHeight="1" x14ac:dyDescent="0.2">
      <c r="A16" s="27">
        <f>IF('Employee Master'!B16="","",ROW()-3)</f>
        <v>13</v>
      </c>
      <c r="B16" s="27" t="str">
        <f>IF('Employee Master'!B16="","",'Employee Master'!C16)</f>
        <v>Asmita</v>
      </c>
      <c r="C16" s="27" t="str">
        <f>IF('Employee Master'!B16="","",'Employee Master'!D16)</f>
        <v>In-house</v>
      </c>
      <c r="D16" s="27" t="str">
        <f>IF('Employee Master'!B16="","",'Employee Master'!E16)</f>
        <v>Sr. Associate</v>
      </c>
      <c r="E16" s="27" t="str">
        <f>IF('Employee Master'!B16="","",'Employee Master'!G16)</f>
        <v>Jyoti</v>
      </c>
      <c r="F16" s="51">
        <f>IF('Employee Master'!B16="","",'⑥ Annual Performance'!R16)</f>
        <v>12</v>
      </c>
      <c r="G16" s="103">
        <f>IF('Employee Master'!B16="","",'⑥ Annual Performance'!J16)</f>
        <v>4.7812500000000001E-2</v>
      </c>
      <c r="H16" s="104">
        <f>IF('Employee Master'!B16="","",IF(G16&gt;=0.85,15,IF(G16&gt;=0.7,12,IF(G16&gt;=0.55,9,IF(G16&gt;=0.4,6,3)))))</f>
        <v>3</v>
      </c>
      <c r="I16" s="103">
        <f>IF('Employee Master'!B16="","",'⑥ Annual Performance'!Q16)</f>
        <v>0</v>
      </c>
      <c r="J16" s="104">
        <f>IF('Employee Master'!B16="","",IF(I16&gt;=0.98,10,IF(I16&gt;=0.95,8,IF(I16&gt;=0.9,6,IF(I16&gt;=0.85,4,2)))))</f>
        <v>2</v>
      </c>
      <c r="K16" s="105">
        <f>IF('Employee Master'!B16="","",'⑥ Annual Performance'!N16)</f>
        <v>0</v>
      </c>
      <c r="L16" s="104">
        <f>IF('Employee Master'!B16="","",IF(K16&gt;=1000,10,IF(K16&gt;=750,8,IF(K16&gt;=500,6,IF(K16&gt;=250,4,2)))))</f>
        <v>2</v>
      </c>
      <c r="M16" s="105">
        <f>IF('Employee Master'!B16="","",'⑥ Annual Performance'!K16)</f>
        <v>5</v>
      </c>
      <c r="N16" s="106">
        <f>IF('Employee Master'!B16="","",'⑥ Annual Performance'!L16)</f>
        <v>3.5</v>
      </c>
      <c r="O16" s="104">
        <f>IF('Employee Master'!B16="","",MIN(N16*2,10))</f>
        <v>7</v>
      </c>
      <c r="P16" s="104">
        <f>IF('Employee Master'!B16="","",IF(F16&gt;=36,5,IF(F16&gt;=24,4,IF(F16&gt;=12,3,IF(F16&gt;=6,2,1)))))</f>
        <v>3</v>
      </c>
      <c r="Q16" s="104">
        <f>IF('Employee Master'!B16="","",IF(D16="Sr. Controller",10,IF(D16="Coo",10,IF(D16="Controller",9,IF(D16="Asst. Controller",8,IF(D16="Sr. Manager",8,IF(D16="Manager",7,IF(D16="Asst. Manager",6,IF(D16="Team Lead",7,IF(D16="Asst. Team Lead",5,IF(D16="Sr. Associate",4,IF(D16="Associate",3,IF(D16="Full Stack Developer",5,IF(D16="Project Manager (S/W)",6,IF(D16="Marketing",4,4)))))))))))))))</f>
        <v>4</v>
      </c>
      <c r="R16" s="107">
        <f>IF('Employee Master'!B16="","",H16+J16+L16+O16+P16+Q16)</f>
        <v>21</v>
      </c>
      <c r="S16" s="108">
        <f>IF('Employee Master'!B16="","",3)</f>
        <v>3</v>
      </c>
      <c r="T16" s="104">
        <f>IF('Employee Master'!B16="","",MIN(S16*2,10))</f>
        <v>6</v>
      </c>
      <c r="U16" s="108">
        <f>IF('Employee Master'!B16="","",3)</f>
        <v>3</v>
      </c>
      <c r="V16" s="104">
        <f>IF('Employee Master'!B16="","",MIN(U16*2,10))</f>
        <v>6</v>
      </c>
      <c r="W16" s="108">
        <f>IF('Employee Master'!B16="","",3)</f>
        <v>3</v>
      </c>
      <c r="X16" s="104">
        <f>IF('Employee Master'!B16="","",MIN(W16*2,10))</f>
        <v>6</v>
      </c>
      <c r="Y16" s="108">
        <f>IF('Employee Master'!B16="","",3)</f>
        <v>3</v>
      </c>
      <c r="Z16" s="104">
        <f>IF('Employee Master'!B16="","",MIN(Y16*2,10))</f>
        <v>6</v>
      </c>
      <c r="AA16" s="109">
        <f>IF('Employee Master'!B16="","",T16+V16+X16+Z16)</f>
        <v>24</v>
      </c>
      <c r="AB16" s="110">
        <f>IF('Employee Master'!B16="","",R16+AA16)</f>
        <v>45</v>
      </c>
      <c r="AC16" s="27" t="str">
        <f>IF('Employee Master'!B16="","",IF(AB16&gt;=85,"Exceptional",IF(AB16&gt;=70,"High Performer",IF(AB16&gt;=50,"Meets Expectations",IF(AB16&gt;=30,"Below Expectations","Underperformer")))))</f>
        <v>Below Expectations</v>
      </c>
      <c r="AD16" s="51">
        <f>IF('Employee Master'!B16="","",'Employee Master'!M16)</f>
        <v>62500</v>
      </c>
      <c r="AE16" s="52">
        <f>IF('Employee Master'!B16="","",IF(AB16&gt;=85,Settings!B31,IF(AB16&gt;=70,Settings!B32,IF(AB16&gt;=50,Settings!B33,IF(AB16&gt;=30,Settings!B34,Settings!B35)))))</f>
        <v>0.03</v>
      </c>
      <c r="AF16" s="51">
        <f>IF('Employee Master'!B16="","",AD16*(1+AE16))</f>
        <v>64375</v>
      </c>
      <c r="AG16" s="51">
        <f>IF('Employee Master'!B16="","",AF16-AD16)</f>
        <v>1875</v>
      </c>
      <c r="AH16" s="51">
        <f>IF('Employee Master'!B16="","",AG16*12)</f>
        <v>22500</v>
      </c>
    </row>
    <row r="17" spans="1:34" ht="23.25" customHeight="1" x14ac:dyDescent="0.2">
      <c r="A17" s="27">
        <f>IF('Employee Master'!B17="","",ROW()-3)</f>
        <v>14</v>
      </c>
      <c r="B17" s="27" t="str">
        <f>IF('Employee Master'!B17="","",'Employee Master'!C17)</f>
        <v>Nikita</v>
      </c>
      <c r="C17" s="27" t="str">
        <f>IF('Employee Master'!B17="","",'Employee Master'!D17)</f>
        <v>In-house</v>
      </c>
      <c r="D17" s="27" t="str">
        <f>IF('Employee Master'!B17="","",'Employee Master'!E17)</f>
        <v>Controller</v>
      </c>
      <c r="E17" s="27" t="str">
        <f>IF('Employee Master'!B17="","",'Employee Master'!G17)</f>
        <v>--</v>
      </c>
      <c r="F17" s="51">
        <f>IF('Employee Master'!B17="","",'⑥ Annual Performance'!R17)</f>
        <v>12</v>
      </c>
      <c r="G17" s="103">
        <f>IF('Employee Master'!B17="","",'⑥ Annual Performance'!J17)</f>
        <v>3.90625E-2</v>
      </c>
      <c r="H17" s="104">
        <f>IF('Employee Master'!B17="","",IF(G17&gt;=0.85,15,IF(G17&gt;=0.7,12,IF(G17&gt;=0.55,9,IF(G17&gt;=0.4,6,3)))))</f>
        <v>3</v>
      </c>
      <c r="I17" s="103">
        <f>IF('Employee Master'!B17="","",'⑥ Annual Performance'!Q17)</f>
        <v>0</v>
      </c>
      <c r="J17" s="104">
        <f>IF('Employee Master'!B17="","",IF(I17&gt;=0.98,10,IF(I17&gt;=0.95,8,IF(I17&gt;=0.9,6,IF(I17&gt;=0.85,4,2)))))</f>
        <v>2</v>
      </c>
      <c r="K17" s="105">
        <f>IF('Employee Master'!B17="","",'⑥ Annual Performance'!N17)</f>
        <v>0</v>
      </c>
      <c r="L17" s="104">
        <f>IF('Employee Master'!B17="","",IF(K17&gt;=1000,10,IF(K17&gt;=750,8,IF(K17&gt;=500,6,IF(K17&gt;=250,4,2)))))</f>
        <v>2</v>
      </c>
      <c r="M17" s="105">
        <f>IF('Employee Master'!B17="","",'⑥ Annual Performance'!K17)</f>
        <v>10</v>
      </c>
      <c r="N17" s="106">
        <f>IF('Employee Master'!B17="","",'⑥ Annual Performance'!L17)</f>
        <v>3.5</v>
      </c>
      <c r="O17" s="104">
        <f>IF('Employee Master'!B17="","",MIN(N17*2,10))</f>
        <v>7</v>
      </c>
      <c r="P17" s="104">
        <f>IF('Employee Master'!B17="","",IF(F17&gt;=36,5,IF(F17&gt;=24,4,IF(F17&gt;=12,3,IF(F17&gt;=6,2,1)))))</f>
        <v>3</v>
      </c>
      <c r="Q17" s="104">
        <f>IF('Employee Master'!B17="","",IF(D17="Sr. Controller",10,IF(D17="Coo",10,IF(D17="Controller",9,IF(D17="Asst. Controller",8,IF(D17="Sr. Manager",8,IF(D17="Manager",7,IF(D17="Asst. Manager",6,IF(D17="Team Lead",7,IF(D17="Asst. Team Lead",5,IF(D17="Sr. Associate",4,IF(D17="Associate",3,IF(D17="Full Stack Developer",5,IF(D17="Project Manager (S/W)",6,IF(D17="Marketing",4,4)))))))))))))))</f>
        <v>9</v>
      </c>
      <c r="R17" s="107">
        <f>IF('Employee Master'!B17="","",H17+J17+L17+O17+P17+Q17)</f>
        <v>26</v>
      </c>
      <c r="S17" s="108">
        <f>IF('Employee Master'!B17="","",3)</f>
        <v>3</v>
      </c>
      <c r="T17" s="104">
        <f>IF('Employee Master'!B17="","",MIN(S17*2,10))</f>
        <v>6</v>
      </c>
      <c r="U17" s="108">
        <f>IF('Employee Master'!B17="","",3)</f>
        <v>3</v>
      </c>
      <c r="V17" s="104">
        <f>IF('Employee Master'!B17="","",MIN(U17*2,10))</f>
        <v>6</v>
      </c>
      <c r="W17" s="108">
        <f>IF('Employee Master'!B17="","",3)</f>
        <v>3</v>
      </c>
      <c r="X17" s="104">
        <f>IF('Employee Master'!B17="","",MIN(W17*2,10))</f>
        <v>6</v>
      </c>
      <c r="Y17" s="108">
        <f>IF('Employee Master'!B17="","",3)</f>
        <v>3</v>
      </c>
      <c r="Z17" s="104">
        <f>IF('Employee Master'!B17="","",MIN(Y17*2,10))</f>
        <v>6</v>
      </c>
      <c r="AA17" s="109">
        <f>IF('Employee Master'!B17="","",T17+V17+X17+Z17)</f>
        <v>24</v>
      </c>
      <c r="AB17" s="110">
        <f>IF('Employee Master'!B17="","",R17+AA17)</f>
        <v>50</v>
      </c>
      <c r="AC17" s="27" t="str">
        <f>IF('Employee Master'!B17="","",IF(AB17&gt;=85,"Exceptional",IF(AB17&gt;=70,"High Performer",IF(AB17&gt;=50,"Meets Expectations",IF(AB17&gt;=30,"Below Expectations","Underperformer")))))</f>
        <v>Meets Expectations</v>
      </c>
      <c r="AD17" s="51">
        <f>IF('Employee Master'!B17="","",'Employee Master'!M17)</f>
        <v>280000</v>
      </c>
      <c r="AE17" s="52">
        <f>IF('Employee Master'!B17="","",IF(AB17&gt;=85,Settings!B31,IF(AB17&gt;=70,Settings!B32,IF(AB17&gt;=50,Settings!B33,IF(AB17&gt;=30,Settings!B34,Settings!B35)))))</f>
        <v>7.4999999999999997E-2</v>
      </c>
      <c r="AF17" s="51">
        <f>IF('Employee Master'!B17="","",AD17*(1+AE17))</f>
        <v>301000</v>
      </c>
      <c r="AG17" s="51">
        <f>IF('Employee Master'!B17="","",AF17-AD17)</f>
        <v>21000</v>
      </c>
      <c r="AH17" s="51">
        <f>IF('Employee Master'!B17="","",AG17*12)</f>
        <v>252000</v>
      </c>
    </row>
    <row r="18" spans="1:34" ht="23.25" customHeight="1" x14ac:dyDescent="0.2">
      <c r="A18" s="27">
        <f>IF('Employee Master'!B18="","",ROW()-3)</f>
        <v>15</v>
      </c>
      <c r="B18" s="27" t="str">
        <f>IF('Employee Master'!B18="","",'Employee Master'!C18)</f>
        <v>Ayushi</v>
      </c>
      <c r="C18" s="27" t="str">
        <f>IF('Employee Master'!B18="","",'Employee Master'!D18)</f>
        <v>In-house</v>
      </c>
      <c r="D18" s="27" t="str">
        <f>IF('Employee Master'!B18="","",'Employee Master'!E18)</f>
        <v>Asst. Controller</v>
      </c>
      <c r="E18" s="27" t="str">
        <f>IF('Employee Master'!B18="","",'Employee Master'!G18)</f>
        <v>--</v>
      </c>
      <c r="F18" s="51">
        <f>IF('Employee Master'!B18="","",'⑥ Annual Performance'!R18)</f>
        <v>12</v>
      </c>
      <c r="G18" s="103">
        <f>IF('Employee Master'!B18="","",'⑥ Annual Performance'!J18)</f>
        <v>1.1979166666666667E-2</v>
      </c>
      <c r="H18" s="104">
        <f>IF('Employee Master'!B18="","",IF(G18&gt;=0.85,15,IF(G18&gt;=0.7,12,IF(G18&gt;=0.55,9,IF(G18&gt;=0.4,6,3)))))</f>
        <v>3</v>
      </c>
      <c r="I18" s="103">
        <f>IF('Employee Master'!B18="","",'⑥ Annual Performance'!Q18)</f>
        <v>0</v>
      </c>
      <c r="J18" s="104">
        <f>IF('Employee Master'!B18="","",IF(I18&gt;=0.98,10,IF(I18&gt;=0.95,8,IF(I18&gt;=0.9,6,IF(I18&gt;=0.85,4,2)))))</f>
        <v>2</v>
      </c>
      <c r="K18" s="105">
        <f>IF('Employee Master'!B18="","",'⑥ Annual Performance'!N18)</f>
        <v>0</v>
      </c>
      <c r="L18" s="104">
        <f>IF('Employee Master'!B18="","",IF(K18&gt;=1000,10,IF(K18&gt;=750,8,IF(K18&gt;=500,6,IF(K18&gt;=250,4,2)))))</f>
        <v>2</v>
      </c>
      <c r="M18" s="105">
        <f>IF('Employee Master'!B18="","",'⑥ Annual Performance'!K18)</f>
        <v>3</v>
      </c>
      <c r="N18" s="106">
        <f>IF('Employee Master'!B18="","",'⑥ Annual Performance'!L18)</f>
        <v>3.5</v>
      </c>
      <c r="O18" s="104">
        <f>IF('Employee Master'!B18="","",MIN(N18*2,10))</f>
        <v>7</v>
      </c>
      <c r="P18" s="104">
        <f>IF('Employee Master'!B18="","",IF(F18&gt;=36,5,IF(F18&gt;=24,4,IF(F18&gt;=12,3,IF(F18&gt;=6,2,1)))))</f>
        <v>3</v>
      </c>
      <c r="Q18" s="104">
        <f>IF('Employee Master'!B18="","",IF(D18="Sr. Controller",10,IF(D18="Coo",10,IF(D18="Controller",9,IF(D18="Asst. Controller",8,IF(D18="Sr. Manager",8,IF(D18="Manager",7,IF(D18="Asst. Manager",6,IF(D18="Team Lead",7,IF(D18="Asst. Team Lead",5,IF(D18="Sr. Associate",4,IF(D18="Associate",3,IF(D18="Full Stack Developer",5,IF(D18="Project Manager (S/W)",6,IF(D18="Marketing",4,4)))))))))))))))</f>
        <v>8</v>
      </c>
      <c r="R18" s="107">
        <f>IF('Employee Master'!B18="","",H18+J18+L18+O18+P18+Q18)</f>
        <v>25</v>
      </c>
      <c r="S18" s="108">
        <f>IF('Employee Master'!B18="","",3)</f>
        <v>3</v>
      </c>
      <c r="T18" s="104">
        <f>IF('Employee Master'!B18="","",MIN(S18*2,10))</f>
        <v>6</v>
      </c>
      <c r="U18" s="108">
        <f>IF('Employee Master'!B18="","",3)</f>
        <v>3</v>
      </c>
      <c r="V18" s="104">
        <f>IF('Employee Master'!B18="","",MIN(U18*2,10))</f>
        <v>6</v>
      </c>
      <c r="W18" s="108">
        <f>IF('Employee Master'!B18="","",3)</f>
        <v>3</v>
      </c>
      <c r="X18" s="104">
        <f>IF('Employee Master'!B18="","",MIN(W18*2,10))</f>
        <v>6</v>
      </c>
      <c r="Y18" s="108">
        <f>IF('Employee Master'!B18="","",3)</f>
        <v>3</v>
      </c>
      <c r="Z18" s="104">
        <f>IF('Employee Master'!B18="","",MIN(Y18*2,10))</f>
        <v>6</v>
      </c>
      <c r="AA18" s="109">
        <f>IF('Employee Master'!B18="","",T18+V18+X18+Z18)</f>
        <v>24</v>
      </c>
      <c r="AB18" s="110">
        <f>IF('Employee Master'!B18="","",R18+AA18)</f>
        <v>49</v>
      </c>
      <c r="AC18" s="27" t="str">
        <f>IF('Employee Master'!B18="","",IF(AB18&gt;=85,"Exceptional",IF(AB18&gt;=70,"High Performer",IF(AB18&gt;=50,"Meets Expectations",IF(AB18&gt;=30,"Below Expectations","Underperformer")))))</f>
        <v>Below Expectations</v>
      </c>
      <c r="AD18" s="51">
        <f>IF('Employee Master'!B18="","",'Employee Master'!M18)</f>
        <v>145000</v>
      </c>
      <c r="AE18" s="52">
        <f>IF('Employee Master'!B18="","",IF(AB18&gt;=85,Settings!B31,IF(AB18&gt;=70,Settings!B32,IF(AB18&gt;=50,Settings!B33,IF(AB18&gt;=30,Settings!B34,Settings!B35)))))</f>
        <v>0.03</v>
      </c>
      <c r="AF18" s="51">
        <f>IF('Employee Master'!B18="","",AD18*(1+AE18))</f>
        <v>149350</v>
      </c>
      <c r="AG18" s="51">
        <f>IF('Employee Master'!B18="","",AF18-AD18)</f>
        <v>4350</v>
      </c>
      <c r="AH18" s="51">
        <f>IF('Employee Master'!B18="","",AG18*12)</f>
        <v>52200</v>
      </c>
    </row>
    <row r="19" spans="1:34" ht="23.25" customHeight="1" x14ac:dyDescent="0.2">
      <c r="A19" s="27">
        <f>IF('Employee Master'!B19="","",ROW()-3)</f>
        <v>16</v>
      </c>
      <c r="B19" s="27" t="str">
        <f>IF('Employee Master'!B19="","",'Employee Master'!C19)</f>
        <v>Shefali</v>
      </c>
      <c r="C19" s="27" t="str">
        <f>IF('Employee Master'!B19="","",'Employee Master'!D19)</f>
        <v>In-house</v>
      </c>
      <c r="D19" s="27" t="str">
        <f>IF('Employee Master'!B19="","",'Employee Master'!E19)</f>
        <v>Team Lead</v>
      </c>
      <c r="E19" s="27" t="str">
        <f>IF('Employee Master'!B19="","",'Employee Master'!G19)</f>
        <v>Nikita Shah</v>
      </c>
      <c r="F19" s="51">
        <f>IF('Employee Master'!B19="","",'⑥ Annual Performance'!R19)</f>
        <v>12</v>
      </c>
      <c r="G19" s="103">
        <f>IF('Employee Master'!B19="","",'⑥ Annual Performance'!J19)</f>
        <v>5.4947916666666666E-2</v>
      </c>
      <c r="H19" s="104">
        <f>IF('Employee Master'!B19="","",IF(G19&gt;=0.85,15,IF(G19&gt;=0.7,12,IF(G19&gt;=0.55,9,IF(G19&gt;=0.4,6,3)))))</f>
        <v>3</v>
      </c>
      <c r="I19" s="103">
        <f>IF('Employee Master'!B19="","",'⑥ Annual Performance'!Q19)</f>
        <v>0</v>
      </c>
      <c r="J19" s="104">
        <f>IF('Employee Master'!B19="","",IF(I19&gt;=0.98,10,IF(I19&gt;=0.95,8,IF(I19&gt;=0.9,6,IF(I19&gt;=0.85,4,2)))))</f>
        <v>2</v>
      </c>
      <c r="K19" s="105">
        <f>IF('Employee Master'!B19="","",'⑥ Annual Performance'!N19)</f>
        <v>0</v>
      </c>
      <c r="L19" s="104">
        <f>IF('Employee Master'!B19="","",IF(K19&gt;=1000,10,IF(K19&gt;=750,8,IF(K19&gt;=500,6,IF(K19&gt;=250,4,2)))))</f>
        <v>2</v>
      </c>
      <c r="M19" s="105">
        <f>IF('Employee Master'!B19="","",'⑥ Annual Performance'!K19)</f>
        <v>8</v>
      </c>
      <c r="N19" s="106">
        <f>IF('Employee Master'!B19="","",'⑥ Annual Performance'!L19)</f>
        <v>3.5</v>
      </c>
      <c r="O19" s="104">
        <f>IF('Employee Master'!B19="","",MIN(N19*2,10))</f>
        <v>7</v>
      </c>
      <c r="P19" s="104">
        <f>IF('Employee Master'!B19="","",IF(F19&gt;=36,5,IF(F19&gt;=24,4,IF(F19&gt;=12,3,IF(F19&gt;=6,2,1)))))</f>
        <v>3</v>
      </c>
      <c r="Q19" s="104">
        <f>IF('Employee Master'!B19="","",IF(D19="Sr. Controller",10,IF(D19="Coo",10,IF(D19="Controller",9,IF(D19="Asst. Controller",8,IF(D19="Sr. Manager",8,IF(D19="Manager",7,IF(D19="Asst. Manager",6,IF(D19="Team Lead",7,IF(D19="Asst. Team Lead",5,IF(D19="Sr. Associate",4,IF(D19="Associate",3,IF(D19="Full Stack Developer",5,IF(D19="Project Manager (S/W)",6,IF(D19="Marketing",4,4)))))))))))))))</f>
        <v>7</v>
      </c>
      <c r="R19" s="107">
        <f>IF('Employee Master'!B19="","",H19+J19+L19+O19+P19+Q19)</f>
        <v>24</v>
      </c>
      <c r="S19" s="108">
        <f>IF('Employee Master'!B19="","",3)</f>
        <v>3</v>
      </c>
      <c r="T19" s="104">
        <f>IF('Employee Master'!B19="","",MIN(S19*2,10))</f>
        <v>6</v>
      </c>
      <c r="U19" s="108">
        <f>IF('Employee Master'!B19="","",3)</f>
        <v>3</v>
      </c>
      <c r="V19" s="104">
        <f>IF('Employee Master'!B19="","",MIN(U19*2,10))</f>
        <v>6</v>
      </c>
      <c r="W19" s="108">
        <f>IF('Employee Master'!B19="","",3)</f>
        <v>3</v>
      </c>
      <c r="X19" s="104">
        <f>IF('Employee Master'!B19="","",MIN(W19*2,10))</f>
        <v>6</v>
      </c>
      <c r="Y19" s="108">
        <f>IF('Employee Master'!B19="","",3)</f>
        <v>3</v>
      </c>
      <c r="Z19" s="104">
        <f>IF('Employee Master'!B19="","",MIN(Y19*2,10))</f>
        <v>6</v>
      </c>
      <c r="AA19" s="109">
        <f>IF('Employee Master'!B19="","",T19+V19+X19+Z19)</f>
        <v>24</v>
      </c>
      <c r="AB19" s="110">
        <f>IF('Employee Master'!B19="","",R19+AA19)</f>
        <v>48</v>
      </c>
      <c r="AC19" s="27" t="str">
        <f>IF('Employee Master'!B19="","",IF(AB19&gt;=85,"Exceptional",IF(AB19&gt;=70,"High Performer",IF(AB19&gt;=50,"Meets Expectations",IF(AB19&gt;=30,"Below Expectations","Underperformer")))))</f>
        <v>Below Expectations</v>
      </c>
      <c r="AD19" s="51">
        <f>IF('Employee Master'!B19="","",'Employee Master'!M19)</f>
        <v>135000</v>
      </c>
      <c r="AE19" s="52">
        <f>IF('Employee Master'!B19="","",IF(AB19&gt;=85,Settings!B31,IF(AB19&gt;=70,Settings!B32,IF(AB19&gt;=50,Settings!B33,IF(AB19&gt;=30,Settings!B34,Settings!B35)))))</f>
        <v>0.03</v>
      </c>
      <c r="AF19" s="51">
        <f>IF('Employee Master'!B19="","",AD19*(1+AE19))</f>
        <v>139050</v>
      </c>
      <c r="AG19" s="51">
        <f>IF('Employee Master'!B19="","",AF19-AD19)</f>
        <v>4050</v>
      </c>
      <c r="AH19" s="51">
        <f>IF('Employee Master'!B19="","",AG19*12)</f>
        <v>48600</v>
      </c>
    </row>
    <row r="20" spans="1:34" ht="23.25" customHeight="1" x14ac:dyDescent="0.2">
      <c r="A20" s="27">
        <f>IF('Employee Master'!B20="","",ROW()-3)</f>
        <v>17</v>
      </c>
      <c r="B20" s="27" t="str">
        <f>IF('Employee Master'!B20="","",'Employee Master'!C20)</f>
        <v>Rashi</v>
      </c>
      <c r="C20" s="27" t="str">
        <f>IF('Employee Master'!B20="","",'Employee Master'!D20)</f>
        <v>In-house</v>
      </c>
      <c r="D20" s="27" t="str">
        <f>IF('Employee Master'!B20="","",'Employee Master'!E20)</f>
        <v>Asst. Manager</v>
      </c>
      <c r="E20" s="27" t="str">
        <f>IF('Employee Master'!B20="","",'Employee Master'!G20)</f>
        <v>Vinita Dagar</v>
      </c>
      <c r="F20" s="51">
        <f>IF('Employee Master'!B20="","",'⑥ Annual Performance'!R20)</f>
        <v>12</v>
      </c>
      <c r="G20" s="103">
        <f>IF('Employee Master'!B20="","",'⑥ Annual Performance'!J20)</f>
        <v>0</v>
      </c>
      <c r="H20" s="104">
        <f>IF('Employee Master'!B20="","",IF(G20&gt;=0.85,15,IF(G20&gt;=0.7,12,IF(G20&gt;=0.55,9,IF(G20&gt;=0.4,6,3)))))</f>
        <v>3</v>
      </c>
      <c r="I20" s="103">
        <f>IF('Employee Master'!B20="","",'⑥ Annual Performance'!Q20)</f>
        <v>0</v>
      </c>
      <c r="J20" s="104">
        <f>IF('Employee Master'!B20="","",IF(I20&gt;=0.98,10,IF(I20&gt;=0.95,8,IF(I20&gt;=0.9,6,IF(I20&gt;=0.85,4,2)))))</f>
        <v>2</v>
      </c>
      <c r="K20" s="105">
        <f>IF('Employee Master'!B20="","",'⑥ Annual Performance'!N20)</f>
        <v>0</v>
      </c>
      <c r="L20" s="104">
        <f>IF('Employee Master'!B20="","",IF(K20&gt;=1000,10,IF(K20&gt;=750,8,IF(K20&gt;=500,6,IF(K20&gt;=250,4,2)))))</f>
        <v>2</v>
      </c>
      <c r="M20" s="105">
        <f>IF('Employee Master'!B20="","",'⑥ Annual Performance'!K20)</f>
        <v>0</v>
      </c>
      <c r="N20" s="106">
        <f>IF('Employee Master'!B20="","",'⑥ Annual Performance'!L20)</f>
        <v>3.5</v>
      </c>
      <c r="O20" s="104">
        <f>IF('Employee Master'!B20="","",MIN(N20*2,10))</f>
        <v>7</v>
      </c>
      <c r="P20" s="104">
        <f>IF('Employee Master'!B20="","",IF(F20&gt;=36,5,IF(F20&gt;=24,4,IF(F20&gt;=12,3,IF(F20&gt;=6,2,1)))))</f>
        <v>3</v>
      </c>
      <c r="Q20" s="104">
        <f>IF('Employee Master'!B20="","",IF(D20="Sr. Controller",10,IF(D20="Coo",10,IF(D20="Controller",9,IF(D20="Asst. Controller",8,IF(D20="Sr. Manager",8,IF(D20="Manager",7,IF(D20="Asst. Manager",6,IF(D20="Team Lead",7,IF(D20="Asst. Team Lead",5,IF(D20="Sr. Associate",4,IF(D20="Associate",3,IF(D20="Full Stack Developer",5,IF(D20="Project Manager (S/W)",6,IF(D20="Marketing",4,4)))))))))))))))</f>
        <v>6</v>
      </c>
      <c r="R20" s="107">
        <f>IF('Employee Master'!B20="","",H20+J20+L20+O20+P20+Q20)</f>
        <v>23</v>
      </c>
      <c r="S20" s="108">
        <f>IF('Employee Master'!B20="","",3)</f>
        <v>3</v>
      </c>
      <c r="T20" s="104">
        <f>IF('Employee Master'!B20="","",MIN(S20*2,10))</f>
        <v>6</v>
      </c>
      <c r="U20" s="108">
        <f>IF('Employee Master'!B20="","",3)</f>
        <v>3</v>
      </c>
      <c r="V20" s="104">
        <f>IF('Employee Master'!B20="","",MIN(U20*2,10))</f>
        <v>6</v>
      </c>
      <c r="W20" s="108">
        <f>IF('Employee Master'!B20="","",3)</f>
        <v>3</v>
      </c>
      <c r="X20" s="104">
        <f>IF('Employee Master'!B20="","",MIN(W20*2,10))</f>
        <v>6</v>
      </c>
      <c r="Y20" s="108">
        <f>IF('Employee Master'!B20="","",3)</f>
        <v>3</v>
      </c>
      <c r="Z20" s="104">
        <f>IF('Employee Master'!B20="","",MIN(Y20*2,10))</f>
        <v>6</v>
      </c>
      <c r="AA20" s="109">
        <f>IF('Employee Master'!B20="","",T20+V20+X20+Z20)</f>
        <v>24</v>
      </c>
      <c r="AB20" s="110">
        <f>IF('Employee Master'!B20="","",R20+AA20)</f>
        <v>47</v>
      </c>
      <c r="AC20" s="27" t="str">
        <f>IF('Employee Master'!B20="","",IF(AB20&gt;=85,"Exceptional",IF(AB20&gt;=70,"High Performer",IF(AB20&gt;=50,"Meets Expectations",IF(AB20&gt;=30,"Below Expectations","Underperformer")))))</f>
        <v>Below Expectations</v>
      </c>
      <c r="AD20" s="51">
        <f>IF('Employee Master'!B20="","",'Employee Master'!M20)</f>
        <v>70000</v>
      </c>
      <c r="AE20" s="52">
        <f>IF('Employee Master'!B20="","",IF(AB20&gt;=85,Settings!B31,IF(AB20&gt;=70,Settings!B32,IF(AB20&gt;=50,Settings!B33,IF(AB20&gt;=30,Settings!B34,Settings!B35)))))</f>
        <v>0.03</v>
      </c>
      <c r="AF20" s="51">
        <f>IF('Employee Master'!B20="","",AD20*(1+AE20))</f>
        <v>72100</v>
      </c>
      <c r="AG20" s="51">
        <f>IF('Employee Master'!B20="","",AF20-AD20)</f>
        <v>2100</v>
      </c>
      <c r="AH20" s="51">
        <f>IF('Employee Master'!B20="","",AG20*12)</f>
        <v>25200</v>
      </c>
    </row>
    <row r="21" spans="1:34" ht="23.25" customHeight="1" x14ac:dyDescent="0.2">
      <c r="A21" s="27">
        <f>IF('Employee Master'!B21="","",ROW()-3)</f>
        <v>18</v>
      </c>
      <c r="B21" s="27" t="str">
        <f>IF('Employee Master'!B21="","",'Employee Master'!C21)</f>
        <v>Gaganjot</v>
      </c>
      <c r="C21" s="27" t="str">
        <f>IF('Employee Master'!B21="","",'Employee Master'!D21)</f>
        <v>In-house</v>
      </c>
      <c r="D21" s="27" t="str">
        <f>IF('Employee Master'!B21="","",'Employee Master'!E21)</f>
        <v>Asst. Team Lead</v>
      </c>
      <c r="E21" s="27" t="str">
        <f>IF('Employee Master'!B21="","",'Employee Master'!G21)</f>
        <v>Nikita Shah</v>
      </c>
      <c r="F21" s="51">
        <f>IF('Employee Master'!B21="","",'⑥ Annual Performance'!R21)</f>
        <v>12</v>
      </c>
      <c r="G21" s="103">
        <f>IF('Employee Master'!B21="","",'⑥ Annual Performance'!J21)</f>
        <v>4.3124999999999997E-2</v>
      </c>
      <c r="H21" s="104">
        <f>IF('Employee Master'!B21="","",IF(G21&gt;=0.85,15,IF(G21&gt;=0.7,12,IF(G21&gt;=0.55,9,IF(G21&gt;=0.4,6,3)))))</f>
        <v>3</v>
      </c>
      <c r="I21" s="103">
        <f>IF('Employee Master'!B21="","",'⑥ Annual Performance'!Q21)</f>
        <v>0</v>
      </c>
      <c r="J21" s="104">
        <f>IF('Employee Master'!B21="","",IF(I21&gt;=0.98,10,IF(I21&gt;=0.95,8,IF(I21&gt;=0.9,6,IF(I21&gt;=0.85,4,2)))))</f>
        <v>2</v>
      </c>
      <c r="K21" s="105">
        <f>IF('Employee Master'!B21="","",'⑥ Annual Performance'!N21)</f>
        <v>0</v>
      </c>
      <c r="L21" s="104">
        <f>IF('Employee Master'!B21="","",IF(K21&gt;=1000,10,IF(K21&gt;=750,8,IF(K21&gt;=500,6,IF(K21&gt;=250,4,2)))))</f>
        <v>2</v>
      </c>
      <c r="M21" s="105">
        <f>IF('Employee Master'!B21="","",'⑥ Annual Performance'!K21)</f>
        <v>5</v>
      </c>
      <c r="N21" s="106">
        <f>IF('Employee Master'!B21="","",'⑥ Annual Performance'!L21)</f>
        <v>3.5</v>
      </c>
      <c r="O21" s="104">
        <f>IF('Employee Master'!B21="","",MIN(N21*2,10))</f>
        <v>7</v>
      </c>
      <c r="P21" s="104">
        <f>IF('Employee Master'!B21="","",IF(F21&gt;=36,5,IF(F21&gt;=24,4,IF(F21&gt;=12,3,IF(F21&gt;=6,2,1)))))</f>
        <v>3</v>
      </c>
      <c r="Q21" s="104">
        <f>IF('Employee Master'!B21="","",IF(D21="Sr. Controller",10,IF(D21="Coo",10,IF(D21="Controller",9,IF(D21="Asst. Controller",8,IF(D21="Sr. Manager",8,IF(D21="Manager",7,IF(D21="Asst. Manager",6,IF(D21="Team Lead",7,IF(D21="Asst. Team Lead",5,IF(D21="Sr. Associate",4,IF(D21="Associate",3,IF(D21="Full Stack Developer",5,IF(D21="Project Manager (S/W)",6,IF(D21="Marketing",4,4)))))))))))))))</f>
        <v>5</v>
      </c>
      <c r="R21" s="107">
        <f>IF('Employee Master'!B21="","",H21+J21+L21+O21+P21+Q21)</f>
        <v>22</v>
      </c>
      <c r="S21" s="108">
        <f>IF('Employee Master'!B21="","",3)</f>
        <v>3</v>
      </c>
      <c r="T21" s="104">
        <f>IF('Employee Master'!B21="","",MIN(S21*2,10))</f>
        <v>6</v>
      </c>
      <c r="U21" s="108">
        <f>IF('Employee Master'!B21="","",3)</f>
        <v>3</v>
      </c>
      <c r="V21" s="104">
        <f>IF('Employee Master'!B21="","",MIN(U21*2,10))</f>
        <v>6</v>
      </c>
      <c r="W21" s="108">
        <f>IF('Employee Master'!B21="","",3)</f>
        <v>3</v>
      </c>
      <c r="X21" s="104">
        <f>IF('Employee Master'!B21="","",MIN(W21*2,10))</f>
        <v>6</v>
      </c>
      <c r="Y21" s="108">
        <f>IF('Employee Master'!B21="","",3)</f>
        <v>3</v>
      </c>
      <c r="Z21" s="104">
        <f>IF('Employee Master'!B21="","",MIN(Y21*2,10))</f>
        <v>6</v>
      </c>
      <c r="AA21" s="109">
        <f>IF('Employee Master'!B21="","",T21+V21+X21+Z21)</f>
        <v>24</v>
      </c>
      <c r="AB21" s="110">
        <f>IF('Employee Master'!B21="","",R21+AA21)</f>
        <v>46</v>
      </c>
      <c r="AC21" s="27" t="str">
        <f>IF('Employee Master'!B21="","",IF(AB21&gt;=85,"Exceptional",IF(AB21&gt;=70,"High Performer",IF(AB21&gt;=50,"Meets Expectations",IF(AB21&gt;=30,"Below Expectations","Underperformer")))))</f>
        <v>Below Expectations</v>
      </c>
      <c r="AD21" s="51">
        <f>IF('Employee Master'!B21="","",'Employee Master'!M21)</f>
        <v>70000</v>
      </c>
      <c r="AE21" s="52">
        <f>IF('Employee Master'!B21="","",IF(AB21&gt;=85,Settings!B31,IF(AB21&gt;=70,Settings!B32,IF(AB21&gt;=50,Settings!B33,IF(AB21&gt;=30,Settings!B34,Settings!B35)))))</f>
        <v>0.03</v>
      </c>
      <c r="AF21" s="51">
        <f>IF('Employee Master'!B21="","",AD21*(1+AE21))</f>
        <v>72100</v>
      </c>
      <c r="AG21" s="51">
        <f>IF('Employee Master'!B21="","",AF21-AD21)</f>
        <v>2100</v>
      </c>
      <c r="AH21" s="51">
        <f>IF('Employee Master'!B21="","",AG21*12)</f>
        <v>25200</v>
      </c>
    </row>
    <row r="22" spans="1:34" ht="23.25" customHeight="1" x14ac:dyDescent="0.2">
      <c r="A22" s="27">
        <f>IF('Employee Master'!B22="","",ROW()-3)</f>
        <v>19</v>
      </c>
      <c r="B22" s="27" t="str">
        <f>IF('Employee Master'!B22="","",'Employee Master'!C22)</f>
        <v>Robin</v>
      </c>
      <c r="C22" s="27" t="str">
        <f>IF('Employee Master'!B22="","",'Employee Master'!D22)</f>
        <v>In-house</v>
      </c>
      <c r="D22" s="27" t="str">
        <f>IF('Employee Master'!B22="","",'Employee Master'!E22)</f>
        <v>Sr. Associate</v>
      </c>
      <c r="E22" s="27" t="str">
        <f>IF('Employee Master'!B22="","",'Employee Master'!G22)</f>
        <v>Jyoti</v>
      </c>
      <c r="F22" s="51">
        <f>IF('Employee Master'!B22="","",'⑥ Annual Performance'!R22)</f>
        <v>12</v>
      </c>
      <c r="G22" s="103">
        <f>IF('Employee Master'!B22="","",'⑥ Annual Performance'!J22)</f>
        <v>8.2708333333333342E-2</v>
      </c>
      <c r="H22" s="104">
        <f>IF('Employee Master'!B22="","",IF(G22&gt;=0.85,15,IF(G22&gt;=0.7,12,IF(G22&gt;=0.55,9,IF(G22&gt;=0.4,6,3)))))</f>
        <v>3</v>
      </c>
      <c r="I22" s="103">
        <f>IF('Employee Master'!B22="","",'⑥ Annual Performance'!Q22)</f>
        <v>0</v>
      </c>
      <c r="J22" s="104">
        <f>IF('Employee Master'!B22="","",IF(I22&gt;=0.98,10,IF(I22&gt;=0.95,8,IF(I22&gt;=0.9,6,IF(I22&gt;=0.85,4,2)))))</f>
        <v>2</v>
      </c>
      <c r="K22" s="105">
        <f>IF('Employee Master'!B22="","",'⑥ Annual Performance'!N22)</f>
        <v>0</v>
      </c>
      <c r="L22" s="104">
        <f>IF('Employee Master'!B22="","",IF(K22&gt;=1000,10,IF(K22&gt;=750,8,IF(K22&gt;=500,6,IF(K22&gt;=250,4,2)))))</f>
        <v>2</v>
      </c>
      <c r="M22" s="105">
        <f>IF('Employee Master'!B22="","",'⑥ Annual Performance'!K22)</f>
        <v>5</v>
      </c>
      <c r="N22" s="106">
        <f>IF('Employee Master'!B22="","",'⑥ Annual Performance'!L22)</f>
        <v>3.5</v>
      </c>
      <c r="O22" s="104">
        <f>IF('Employee Master'!B22="","",MIN(N22*2,10))</f>
        <v>7</v>
      </c>
      <c r="P22" s="104">
        <f>IF('Employee Master'!B22="","",IF(F22&gt;=36,5,IF(F22&gt;=24,4,IF(F22&gt;=12,3,IF(F22&gt;=6,2,1)))))</f>
        <v>3</v>
      </c>
      <c r="Q22" s="104">
        <f>IF('Employee Master'!B22="","",IF(D22="Sr. Controller",10,IF(D22="Coo",10,IF(D22="Controller",9,IF(D22="Asst. Controller",8,IF(D22="Sr. Manager",8,IF(D22="Manager",7,IF(D22="Asst. Manager",6,IF(D22="Team Lead",7,IF(D22="Asst. Team Lead",5,IF(D22="Sr. Associate",4,IF(D22="Associate",3,IF(D22="Full Stack Developer",5,IF(D22="Project Manager (S/W)",6,IF(D22="Marketing",4,4)))))))))))))))</f>
        <v>4</v>
      </c>
      <c r="R22" s="107">
        <f>IF('Employee Master'!B22="","",H22+J22+L22+O22+P22+Q22)</f>
        <v>21</v>
      </c>
      <c r="S22" s="108">
        <f>IF('Employee Master'!B22="","",3)</f>
        <v>3</v>
      </c>
      <c r="T22" s="104">
        <f>IF('Employee Master'!B22="","",MIN(S22*2,10))</f>
        <v>6</v>
      </c>
      <c r="U22" s="108">
        <f>IF('Employee Master'!B22="","",3)</f>
        <v>3</v>
      </c>
      <c r="V22" s="104">
        <f>IF('Employee Master'!B22="","",MIN(U22*2,10))</f>
        <v>6</v>
      </c>
      <c r="W22" s="108">
        <f>IF('Employee Master'!B22="","",3)</f>
        <v>3</v>
      </c>
      <c r="X22" s="104">
        <f>IF('Employee Master'!B22="","",MIN(W22*2,10))</f>
        <v>6</v>
      </c>
      <c r="Y22" s="108">
        <f>IF('Employee Master'!B22="","",3)</f>
        <v>3</v>
      </c>
      <c r="Z22" s="104">
        <f>IF('Employee Master'!B22="","",MIN(Y22*2,10))</f>
        <v>6</v>
      </c>
      <c r="AA22" s="109">
        <f>IF('Employee Master'!B22="","",T22+V22+X22+Z22)</f>
        <v>24</v>
      </c>
      <c r="AB22" s="110">
        <f>IF('Employee Master'!B22="","",R22+AA22)</f>
        <v>45</v>
      </c>
      <c r="AC22" s="27" t="str">
        <f>IF('Employee Master'!B22="","",IF(AB22&gt;=85,"Exceptional",IF(AB22&gt;=70,"High Performer",IF(AB22&gt;=50,"Meets Expectations",IF(AB22&gt;=30,"Below Expectations","Underperformer")))))</f>
        <v>Below Expectations</v>
      </c>
      <c r="AD22" s="51">
        <f>IF('Employee Master'!B22="","",'Employee Master'!M22)</f>
        <v>70000</v>
      </c>
      <c r="AE22" s="52">
        <f>IF('Employee Master'!B22="","",IF(AB22&gt;=85,Settings!B31,IF(AB22&gt;=70,Settings!B32,IF(AB22&gt;=50,Settings!B33,IF(AB22&gt;=30,Settings!B34,Settings!B35)))))</f>
        <v>0.03</v>
      </c>
      <c r="AF22" s="51">
        <f>IF('Employee Master'!B22="","",AD22*(1+AE22))</f>
        <v>72100</v>
      </c>
      <c r="AG22" s="51">
        <f>IF('Employee Master'!B22="","",AF22-AD22)</f>
        <v>2100</v>
      </c>
      <c r="AH22" s="51">
        <f>IF('Employee Master'!B22="","",AG22*12)</f>
        <v>25200</v>
      </c>
    </row>
    <row r="23" spans="1:34" ht="23.25" customHeight="1" x14ac:dyDescent="0.2">
      <c r="A23" s="27">
        <f>IF('Employee Master'!B23="","",ROW()-3)</f>
        <v>20</v>
      </c>
      <c r="B23" s="27" t="str">
        <f>IF('Employee Master'!B23="","",'Employee Master'!C23)</f>
        <v>Nishu</v>
      </c>
      <c r="C23" s="27" t="str">
        <f>IF('Employee Master'!B23="","",'Employee Master'!D23)</f>
        <v>In-house</v>
      </c>
      <c r="D23" s="27" t="str">
        <f>IF('Employee Master'!B23="","",'Employee Master'!E23)</f>
        <v>Associate</v>
      </c>
      <c r="E23" s="27" t="str">
        <f>IF('Employee Master'!B23="","",'Employee Master'!G23)</f>
        <v>Jyoti</v>
      </c>
      <c r="F23" s="51">
        <f>IF('Employee Master'!B23="","",'⑥ Annual Performance'!R23)</f>
        <v>12</v>
      </c>
      <c r="G23" s="103">
        <f>IF('Employee Master'!B23="","",'⑥ Annual Performance'!J23)</f>
        <v>8.130208333333333E-2</v>
      </c>
      <c r="H23" s="104">
        <f>IF('Employee Master'!B23="","",IF(G23&gt;=0.85,15,IF(G23&gt;=0.7,12,IF(G23&gt;=0.55,9,IF(G23&gt;=0.4,6,3)))))</f>
        <v>3</v>
      </c>
      <c r="I23" s="103">
        <f>IF('Employee Master'!B23="","",'⑥ Annual Performance'!Q23)</f>
        <v>0</v>
      </c>
      <c r="J23" s="104">
        <f>IF('Employee Master'!B23="","",IF(I23&gt;=0.98,10,IF(I23&gt;=0.95,8,IF(I23&gt;=0.9,6,IF(I23&gt;=0.85,4,2)))))</f>
        <v>2</v>
      </c>
      <c r="K23" s="105">
        <f>IF('Employee Master'!B23="","",'⑥ Annual Performance'!N23)</f>
        <v>0</v>
      </c>
      <c r="L23" s="104">
        <f>IF('Employee Master'!B23="","",IF(K23&gt;=1000,10,IF(K23&gt;=750,8,IF(K23&gt;=500,6,IF(K23&gt;=250,4,2)))))</f>
        <v>2</v>
      </c>
      <c r="M23" s="105">
        <f>IF('Employee Master'!B23="","",'⑥ Annual Performance'!K23)</f>
        <v>1</v>
      </c>
      <c r="N23" s="106">
        <f>IF('Employee Master'!B23="","",'⑥ Annual Performance'!L23)</f>
        <v>3.5</v>
      </c>
      <c r="O23" s="104">
        <f>IF('Employee Master'!B23="","",MIN(N23*2,10))</f>
        <v>7</v>
      </c>
      <c r="P23" s="104">
        <f>IF('Employee Master'!B23="","",IF(F23&gt;=36,5,IF(F23&gt;=24,4,IF(F23&gt;=12,3,IF(F23&gt;=6,2,1)))))</f>
        <v>3</v>
      </c>
      <c r="Q23" s="104">
        <f>IF('Employee Master'!B23="","",IF(D23="Sr. Controller",10,IF(D23="Coo",10,IF(D23="Controller",9,IF(D23="Asst. Controller",8,IF(D23="Sr. Manager",8,IF(D23="Manager",7,IF(D23="Asst. Manager",6,IF(D23="Team Lead",7,IF(D23="Asst. Team Lead",5,IF(D23="Sr. Associate",4,IF(D23="Associate",3,IF(D23="Full Stack Developer",5,IF(D23="Project Manager (S/W)",6,IF(D23="Marketing",4,4)))))))))))))))</f>
        <v>3</v>
      </c>
      <c r="R23" s="107">
        <f>IF('Employee Master'!B23="","",H23+J23+L23+O23+P23+Q23)</f>
        <v>20</v>
      </c>
      <c r="S23" s="108">
        <f>IF('Employee Master'!B23="","",3)</f>
        <v>3</v>
      </c>
      <c r="T23" s="104">
        <f>IF('Employee Master'!B23="","",MIN(S23*2,10))</f>
        <v>6</v>
      </c>
      <c r="U23" s="108">
        <f>IF('Employee Master'!B23="","",3)</f>
        <v>3</v>
      </c>
      <c r="V23" s="104">
        <f>IF('Employee Master'!B23="","",MIN(U23*2,10))</f>
        <v>6</v>
      </c>
      <c r="W23" s="108">
        <f>IF('Employee Master'!B23="","",3)</f>
        <v>3</v>
      </c>
      <c r="X23" s="104">
        <f>IF('Employee Master'!B23="","",MIN(W23*2,10))</f>
        <v>6</v>
      </c>
      <c r="Y23" s="108">
        <f>IF('Employee Master'!B23="","",3)</f>
        <v>3</v>
      </c>
      <c r="Z23" s="104">
        <f>IF('Employee Master'!B23="","",MIN(Y23*2,10))</f>
        <v>6</v>
      </c>
      <c r="AA23" s="109">
        <f>IF('Employee Master'!B23="","",T23+V23+X23+Z23)</f>
        <v>24</v>
      </c>
      <c r="AB23" s="110">
        <f>IF('Employee Master'!B23="","",R23+AA23)</f>
        <v>44</v>
      </c>
      <c r="AC23" s="27" t="str">
        <f>IF('Employee Master'!B23="","",IF(AB23&gt;=85,"Exceptional",IF(AB23&gt;=70,"High Performer",IF(AB23&gt;=50,"Meets Expectations",IF(AB23&gt;=30,"Below Expectations","Underperformer")))))</f>
        <v>Below Expectations</v>
      </c>
      <c r="AD23" s="51">
        <f>IF('Employee Master'!B23="","",'Employee Master'!M23)</f>
        <v>43000</v>
      </c>
      <c r="AE23" s="52">
        <f>IF('Employee Master'!B23="","",IF(AB23&gt;=85,Settings!B31,IF(AB23&gt;=70,Settings!B32,IF(AB23&gt;=50,Settings!B33,IF(AB23&gt;=30,Settings!B34,Settings!B35)))))</f>
        <v>0.03</v>
      </c>
      <c r="AF23" s="51">
        <f>IF('Employee Master'!B23="","",AD23*(1+AE23))</f>
        <v>44290</v>
      </c>
      <c r="AG23" s="51">
        <f>IF('Employee Master'!B23="","",AF23-AD23)</f>
        <v>1290</v>
      </c>
      <c r="AH23" s="51">
        <f>IF('Employee Master'!B23="","",AG23*12)</f>
        <v>15480</v>
      </c>
    </row>
    <row r="24" spans="1:34" ht="23.25" customHeight="1" x14ac:dyDescent="0.2">
      <c r="A24" s="27">
        <f>IF('Employee Master'!B24="","",ROW()-3)</f>
        <v>21</v>
      </c>
      <c r="B24" s="27" t="str">
        <f>IF('Employee Master'!B24="","",'Employee Master'!C24)</f>
        <v>Pinky</v>
      </c>
      <c r="C24" s="27" t="str">
        <f>IF('Employee Master'!B24="","",'Employee Master'!D24)</f>
        <v>Remote</v>
      </c>
      <c r="D24" s="27" t="str">
        <f>IF('Employee Master'!B24="","",'Employee Master'!E24)</f>
        <v>Manager</v>
      </c>
      <c r="E24" s="27" t="str">
        <f>IF('Employee Master'!B24="","",'Employee Master'!G24)</f>
        <v>Nikita Shah</v>
      </c>
      <c r="F24" s="51">
        <f>IF('Employee Master'!B24="","",'⑥ Annual Performance'!R24)</f>
        <v>12</v>
      </c>
      <c r="G24" s="103">
        <f>IF('Employee Master'!B24="","",'⑥ Annual Performance'!J24)</f>
        <v>5.0312499999999996E-2</v>
      </c>
      <c r="H24" s="104">
        <f>IF('Employee Master'!B24="","",IF(G24&gt;=0.85,15,IF(G24&gt;=0.7,12,IF(G24&gt;=0.55,9,IF(G24&gt;=0.4,6,3)))))</f>
        <v>3</v>
      </c>
      <c r="I24" s="103">
        <f>IF('Employee Master'!B24="","",'⑥ Annual Performance'!Q24)</f>
        <v>0</v>
      </c>
      <c r="J24" s="104">
        <f>IF('Employee Master'!B24="","",IF(I24&gt;=0.98,10,IF(I24&gt;=0.95,8,IF(I24&gt;=0.9,6,IF(I24&gt;=0.85,4,2)))))</f>
        <v>2</v>
      </c>
      <c r="K24" s="105">
        <f>IF('Employee Master'!B24="","",'⑥ Annual Performance'!N24)</f>
        <v>0</v>
      </c>
      <c r="L24" s="104">
        <f>IF('Employee Master'!B24="","",IF(K24&gt;=1000,10,IF(K24&gt;=750,8,IF(K24&gt;=500,6,IF(K24&gt;=250,4,2)))))</f>
        <v>2</v>
      </c>
      <c r="M24" s="105">
        <f>IF('Employee Master'!B24="","",'⑥ Annual Performance'!K24)</f>
        <v>1</v>
      </c>
      <c r="N24" s="106">
        <f>IF('Employee Master'!B24="","",'⑥ Annual Performance'!L24)</f>
        <v>3.5</v>
      </c>
      <c r="O24" s="104">
        <f>IF('Employee Master'!B24="","",MIN(N24*2,10))</f>
        <v>7</v>
      </c>
      <c r="P24" s="104">
        <f>IF('Employee Master'!B24="","",IF(F24&gt;=36,5,IF(F24&gt;=24,4,IF(F24&gt;=12,3,IF(F24&gt;=6,2,1)))))</f>
        <v>3</v>
      </c>
      <c r="Q24" s="104">
        <f>IF('Employee Master'!B24="","",IF(D24="Sr. Controller",10,IF(D24="Coo",10,IF(D24="Controller",9,IF(D24="Asst. Controller",8,IF(D24="Sr. Manager",8,IF(D24="Manager",7,IF(D24="Asst. Manager",6,IF(D24="Team Lead",7,IF(D24="Asst. Team Lead",5,IF(D24="Sr. Associate",4,IF(D24="Associate",3,IF(D24="Full Stack Developer",5,IF(D24="Project Manager (S/W)",6,IF(D24="Marketing",4,4)))))))))))))))</f>
        <v>7</v>
      </c>
      <c r="R24" s="107">
        <f>IF('Employee Master'!B24="","",H24+J24+L24+O24+P24+Q24)</f>
        <v>24</v>
      </c>
      <c r="S24" s="108">
        <f>IF('Employee Master'!B24="","",3)</f>
        <v>3</v>
      </c>
      <c r="T24" s="104">
        <f>IF('Employee Master'!B24="","",MIN(S24*2,10))</f>
        <v>6</v>
      </c>
      <c r="U24" s="108">
        <f>IF('Employee Master'!B24="","",3)</f>
        <v>3</v>
      </c>
      <c r="V24" s="104">
        <f>IF('Employee Master'!B24="","",MIN(U24*2,10))</f>
        <v>6</v>
      </c>
      <c r="W24" s="108">
        <f>IF('Employee Master'!B24="","",3)</f>
        <v>3</v>
      </c>
      <c r="X24" s="104">
        <f>IF('Employee Master'!B24="","",MIN(W24*2,10))</f>
        <v>6</v>
      </c>
      <c r="Y24" s="108">
        <f>IF('Employee Master'!B24="","",3)</f>
        <v>3</v>
      </c>
      <c r="Z24" s="104">
        <f>IF('Employee Master'!B24="","",MIN(Y24*2,10))</f>
        <v>6</v>
      </c>
      <c r="AA24" s="109">
        <f>IF('Employee Master'!B24="","",T24+V24+X24+Z24)</f>
        <v>24</v>
      </c>
      <c r="AB24" s="110">
        <f>IF('Employee Master'!B24="","",R24+AA24)</f>
        <v>48</v>
      </c>
      <c r="AC24" s="27" t="str">
        <f>IF('Employee Master'!B24="","",IF(AB24&gt;=85,"Exceptional",IF(AB24&gt;=70,"High Performer",IF(AB24&gt;=50,"Meets Expectations",IF(AB24&gt;=30,"Below Expectations","Underperformer")))))</f>
        <v>Below Expectations</v>
      </c>
      <c r="AD24" s="51">
        <f>IF('Employee Master'!B24="","",'Employee Master'!M24)</f>
        <v>68640</v>
      </c>
      <c r="AE24" s="52">
        <f>IF('Employee Master'!B24="","",IF(AB24&gt;=85,Settings!B31,IF(AB24&gt;=70,Settings!B32,IF(AB24&gt;=50,Settings!B33,IF(AB24&gt;=30,Settings!B34,Settings!B35)))))</f>
        <v>0.03</v>
      </c>
      <c r="AF24" s="51">
        <f>IF('Employee Master'!B24="","",AD24*(1+AE24))</f>
        <v>70699.199999999997</v>
      </c>
      <c r="AG24" s="51">
        <f>IF('Employee Master'!B24="","",AF24-AD24)</f>
        <v>2059.1999999999971</v>
      </c>
      <c r="AH24" s="51">
        <f>IF('Employee Master'!B24="","",AG24*12)</f>
        <v>24710.399999999965</v>
      </c>
    </row>
    <row r="25" spans="1:34" ht="23.25" customHeight="1" x14ac:dyDescent="0.2">
      <c r="A25" s="27">
        <f>IF('Employee Master'!B25="","",ROW()-3)</f>
        <v>22</v>
      </c>
      <c r="B25" s="27" t="str">
        <f>IF('Employee Master'!B25="","",'Employee Master'!C25)</f>
        <v>Preety</v>
      </c>
      <c r="C25" s="27" t="str">
        <f>IF('Employee Master'!B25="","",'Employee Master'!D25)</f>
        <v>In-house</v>
      </c>
      <c r="D25" s="27" t="str">
        <f>IF('Employee Master'!B25="","",'Employee Master'!E25)</f>
        <v>Team Lead</v>
      </c>
      <c r="E25" s="27" t="str">
        <f>IF('Employee Master'!B25="","",'Employee Master'!G25)</f>
        <v>Nikita Shah</v>
      </c>
      <c r="F25" s="51">
        <f>IF('Employee Master'!B25="","",'⑥ Annual Performance'!R25)</f>
        <v>12</v>
      </c>
      <c r="G25" s="103">
        <f>IF('Employee Master'!B25="","",'⑥ Annual Performance'!J25)</f>
        <v>4.6093750000000003E-2</v>
      </c>
      <c r="H25" s="104">
        <f>IF('Employee Master'!B25="","",IF(G25&gt;=0.85,15,IF(G25&gt;=0.7,12,IF(G25&gt;=0.55,9,IF(G25&gt;=0.4,6,3)))))</f>
        <v>3</v>
      </c>
      <c r="I25" s="103">
        <f>IF('Employee Master'!B25="","",'⑥ Annual Performance'!Q25)</f>
        <v>0</v>
      </c>
      <c r="J25" s="104">
        <f>IF('Employee Master'!B25="","",IF(I25&gt;=0.98,10,IF(I25&gt;=0.95,8,IF(I25&gt;=0.9,6,IF(I25&gt;=0.85,4,2)))))</f>
        <v>2</v>
      </c>
      <c r="K25" s="105">
        <f>IF('Employee Master'!B25="","",'⑥ Annual Performance'!N25)</f>
        <v>0</v>
      </c>
      <c r="L25" s="104">
        <f>IF('Employee Master'!B25="","",IF(K25&gt;=1000,10,IF(K25&gt;=750,8,IF(K25&gt;=500,6,IF(K25&gt;=250,4,2)))))</f>
        <v>2</v>
      </c>
      <c r="M25" s="105">
        <f>IF('Employee Master'!B25="","",'⑥ Annual Performance'!K25)</f>
        <v>8</v>
      </c>
      <c r="N25" s="106">
        <f>IF('Employee Master'!B25="","",'⑥ Annual Performance'!L25)</f>
        <v>3.5</v>
      </c>
      <c r="O25" s="104">
        <f>IF('Employee Master'!B25="","",MIN(N25*2,10))</f>
        <v>7</v>
      </c>
      <c r="P25" s="104">
        <f>IF('Employee Master'!B25="","",IF(F25&gt;=36,5,IF(F25&gt;=24,4,IF(F25&gt;=12,3,IF(F25&gt;=6,2,1)))))</f>
        <v>3</v>
      </c>
      <c r="Q25" s="104">
        <f>IF('Employee Master'!B25="","",IF(D25="Sr. Controller",10,IF(D25="Coo",10,IF(D25="Controller",9,IF(D25="Asst. Controller",8,IF(D25="Sr. Manager",8,IF(D25="Manager",7,IF(D25="Asst. Manager",6,IF(D25="Team Lead",7,IF(D25="Asst. Team Lead",5,IF(D25="Sr. Associate",4,IF(D25="Associate",3,IF(D25="Full Stack Developer",5,IF(D25="Project Manager (S/W)",6,IF(D25="Marketing",4,4)))))))))))))))</f>
        <v>7</v>
      </c>
      <c r="R25" s="107">
        <f>IF('Employee Master'!B25="","",H25+J25+L25+O25+P25+Q25)</f>
        <v>24</v>
      </c>
      <c r="S25" s="108">
        <f>IF('Employee Master'!B25="","",3)</f>
        <v>3</v>
      </c>
      <c r="T25" s="104">
        <f>IF('Employee Master'!B25="","",MIN(S25*2,10))</f>
        <v>6</v>
      </c>
      <c r="U25" s="108">
        <f>IF('Employee Master'!B25="","",3)</f>
        <v>3</v>
      </c>
      <c r="V25" s="104">
        <f>IF('Employee Master'!B25="","",MIN(U25*2,10))</f>
        <v>6</v>
      </c>
      <c r="W25" s="108">
        <f>IF('Employee Master'!B25="","",3)</f>
        <v>3</v>
      </c>
      <c r="X25" s="104">
        <f>IF('Employee Master'!B25="","",MIN(W25*2,10))</f>
        <v>6</v>
      </c>
      <c r="Y25" s="108">
        <f>IF('Employee Master'!B25="","",3)</f>
        <v>3</v>
      </c>
      <c r="Z25" s="104">
        <f>IF('Employee Master'!B25="","",MIN(Y25*2,10))</f>
        <v>6</v>
      </c>
      <c r="AA25" s="109">
        <f>IF('Employee Master'!B25="","",T25+V25+X25+Z25)</f>
        <v>24</v>
      </c>
      <c r="AB25" s="110">
        <f>IF('Employee Master'!B25="","",R25+AA25)</f>
        <v>48</v>
      </c>
      <c r="AC25" s="27" t="str">
        <f>IF('Employee Master'!B25="","",IF(AB25&gt;=85,"Exceptional",IF(AB25&gt;=70,"High Performer",IF(AB25&gt;=50,"Meets Expectations",IF(AB25&gt;=30,"Below Expectations","Underperformer")))))</f>
        <v>Below Expectations</v>
      </c>
      <c r="AD25" s="51">
        <f>IF('Employee Master'!B25="","",'Employee Master'!M25)</f>
        <v>100000</v>
      </c>
      <c r="AE25" s="52">
        <f>IF('Employee Master'!B25="","",IF(AB25&gt;=85,Settings!B31,IF(AB25&gt;=70,Settings!B32,IF(AB25&gt;=50,Settings!B33,IF(AB25&gt;=30,Settings!B34,Settings!B35)))))</f>
        <v>0.03</v>
      </c>
      <c r="AF25" s="51">
        <f>IF('Employee Master'!B25="","",AD25*(1+AE25))</f>
        <v>103000</v>
      </c>
      <c r="AG25" s="51">
        <f>IF('Employee Master'!B25="","",AF25-AD25)</f>
        <v>3000</v>
      </c>
      <c r="AH25" s="51">
        <f>IF('Employee Master'!B25="","",AG25*12)</f>
        <v>36000</v>
      </c>
    </row>
    <row r="26" spans="1:34" ht="23.25" customHeight="1" x14ac:dyDescent="0.2">
      <c r="A26" s="27">
        <f>IF('Employee Master'!B26="","",ROW()-3)</f>
        <v>23</v>
      </c>
      <c r="B26" s="27" t="str">
        <f>IF('Employee Master'!B26="","",'Employee Master'!C26)</f>
        <v>Urvashi</v>
      </c>
      <c r="C26" s="27" t="str">
        <f>IF('Employee Master'!B26="","",'Employee Master'!D26)</f>
        <v>Remote</v>
      </c>
      <c r="D26" s="27" t="str">
        <f>IF('Employee Master'!B26="","",'Employee Master'!E26)</f>
        <v>Associate</v>
      </c>
      <c r="E26" s="27" t="str">
        <f>IF('Employee Master'!B26="","",'Employee Master'!G26)</f>
        <v>Nikita Shah</v>
      </c>
      <c r="F26" s="51">
        <f>IF('Employee Master'!B26="","",'⑥ Annual Performance'!R26)</f>
        <v>12</v>
      </c>
      <c r="G26" s="103">
        <f>IF('Employee Master'!B26="","",'⑥ Annual Performance'!J26)</f>
        <v>5.2864583333333333E-2</v>
      </c>
      <c r="H26" s="104">
        <f>IF('Employee Master'!B26="","",IF(G26&gt;=0.85,15,IF(G26&gt;=0.7,12,IF(G26&gt;=0.55,9,IF(G26&gt;=0.4,6,3)))))</f>
        <v>3</v>
      </c>
      <c r="I26" s="103">
        <f>IF('Employee Master'!B26="","",'⑥ Annual Performance'!Q26)</f>
        <v>0</v>
      </c>
      <c r="J26" s="104">
        <f>IF('Employee Master'!B26="","",IF(I26&gt;=0.98,10,IF(I26&gt;=0.95,8,IF(I26&gt;=0.9,6,IF(I26&gt;=0.85,4,2)))))</f>
        <v>2</v>
      </c>
      <c r="K26" s="105">
        <f>IF('Employee Master'!B26="","",'⑥ Annual Performance'!N26)</f>
        <v>0</v>
      </c>
      <c r="L26" s="104">
        <f>IF('Employee Master'!B26="","",IF(K26&gt;=1000,10,IF(K26&gt;=750,8,IF(K26&gt;=500,6,IF(K26&gt;=250,4,2)))))</f>
        <v>2</v>
      </c>
      <c r="M26" s="105">
        <f>IF('Employee Master'!B26="","",'⑥ Annual Performance'!K26)</f>
        <v>1</v>
      </c>
      <c r="N26" s="106">
        <f>IF('Employee Master'!B26="","",'⑥ Annual Performance'!L26)</f>
        <v>3.5</v>
      </c>
      <c r="O26" s="104">
        <f>IF('Employee Master'!B26="","",MIN(N26*2,10))</f>
        <v>7</v>
      </c>
      <c r="P26" s="104">
        <f>IF('Employee Master'!B26="","",IF(F26&gt;=36,5,IF(F26&gt;=24,4,IF(F26&gt;=12,3,IF(F26&gt;=6,2,1)))))</f>
        <v>3</v>
      </c>
      <c r="Q26" s="104">
        <f>IF('Employee Master'!B26="","",IF(D26="Sr. Controller",10,IF(D26="Coo",10,IF(D26="Controller",9,IF(D26="Asst. Controller",8,IF(D26="Sr. Manager",8,IF(D26="Manager",7,IF(D26="Asst. Manager",6,IF(D26="Team Lead",7,IF(D26="Asst. Team Lead",5,IF(D26="Sr. Associate",4,IF(D26="Associate",3,IF(D26="Full Stack Developer",5,IF(D26="Project Manager (S/W)",6,IF(D26="Marketing",4,4)))))))))))))))</f>
        <v>3</v>
      </c>
      <c r="R26" s="107">
        <f>IF('Employee Master'!B26="","",H26+J26+L26+O26+P26+Q26)</f>
        <v>20</v>
      </c>
      <c r="S26" s="108">
        <f>IF('Employee Master'!B26="","",3)</f>
        <v>3</v>
      </c>
      <c r="T26" s="104">
        <f>IF('Employee Master'!B26="","",MIN(S26*2,10))</f>
        <v>6</v>
      </c>
      <c r="U26" s="108">
        <f>IF('Employee Master'!B26="","",3)</f>
        <v>3</v>
      </c>
      <c r="V26" s="104">
        <f>IF('Employee Master'!B26="","",MIN(U26*2,10))</f>
        <v>6</v>
      </c>
      <c r="W26" s="108">
        <f>IF('Employee Master'!B26="","",3)</f>
        <v>3</v>
      </c>
      <c r="X26" s="104">
        <f>IF('Employee Master'!B26="","",MIN(W26*2,10))</f>
        <v>6</v>
      </c>
      <c r="Y26" s="108">
        <f>IF('Employee Master'!B26="","",3)</f>
        <v>3</v>
      </c>
      <c r="Z26" s="104">
        <f>IF('Employee Master'!B26="","",MIN(Y26*2,10))</f>
        <v>6</v>
      </c>
      <c r="AA26" s="109">
        <f>IF('Employee Master'!B26="","",T26+V26+X26+Z26)</f>
        <v>24</v>
      </c>
      <c r="AB26" s="110">
        <f>IF('Employee Master'!B26="","",R26+AA26)</f>
        <v>44</v>
      </c>
      <c r="AC26" s="27" t="str">
        <f>IF('Employee Master'!B26="","",IF(AB26&gt;=85,"Exceptional",IF(AB26&gt;=70,"High Performer",IF(AB26&gt;=50,"Meets Expectations",IF(AB26&gt;=30,"Below Expectations","Underperformer")))))</f>
        <v>Below Expectations</v>
      </c>
      <c r="AD26" s="51">
        <f>IF('Employee Master'!B26="","",'Employee Master'!M26)</f>
        <v>25375</v>
      </c>
      <c r="AE26" s="52">
        <f>IF('Employee Master'!B26="","",IF(AB26&gt;=85,Settings!B31,IF(AB26&gt;=70,Settings!B32,IF(AB26&gt;=50,Settings!B33,IF(AB26&gt;=30,Settings!B34,Settings!B35)))))</f>
        <v>0.03</v>
      </c>
      <c r="AF26" s="51">
        <f>IF('Employee Master'!B26="","",AD26*(1+AE26))</f>
        <v>26136.25</v>
      </c>
      <c r="AG26" s="51">
        <f>IF('Employee Master'!B26="","",AF26-AD26)</f>
        <v>761.25</v>
      </c>
      <c r="AH26" s="51">
        <f>IF('Employee Master'!B26="","",AG26*12)</f>
        <v>9135</v>
      </c>
    </row>
    <row r="27" spans="1:34" ht="23.25" customHeight="1" x14ac:dyDescent="0.2">
      <c r="A27" s="27">
        <f>IF('Employee Master'!B27="","",ROW()-3)</f>
        <v>24</v>
      </c>
      <c r="B27" s="27" t="str">
        <f>IF('Employee Master'!B27="","",'Employee Master'!C27)</f>
        <v>Melita</v>
      </c>
      <c r="C27" s="27" t="str">
        <f>IF('Employee Master'!B27="","",'Employee Master'!D27)</f>
        <v>In-house</v>
      </c>
      <c r="D27" s="27" t="str">
        <f>IF('Employee Master'!B27="","",'Employee Master'!E27)</f>
        <v>Team Lead</v>
      </c>
      <c r="E27" s="27" t="str">
        <f>IF('Employee Master'!B27="","",'Employee Master'!G27)</f>
        <v>Smriti Shah</v>
      </c>
      <c r="F27" s="51">
        <f>IF('Employee Master'!B27="","",'⑥ Annual Performance'!R27)</f>
        <v>12</v>
      </c>
      <c r="G27" s="103">
        <f>IF('Employee Master'!B27="","",'⑥ Annual Performance'!J27)</f>
        <v>7.8541666666666676E-2</v>
      </c>
      <c r="H27" s="104">
        <f>IF('Employee Master'!B27="","",IF(G27&gt;=0.85,15,IF(G27&gt;=0.7,12,IF(G27&gt;=0.55,9,IF(G27&gt;=0.4,6,3)))))</f>
        <v>3</v>
      </c>
      <c r="I27" s="103">
        <f>IF('Employee Master'!B27="","",'⑥ Annual Performance'!Q27)</f>
        <v>0</v>
      </c>
      <c r="J27" s="104">
        <f>IF('Employee Master'!B27="","",IF(I27&gt;=0.98,10,IF(I27&gt;=0.95,8,IF(I27&gt;=0.9,6,IF(I27&gt;=0.85,4,2)))))</f>
        <v>2</v>
      </c>
      <c r="K27" s="105">
        <f>IF('Employee Master'!B27="","",'⑥ Annual Performance'!N27)</f>
        <v>0</v>
      </c>
      <c r="L27" s="104">
        <f>IF('Employee Master'!B27="","",IF(K27&gt;=1000,10,IF(K27&gt;=750,8,IF(K27&gt;=500,6,IF(K27&gt;=250,4,2)))))</f>
        <v>2</v>
      </c>
      <c r="M27" s="105">
        <f>IF('Employee Master'!B27="","",'⑥ Annual Performance'!K27)</f>
        <v>7</v>
      </c>
      <c r="N27" s="106">
        <f>IF('Employee Master'!B27="","",'⑥ Annual Performance'!L27)</f>
        <v>3.5</v>
      </c>
      <c r="O27" s="104">
        <f>IF('Employee Master'!B27="","",MIN(N27*2,10))</f>
        <v>7</v>
      </c>
      <c r="P27" s="104">
        <f>IF('Employee Master'!B27="","",IF(F27&gt;=36,5,IF(F27&gt;=24,4,IF(F27&gt;=12,3,IF(F27&gt;=6,2,1)))))</f>
        <v>3</v>
      </c>
      <c r="Q27" s="104">
        <f>IF('Employee Master'!B27="","",IF(D27="Sr. Controller",10,IF(D27="Coo",10,IF(D27="Controller",9,IF(D27="Asst. Controller",8,IF(D27="Sr. Manager",8,IF(D27="Manager",7,IF(D27="Asst. Manager",6,IF(D27="Team Lead",7,IF(D27="Asst. Team Lead",5,IF(D27="Sr. Associate",4,IF(D27="Associate",3,IF(D27="Full Stack Developer",5,IF(D27="Project Manager (S/W)",6,IF(D27="Marketing",4,4)))))))))))))))</f>
        <v>7</v>
      </c>
      <c r="R27" s="107">
        <f>IF('Employee Master'!B27="","",H27+J27+L27+O27+P27+Q27)</f>
        <v>24</v>
      </c>
      <c r="S27" s="108">
        <f>IF('Employee Master'!B27="","",3)</f>
        <v>3</v>
      </c>
      <c r="T27" s="104">
        <f>IF('Employee Master'!B27="","",MIN(S27*2,10))</f>
        <v>6</v>
      </c>
      <c r="U27" s="108">
        <f>IF('Employee Master'!B27="","",3)</f>
        <v>3</v>
      </c>
      <c r="V27" s="104">
        <f>IF('Employee Master'!B27="","",MIN(U27*2,10))</f>
        <v>6</v>
      </c>
      <c r="W27" s="108">
        <f>IF('Employee Master'!B27="","",3)</f>
        <v>3</v>
      </c>
      <c r="X27" s="104">
        <f>IF('Employee Master'!B27="","",MIN(W27*2,10))</f>
        <v>6</v>
      </c>
      <c r="Y27" s="108">
        <f>IF('Employee Master'!B27="","",3)</f>
        <v>3</v>
      </c>
      <c r="Z27" s="104">
        <f>IF('Employee Master'!B27="","",MIN(Y27*2,10))</f>
        <v>6</v>
      </c>
      <c r="AA27" s="109">
        <f>IF('Employee Master'!B27="","",T27+V27+X27+Z27)</f>
        <v>24</v>
      </c>
      <c r="AB27" s="110">
        <f>IF('Employee Master'!B27="","",R27+AA27)</f>
        <v>48</v>
      </c>
      <c r="AC27" s="27" t="str">
        <f>IF('Employee Master'!B27="","",IF(AB27&gt;=85,"Exceptional",IF(AB27&gt;=70,"High Performer",IF(AB27&gt;=50,"Meets Expectations",IF(AB27&gt;=30,"Below Expectations","Underperformer")))))</f>
        <v>Below Expectations</v>
      </c>
      <c r="AD27" s="51">
        <f>IF('Employee Master'!B27="","",'Employee Master'!M27)</f>
        <v>135000</v>
      </c>
      <c r="AE27" s="52">
        <f>IF('Employee Master'!B27="","",IF(AB27&gt;=85,Settings!B31,IF(AB27&gt;=70,Settings!B32,IF(AB27&gt;=50,Settings!B33,IF(AB27&gt;=30,Settings!B34,Settings!B35)))))</f>
        <v>0.03</v>
      </c>
      <c r="AF27" s="51">
        <f>IF('Employee Master'!B27="","",AD27*(1+AE27))</f>
        <v>139050</v>
      </c>
      <c r="AG27" s="51">
        <f>IF('Employee Master'!B27="","",AF27-AD27)</f>
        <v>4050</v>
      </c>
      <c r="AH27" s="51">
        <f>IF('Employee Master'!B27="","",AG27*12)</f>
        <v>48600</v>
      </c>
    </row>
    <row r="28" spans="1:34" ht="23.25" customHeight="1" x14ac:dyDescent="0.2">
      <c r="A28" s="27">
        <f>IF('Employee Master'!B28="","",ROW()-3)</f>
        <v>25</v>
      </c>
      <c r="B28" s="27" t="str">
        <f>IF('Employee Master'!B28="","",'Employee Master'!C28)</f>
        <v>Bhawna</v>
      </c>
      <c r="C28" s="27" t="str">
        <f>IF('Employee Master'!B28="","",'Employee Master'!D28)</f>
        <v>Retainer</v>
      </c>
      <c r="D28" s="27" t="str">
        <f>IF('Employee Master'!B28="","",'Employee Master'!E28)</f>
        <v>Manager</v>
      </c>
      <c r="E28" s="27" t="str">
        <f>IF('Employee Master'!B28="","",'Employee Master'!G28)</f>
        <v>Jyoti</v>
      </c>
      <c r="F28" s="51">
        <f>IF('Employee Master'!B28="","",'⑥ Annual Performance'!R28)</f>
        <v>12</v>
      </c>
      <c r="G28" s="103">
        <f>IF('Employee Master'!B28="","",'⑥ Annual Performance'!J28)</f>
        <v>8.458333333333333E-2</v>
      </c>
      <c r="H28" s="104">
        <f>IF('Employee Master'!B28="","",IF(G28&gt;=0.85,15,IF(G28&gt;=0.7,12,IF(G28&gt;=0.55,9,IF(G28&gt;=0.4,6,3)))))</f>
        <v>3</v>
      </c>
      <c r="I28" s="103">
        <f>IF('Employee Master'!B28="","",'⑥ Annual Performance'!Q28)</f>
        <v>0</v>
      </c>
      <c r="J28" s="104">
        <f>IF('Employee Master'!B28="","",IF(I28&gt;=0.98,10,IF(I28&gt;=0.95,8,IF(I28&gt;=0.9,6,IF(I28&gt;=0.85,4,2)))))</f>
        <v>2</v>
      </c>
      <c r="K28" s="105">
        <f>IF('Employee Master'!B28="","",'⑥ Annual Performance'!N28)</f>
        <v>0</v>
      </c>
      <c r="L28" s="104">
        <f>IF('Employee Master'!B28="","",IF(K28&gt;=1000,10,IF(K28&gt;=750,8,IF(K28&gt;=500,6,IF(K28&gt;=250,4,2)))))</f>
        <v>2</v>
      </c>
      <c r="M28" s="105">
        <f>IF('Employee Master'!B28="","",'⑥ Annual Performance'!K28)</f>
        <v>2</v>
      </c>
      <c r="N28" s="106">
        <f>IF('Employee Master'!B28="","",'⑥ Annual Performance'!L28)</f>
        <v>3.5</v>
      </c>
      <c r="O28" s="104">
        <f>IF('Employee Master'!B28="","",MIN(N28*2,10))</f>
        <v>7</v>
      </c>
      <c r="P28" s="104">
        <f>IF('Employee Master'!B28="","",IF(F28&gt;=36,5,IF(F28&gt;=24,4,IF(F28&gt;=12,3,IF(F28&gt;=6,2,1)))))</f>
        <v>3</v>
      </c>
      <c r="Q28" s="104">
        <f>IF('Employee Master'!B28="","",IF(D28="Sr. Controller",10,IF(D28="Coo",10,IF(D28="Controller",9,IF(D28="Asst. Controller",8,IF(D28="Sr. Manager",8,IF(D28="Manager",7,IF(D28="Asst. Manager",6,IF(D28="Team Lead",7,IF(D28="Asst. Team Lead",5,IF(D28="Sr. Associate",4,IF(D28="Associate",3,IF(D28="Full Stack Developer",5,IF(D28="Project Manager (S/W)",6,IF(D28="Marketing",4,4)))))))))))))))</f>
        <v>7</v>
      </c>
      <c r="R28" s="107">
        <f>IF('Employee Master'!B28="","",H28+J28+L28+O28+P28+Q28)</f>
        <v>24</v>
      </c>
      <c r="S28" s="108">
        <f>IF('Employee Master'!B28="","",3)</f>
        <v>3</v>
      </c>
      <c r="T28" s="104">
        <f>IF('Employee Master'!B28="","",MIN(S28*2,10))</f>
        <v>6</v>
      </c>
      <c r="U28" s="108">
        <f>IF('Employee Master'!B28="","",3)</f>
        <v>3</v>
      </c>
      <c r="V28" s="104">
        <f>IF('Employee Master'!B28="","",MIN(U28*2,10))</f>
        <v>6</v>
      </c>
      <c r="W28" s="108">
        <f>IF('Employee Master'!B28="","",3)</f>
        <v>3</v>
      </c>
      <c r="X28" s="104">
        <f>IF('Employee Master'!B28="","",MIN(W28*2,10))</f>
        <v>6</v>
      </c>
      <c r="Y28" s="108">
        <f>IF('Employee Master'!B28="","",3)</f>
        <v>3</v>
      </c>
      <c r="Z28" s="104">
        <f>IF('Employee Master'!B28="","",MIN(Y28*2,10))</f>
        <v>6</v>
      </c>
      <c r="AA28" s="109">
        <f>IF('Employee Master'!B28="","",T28+V28+X28+Z28)</f>
        <v>24</v>
      </c>
      <c r="AB28" s="110">
        <f>IF('Employee Master'!B28="","",R28+AA28)</f>
        <v>48</v>
      </c>
      <c r="AC28" s="27" t="str">
        <f>IF('Employee Master'!B28="","",IF(AB28&gt;=85,"Exceptional",IF(AB28&gt;=70,"High Performer",IF(AB28&gt;=50,"Meets Expectations",IF(AB28&gt;=30,"Below Expectations","Underperformer")))))</f>
        <v>Below Expectations</v>
      </c>
      <c r="AD28" s="51">
        <f>IF('Employee Master'!B28="","",'Employee Master'!M28)</f>
        <v>120000</v>
      </c>
      <c r="AE28" s="52">
        <f>IF('Employee Master'!B28="","",IF(AB28&gt;=85,Settings!B31,IF(AB28&gt;=70,Settings!B32,IF(AB28&gt;=50,Settings!B33,IF(AB28&gt;=30,Settings!B34,Settings!B35)))))</f>
        <v>0.03</v>
      </c>
      <c r="AF28" s="51">
        <f>IF('Employee Master'!B28="","",AD28*(1+AE28))</f>
        <v>123600</v>
      </c>
      <c r="AG28" s="51">
        <f>IF('Employee Master'!B28="","",AF28-AD28)</f>
        <v>3600</v>
      </c>
      <c r="AH28" s="51">
        <f>IF('Employee Master'!B28="","",AG28*12)</f>
        <v>43200</v>
      </c>
    </row>
    <row r="29" spans="1:34" ht="23.25" customHeight="1" x14ac:dyDescent="0.2">
      <c r="A29" s="27">
        <f>IF('Employee Master'!B29="","",ROW()-3)</f>
        <v>26</v>
      </c>
      <c r="B29" s="27" t="str">
        <f>IF('Employee Master'!B29="","",'Employee Master'!C29)</f>
        <v>Anand</v>
      </c>
      <c r="C29" s="27" t="str">
        <f>IF('Employee Master'!B29="","",'Employee Master'!D29)</f>
        <v>Remote</v>
      </c>
      <c r="D29" s="27" t="str">
        <f>IF('Employee Master'!B29="","",'Employee Master'!E29)</f>
        <v>Associate</v>
      </c>
      <c r="E29" s="27" t="str">
        <f>IF('Employee Master'!B29="","",'Employee Master'!G29)</f>
        <v>Nikita Shah</v>
      </c>
      <c r="F29" s="51">
        <f>IF('Employee Master'!B29="","",'⑥ Annual Performance'!R29)</f>
        <v>12</v>
      </c>
      <c r="G29" s="103">
        <f>IF('Employee Master'!B29="","",'⑥ Annual Performance'!J29)</f>
        <v>8.0885416666666668E-2</v>
      </c>
      <c r="H29" s="104">
        <f>IF('Employee Master'!B29="","",IF(G29&gt;=0.85,15,IF(G29&gt;=0.7,12,IF(G29&gt;=0.55,9,IF(G29&gt;=0.4,6,3)))))</f>
        <v>3</v>
      </c>
      <c r="I29" s="103">
        <f>IF('Employee Master'!B29="","",'⑥ Annual Performance'!Q29)</f>
        <v>0</v>
      </c>
      <c r="J29" s="104">
        <f>IF('Employee Master'!B29="","",IF(I29&gt;=0.98,10,IF(I29&gt;=0.95,8,IF(I29&gt;=0.9,6,IF(I29&gt;=0.85,4,2)))))</f>
        <v>2</v>
      </c>
      <c r="K29" s="105">
        <f>IF('Employee Master'!B29="","",'⑥ Annual Performance'!N29)</f>
        <v>0</v>
      </c>
      <c r="L29" s="104">
        <f>IF('Employee Master'!B29="","",IF(K29&gt;=1000,10,IF(K29&gt;=750,8,IF(K29&gt;=500,6,IF(K29&gt;=250,4,2)))))</f>
        <v>2</v>
      </c>
      <c r="M29" s="105">
        <f>IF('Employee Master'!B29="","",'⑥ Annual Performance'!K29)</f>
        <v>2</v>
      </c>
      <c r="N29" s="106">
        <f>IF('Employee Master'!B29="","",'⑥ Annual Performance'!L29)</f>
        <v>3.5</v>
      </c>
      <c r="O29" s="104">
        <f>IF('Employee Master'!B29="","",MIN(N29*2,10))</f>
        <v>7</v>
      </c>
      <c r="P29" s="104">
        <f>IF('Employee Master'!B29="","",IF(F29&gt;=36,5,IF(F29&gt;=24,4,IF(F29&gt;=12,3,IF(F29&gt;=6,2,1)))))</f>
        <v>3</v>
      </c>
      <c r="Q29" s="104">
        <f>IF('Employee Master'!B29="","",IF(D29="Sr. Controller",10,IF(D29="Coo",10,IF(D29="Controller",9,IF(D29="Asst. Controller",8,IF(D29="Sr. Manager",8,IF(D29="Manager",7,IF(D29="Asst. Manager",6,IF(D29="Team Lead",7,IF(D29="Asst. Team Lead",5,IF(D29="Sr. Associate",4,IF(D29="Associate",3,IF(D29="Full Stack Developer",5,IF(D29="Project Manager (S/W)",6,IF(D29="Marketing",4,4)))))))))))))))</f>
        <v>3</v>
      </c>
      <c r="R29" s="107">
        <f>IF('Employee Master'!B29="","",H29+J29+L29+O29+P29+Q29)</f>
        <v>20</v>
      </c>
      <c r="S29" s="108">
        <f>IF('Employee Master'!B29="","",3)</f>
        <v>3</v>
      </c>
      <c r="T29" s="104">
        <f>IF('Employee Master'!B29="","",MIN(S29*2,10))</f>
        <v>6</v>
      </c>
      <c r="U29" s="108">
        <f>IF('Employee Master'!B29="","",3)</f>
        <v>3</v>
      </c>
      <c r="V29" s="104">
        <f>IF('Employee Master'!B29="","",MIN(U29*2,10))</f>
        <v>6</v>
      </c>
      <c r="W29" s="108">
        <f>IF('Employee Master'!B29="","",3)</f>
        <v>3</v>
      </c>
      <c r="X29" s="104">
        <f>IF('Employee Master'!B29="","",MIN(W29*2,10))</f>
        <v>6</v>
      </c>
      <c r="Y29" s="108">
        <f>IF('Employee Master'!B29="","",3)</f>
        <v>3</v>
      </c>
      <c r="Z29" s="104">
        <f>IF('Employee Master'!B29="","",MIN(Y29*2,10))</f>
        <v>6</v>
      </c>
      <c r="AA29" s="109">
        <f>IF('Employee Master'!B29="","",T29+V29+X29+Z29)</f>
        <v>24</v>
      </c>
      <c r="AB29" s="110">
        <f>IF('Employee Master'!B29="","",R29+AA29)</f>
        <v>44</v>
      </c>
      <c r="AC29" s="27" t="str">
        <f>IF('Employee Master'!B29="","",IF(AB29&gt;=85,"Exceptional",IF(AB29&gt;=70,"High Performer",IF(AB29&gt;=50,"Meets Expectations",IF(AB29&gt;=30,"Below Expectations","Underperformer")))))</f>
        <v>Below Expectations</v>
      </c>
      <c r="AD29" s="51">
        <f>IF('Employee Master'!B29="","",'Employee Master'!M29)</f>
        <v>43829</v>
      </c>
      <c r="AE29" s="52">
        <f>IF('Employee Master'!B29="","",IF(AB29&gt;=85,Settings!B31,IF(AB29&gt;=70,Settings!B32,IF(AB29&gt;=50,Settings!B33,IF(AB29&gt;=30,Settings!B34,Settings!B35)))))</f>
        <v>0.03</v>
      </c>
      <c r="AF29" s="51">
        <f>IF('Employee Master'!B29="","",AD29*(1+AE29))</f>
        <v>45143.87</v>
      </c>
      <c r="AG29" s="51">
        <f>IF('Employee Master'!B29="","",AF29-AD29)</f>
        <v>1314.8700000000026</v>
      </c>
      <c r="AH29" s="51">
        <f>IF('Employee Master'!B29="","",AG29*12)</f>
        <v>15778.440000000031</v>
      </c>
    </row>
    <row r="30" spans="1:34" ht="23.25" customHeight="1" x14ac:dyDescent="0.2">
      <c r="A30" s="27">
        <f>IF('Employee Master'!B30="","",ROW()-3)</f>
        <v>27</v>
      </c>
      <c r="B30" s="27" t="str">
        <f>IF('Employee Master'!B30="","",'Employee Master'!C30)</f>
        <v>Shivani</v>
      </c>
      <c r="C30" s="27" t="str">
        <f>IF('Employee Master'!B30="","",'Employee Master'!D30)</f>
        <v>Remote</v>
      </c>
      <c r="D30" s="27" t="str">
        <f>IF('Employee Master'!B30="","",'Employee Master'!E30)</f>
        <v>Associate</v>
      </c>
      <c r="E30" s="27" t="str">
        <f>IF('Employee Master'!B30="","",'Employee Master'!G30)</f>
        <v>Nikita Shah</v>
      </c>
      <c r="F30" s="51">
        <f>IF('Employee Master'!B30="","",'⑥ Annual Performance'!R30)</f>
        <v>12</v>
      </c>
      <c r="G30" s="103">
        <f>IF('Employee Master'!B30="","",'⑥ Annual Performance'!J30)</f>
        <v>2.9114583333333333E-2</v>
      </c>
      <c r="H30" s="104">
        <f>IF('Employee Master'!B30="","",IF(G30&gt;=0.85,15,IF(G30&gt;=0.7,12,IF(G30&gt;=0.55,9,IF(G30&gt;=0.4,6,3)))))</f>
        <v>3</v>
      </c>
      <c r="I30" s="103">
        <f>IF('Employee Master'!B30="","",'⑥ Annual Performance'!Q30)</f>
        <v>0</v>
      </c>
      <c r="J30" s="104">
        <f>IF('Employee Master'!B30="","",IF(I30&gt;=0.98,10,IF(I30&gt;=0.95,8,IF(I30&gt;=0.9,6,IF(I30&gt;=0.85,4,2)))))</f>
        <v>2</v>
      </c>
      <c r="K30" s="105">
        <f>IF('Employee Master'!B30="","",'⑥ Annual Performance'!N30)</f>
        <v>0</v>
      </c>
      <c r="L30" s="104">
        <f>IF('Employee Master'!B30="","",IF(K30&gt;=1000,10,IF(K30&gt;=750,8,IF(K30&gt;=500,6,IF(K30&gt;=250,4,2)))))</f>
        <v>2</v>
      </c>
      <c r="M30" s="105">
        <f>IF('Employee Master'!B30="","",'⑥ Annual Performance'!K30)</f>
        <v>2</v>
      </c>
      <c r="N30" s="106">
        <f>IF('Employee Master'!B30="","",'⑥ Annual Performance'!L30)</f>
        <v>3.5</v>
      </c>
      <c r="O30" s="104">
        <f>IF('Employee Master'!B30="","",MIN(N30*2,10))</f>
        <v>7</v>
      </c>
      <c r="P30" s="104">
        <f>IF('Employee Master'!B30="","",IF(F30&gt;=36,5,IF(F30&gt;=24,4,IF(F30&gt;=12,3,IF(F30&gt;=6,2,1)))))</f>
        <v>3</v>
      </c>
      <c r="Q30" s="104">
        <f>IF('Employee Master'!B30="","",IF(D30="Sr. Controller",10,IF(D30="Coo",10,IF(D30="Controller",9,IF(D30="Asst. Controller",8,IF(D30="Sr. Manager",8,IF(D30="Manager",7,IF(D30="Asst. Manager",6,IF(D30="Team Lead",7,IF(D30="Asst. Team Lead",5,IF(D30="Sr. Associate",4,IF(D30="Associate",3,IF(D30="Full Stack Developer",5,IF(D30="Project Manager (S/W)",6,IF(D30="Marketing",4,4)))))))))))))))</f>
        <v>3</v>
      </c>
      <c r="R30" s="107">
        <f>IF('Employee Master'!B30="","",H30+J30+L30+O30+P30+Q30)</f>
        <v>20</v>
      </c>
      <c r="S30" s="108">
        <f>IF('Employee Master'!B30="","",3)</f>
        <v>3</v>
      </c>
      <c r="T30" s="104">
        <f>IF('Employee Master'!B30="","",MIN(S30*2,10))</f>
        <v>6</v>
      </c>
      <c r="U30" s="108">
        <f>IF('Employee Master'!B30="","",3)</f>
        <v>3</v>
      </c>
      <c r="V30" s="104">
        <f>IF('Employee Master'!B30="","",MIN(U30*2,10))</f>
        <v>6</v>
      </c>
      <c r="W30" s="108">
        <f>IF('Employee Master'!B30="","",3)</f>
        <v>3</v>
      </c>
      <c r="X30" s="104">
        <f>IF('Employee Master'!B30="","",MIN(W30*2,10))</f>
        <v>6</v>
      </c>
      <c r="Y30" s="108">
        <f>IF('Employee Master'!B30="","",3)</f>
        <v>3</v>
      </c>
      <c r="Z30" s="104">
        <f>IF('Employee Master'!B30="","",MIN(Y30*2,10))</f>
        <v>6</v>
      </c>
      <c r="AA30" s="109">
        <f>IF('Employee Master'!B30="","",T30+V30+X30+Z30)</f>
        <v>24</v>
      </c>
      <c r="AB30" s="110">
        <f>IF('Employee Master'!B30="","",R30+AA30)</f>
        <v>44</v>
      </c>
      <c r="AC30" s="27" t="str">
        <f>IF('Employee Master'!B30="","",IF(AB30&gt;=85,"Exceptional",IF(AB30&gt;=70,"High Performer",IF(AB30&gt;=50,"Meets Expectations",IF(AB30&gt;=30,"Below Expectations","Underperformer")))))</f>
        <v>Below Expectations</v>
      </c>
      <c r="AD30" s="51">
        <f>IF('Employee Master'!B30="","",'Employee Master'!M30)</f>
        <v>8380</v>
      </c>
      <c r="AE30" s="52">
        <f>IF('Employee Master'!B30="","",IF(AB30&gt;=85,Settings!B31,IF(AB30&gt;=70,Settings!B32,IF(AB30&gt;=50,Settings!B33,IF(AB30&gt;=30,Settings!B34,Settings!B35)))))</f>
        <v>0.03</v>
      </c>
      <c r="AF30" s="51">
        <f>IF('Employee Master'!B30="","",AD30*(1+AE30))</f>
        <v>8631.4</v>
      </c>
      <c r="AG30" s="51">
        <f>IF('Employee Master'!B30="","",AF30-AD30)</f>
        <v>251.39999999999964</v>
      </c>
      <c r="AH30" s="51">
        <f>IF('Employee Master'!B30="","",AG30*12)</f>
        <v>3016.7999999999956</v>
      </c>
    </row>
    <row r="31" spans="1:34" ht="23.25" customHeight="1" x14ac:dyDescent="0.2">
      <c r="A31" s="27">
        <f>IF('Employee Master'!B31="","",ROW()-3)</f>
        <v>28</v>
      </c>
      <c r="B31" s="27" t="str">
        <f>IF('Employee Master'!B31="","",'Employee Master'!C31)</f>
        <v>Sreeja</v>
      </c>
      <c r="C31" s="27" t="str">
        <f>IF('Employee Master'!B31="","",'Employee Master'!D31)</f>
        <v>Remote</v>
      </c>
      <c r="D31" s="27" t="str">
        <f>IF('Employee Master'!B31="","",'Employee Master'!E31)</f>
        <v>Manager</v>
      </c>
      <c r="E31" s="27" t="str">
        <f>IF('Employee Master'!B31="","",'Employee Master'!G31)</f>
        <v>Nikita Shah</v>
      </c>
      <c r="F31" s="51">
        <f>IF('Employee Master'!B31="","",'⑥ Annual Performance'!R31)</f>
        <v>12</v>
      </c>
      <c r="G31" s="103">
        <f>IF('Employee Master'!B31="","",'⑥ Annual Performance'!J31)</f>
        <v>5.4895833333333338E-2</v>
      </c>
      <c r="H31" s="104">
        <f>IF('Employee Master'!B31="","",IF(G31&gt;=0.85,15,IF(G31&gt;=0.7,12,IF(G31&gt;=0.55,9,IF(G31&gt;=0.4,6,3)))))</f>
        <v>3</v>
      </c>
      <c r="I31" s="103">
        <f>IF('Employee Master'!B31="","",'⑥ Annual Performance'!Q31)</f>
        <v>0</v>
      </c>
      <c r="J31" s="104">
        <f>IF('Employee Master'!B31="","",IF(I31&gt;=0.98,10,IF(I31&gt;=0.95,8,IF(I31&gt;=0.9,6,IF(I31&gt;=0.85,4,2)))))</f>
        <v>2</v>
      </c>
      <c r="K31" s="105">
        <f>IF('Employee Master'!B31="","",'⑥ Annual Performance'!N31)</f>
        <v>0</v>
      </c>
      <c r="L31" s="104">
        <f>IF('Employee Master'!B31="","",IF(K31&gt;=1000,10,IF(K31&gt;=750,8,IF(K31&gt;=500,6,IF(K31&gt;=250,4,2)))))</f>
        <v>2</v>
      </c>
      <c r="M31" s="105">
        <f>IF('Employee Master'!B31="","",'⑥ Annual Performance'!K31)</f>
        <v>1</v>
      </c>
      <c r="N31" s="106">
        <f>IF('Employee Master'!B31="","",'⑥ Annual Performance'!L31)</f>
        <v>3.5</v>
      </c>
      <c r="O31" s="104">
        <f>IF('Employee Master'!B31="","",MIN(N31*2,10))</f>
        <v>7</v>
      </c>
      <c r="P31" s="104">
        <f>IF('Employee Master'!B31="","",IF(F31&gt;=36,5,IF(F31&gt;=24,4,IF(F31&gt;=12,3,IF(F31&gt;=6,2,1)))))</f>
        <v>3</v>
      </c>
      <c r="Q31" s="104">
        <f>IF('Employee Master'!B31="","",IF(D31="Sr. Controller",10,IF(D31="Coo",10,IF(D31="Controller",9,IF(D31="Asst. Controller",8,IF(D31="Sr. Manager",8,IF(D31="Manager",7,IF(D31="Asst. Manager",6,IF(D31="Team Lead",7,IF(D31="Asst. Team Lead",5,IF(D31="Sr. Associate",4,IF(D31="Associate",3,IF(D31="Full Stack Developer",5,IF(D31="Project Manager (S/W)",6,IF(D31="Marketing",4,4)))))))))))))))</f>
        <v>7</v>
      </c>
      <c r="R31" s="107">
        <f>IF('Employee Master'!B31="","",H31+J31+L31+O31+P31+Q31)</f>
        <v>24</v>
      </c>
      <c r="S31" s="108">
        <f>IF('Employee Master'!B31="","",3)</f>
        <v>3</v>
      </c>
      <c r="T31" s="104">
        <f>IF('Employee Master'!B31="","",MIN(S31*2,10))</f>
        <v>6</v>
      </c>
      <c r="U31" s="108">
        <f>IF('Employee Master'!B31="","",3)</f>
        <v>3</v>
      </c>
      <c r="V31" s="104">
        <f>IF('Employee Master'!B31="","",MIN(U31*2,10))</f>
        <v>6</v>
      </c>
      <c r="W31" s="108">
        <f>IF('Employee Master'!B31="","",3)</f>
        <v>3</v>
      </c>
      <c r="X31" s="104">
        <f>IF('Employee Master'!B31="","",MIN(W31*2,10))</f>
        <v>6</v>
      </c>
      <c r="Y31" s="108">
        <f>IF('Employee Master'!B31="","",3)</f>
        <v>3</v>
      </c>
      <c r="Z31" s="104">
        <f>IF('Employee Master'!B31="","",MIN(Y31*2,10))</f>
        <v>6</v>
      </c>
      <c r="AA31" s="109">
        <f>IF('Employee Master'!B31="","",T31+V31+X31+Z31)</f>
        <v>24</v>
      </c>
      <c r="AB31" s="110">
        <f>IF('Employee Master'!B31="","",R31+AA31)</f>
        <v>48</v>
      </c>
      <c r="AC31" s="27" t="str">
        <f>IF('Employee Master'!B31="","",IF(AB31&gt;=85,"Exceptional",IF(AB31&gt;=70,"High Performer",IF(AB31&gt;=50,"Meets Expectations",IF(AB31&gt;=30,"Below Expectations","Underperformer")))))</f>
        <v>Below Expectations</v>
      </c>
      <c r="AD31" s="51">
        <f>IF('Employee Master'!B31="","",'Employee Master'!M31)</f>
        <v>36890</v>
      </c>
      <c r="AE31" s="52">
        <f>IF('Employee Master'!B31="","",IF(AB31&gt;=85,Settings!B31,IF(AB31&gt;=70,Settings!B32,IF(AB31&gt;=50,Settings!B33,IF(AB31&gt;=30,Settings!B34,Settings!B35)))))</f>
        <v>0.03</v>
      </c>
      <c r="AF31" s="51">
        <f>IF('Employee Master'!B31="","",AD31*(1+AE31))</f>
        <v>37996.700000000004</v>
      </c>
      <c r="AG31" s="51">
        <f>IF('Employee Master'!B31="","",AF31-AD31)</f>
        <v>1106.7000000000044</v>
      </c>
      <c r="AH31" s="51">
        <f>IF('Employee Master'!B31="","",AG31*12)</f>
        <v>13280.400000000052</v>
      </c>
    </row>
    <row r="32" spans="1:34" ht="23.25" customHeight="1" x14ac:dyDescent="0.2">
      <c r="A32" s="27">
        <f>IF('Employee Master'!B32="","",ROW()-3)</f>
        <v>29</v>
      </c>
      <c r="B32" s="27" t="str">
        <f>IF('Employee Master'!B32="","",'Employee Master'!C32)</f>
        <v>Divya.M</v>
      </c>
      <c r="C32" s="27" t="str">
        <f>IF('Employee Master'!B32="","",'Employee Master'!D32)</f>
        <v>Remote</v>
      </c>
      <c r="D32" s="27" t="str">
        <f>IF('Employee Master'!B32="","",'Employee Master'!E32)</f>
        <v>Manager</v>
      </c>
      <c r="E32" s="27" t="str">
        <f>IF('Employee Master'!B32="","",'Employee Master'!G32)</f>
        <v>Nikita Shah</v>
      </c>
      <c r="F32" s="51">
        <f>IF('Employee Master'!B32="","",'⑥ Annual Performance'!R32)</f>
        <v>12</v>
      </c>
      <c r="G32" s="103">
        <f>IF('Employee Master'!B32="","",'⑥ Annual Performance'!J32)</f>
        <v>5.1041666666666666E-2</v>
      </c>
      <c r="H32" s="104">
        <f>IF('Employee Master'!B32="","",IF(G32&gt;=0.85,15,IF(G32&gt;=0.7,12,IF(G32&gt;=0.55,9,IF(G32&gt;=0.4,6,3)))))</f>
        <v>3</v>
      </c>
      <c r="I32" s="103">
        <f>IF('Employee Master'!B32="","",'⑥ Annual Performance'!Q32)</f>
        <v>0</v>
      </c>
      <c r="J32" s="104">
        <f>IF('Employee Master'!B32="","",IF(I32&gt;=0.98,10,IF(I32&gt;=0.95,8,IF(I32&gt;=0.9,6,IF(I32&gt;=0.85,4,2)))))</f>
        <v>2</v>
      </c>
      <c r="K32" s="105">
        <f>IF('Employee Master'!B32="","",'⑥ Annual Performance'!N32)</f>
        <v>0</v>
      </c>
      <c r="L32" s="104">
        <f>IF('Employee Master'!B32="","",IF(K32&gt;=1000,10,IF(K32&gt;=750,8,IF(K32&gt;=500,6,IF(K32&gt;=250,4,2)))))</f>
        <v>2</v>
      </c>
      <c r="M32" s="105">
        <f>IF('Employee Master'!B32="","",'⑥ Annual Performance'!K32)</f>
        <v>3</v>
      </c>
      <c r="N32" s="106">
        <f>IF('Employee Master'!B32="","",'⑥ Annual Performance'!L32)</f>
        <v>3.5</v>
      </c>
      <c r="O32" s="104">
        <f>IF('Employee Master'!B32="","",MIN(N32*2,10))</f>
        <v>7</v>
      </c>
      <c r="P32" s="104">
        <f>IF('Employee Master'!B32="","",IF(F32&gt;=36,5,IF(F32&gt;=24,4,IF(F32&gt;=12,3,IF(F32&gt;=6,2,1)))))</f>
        <v>3</v>
      </c>
      <c r="Q32" s="104">
        <f>IF('Employee Master'!B32="","",IF(D32="Sr. Controller",10,IF(D32="Coo",10,IF(D32="Controller",9,IF(D32="Asst. Controller",8,IF(D32="Sr. Manager",8,IF(D32="Manager",7,IF(D32="Asst. Manager",6,IF(D32="Team Lead",7,IF(D32="Asst. Team Lead",5,IF(D32="Sr. Associate",4,IF(D32="Associate",3,IF(D32="Full Stack Developer",5,IF(D32="Project Manager (S/W)",6,IF(D32="Marketing",4,4)))))))))))))))</f>
        <v>7</v>
      </c>
      <c r="R32" s="107">
        <f>IF('Employee Master'!B32="","",H32+J32+L32+O32+P32+Q32)</f>
        <v>24</v>
      </c>
      <c r="S32" s="108">
        <f>IF('Employee Master'!B32="","",3)</f>
        <v>3</v>
      </c>
      <c r="T32" s="104">
        <f>IF('Employee Master'!B32="","",MIN(S32*2,10))</f>
        <v>6</v>
      </c>
      <c r="U32" s="108">
        <f>IF('Employee Master'!B32="","",3)</f>
        <v>3</v>
      </c>
      <c r="V32" s="104">
        <f>IF('Employee Master'!B32="","",MIN(U32*2,10))</f>
        <v>6</v>
      </c>
      <c r="W32" s="108">
        <f>IF('Employee Master'!B32="","",3)</f>
        <v>3</v>
      </c>
      <c r="X32" s="104">
        <f>IF('Employee Master'!B32="","",MIN(W32*2,10))</f>
        <v>6</v>
      </c>
      <c r="Y32" s="108">
        <f>IF('Employee Master'!B32="","",3)</f>
        <v>3</v>
      </c>
      <c r="Z32" s="104">
        <f>IF('Employee Master'!B32="","",MIN(Y32*2,10))</f>
        <v>6</v>
      </c>
      <c r="AA32" s="109">
        <f>IF('Employee Master'!B32="","",T32+V32+X32+Z32)</f>
        <v>24</v>
      </c>
      <c r="AB32" s="110">
        <f>IF('Employee Master'!B32="","",R32+AA32)</f>
        <v>48</v>
      </c>
      <c r="AC32" s="27" t="str">
        <f>IF('Employee Master'!B32="","",IF(AB32&gt;=85,"Exceptional",IF(AB32&gt;=70,"High Performer",IF(AB32&gt;=50,"Meets Expectations",IF(AB32&gt;=30,"Below Expectations","Underperformer")))))</f>
        <v>Below Expectations</v>
      </c>
      <c r="AD32" s="51">
        <f>IF('Employee Master'!B32="","",'Employee Master'!M32)</f>
        <v>34300</v>
      </c>
      <c r="AE32" s="52">
        <f>IF('Employee Master'!B32="","",IF(AB32&gt;=85,Settings!B31,IF(AB32&gt;=70,Settings!B32,IF(AB32&gt;=50,Settings!B33,IF(AB32&gt;=30,Settings!B34,Settings!B35)))))</f>
        <v>0.03</v>
      </c>
      <c r="AF32" s="51">
        <f>IF('Employee Master'!B32="","",AD32*(1+AE32))</f>
        <v>35329</v>
      </c>
      <c r="AG32" s="51">
        <f>IF('Employee Master'!B32="","",AF32-AD32)</f>
        <v>1029</v>
      </c>
      <c r="AH32" s="51">
        <f>IF('Employee Master'!B32="","",AG32*12)</f>
        <v>12348</v>
      </c>
    </row>
    <row r="33" spans="1:34" ht="23.25" customHeight="1" x14ac:dyDescent="0.2">
      <c r="A33" s="27">
        <f>IF('Employee Master'!B33="","",ROW()-3)</f>
        <v>30</v>
      </c>
      <c r="B33" s="27" t="str">
        <f>IF('Employee Master'!B33="","",'Employee Master'!C33)</f>
        <v>Kritika</v>
      </c>
      <c r="C33" s="27" t="str">
        <f>IF('Employee Master'!B33="","",'Employee Master'!D33)</f>
        <v>In-house</v>
      </c>
      <c r="D33" s="27" t="str">
        <f>IF('Employee Master'!B33="","",'Employee Master'!E33)</f>
        <v>Manager</v>
      </c>
      <c r="E33" s="27" t="str">
        <f>IF('Employee Master'!B33="","",'Employee Master'!G33)</f>
        <v>Sachi Mazumdar</v>
      </c>
      <c r="F33" s="51">
        <f>IF('Employee Master'!B33="","",'⑥ Annual Performance'!R33)</f>
        <v>12</v>
      </c>
      <c r="G33" s="103">
        <f>IF('Employee Master'!B33="","",'⑥ Annual Performance'!J33)</f>
        <v>7.6562500000000006E-2</v>
      </c>
      <c r="H33" s="104">
        <f>IF('Employee Master'!B33="","",IF(G33&gt;=0.85,15,IF(G33&gt;=0.7,12,IF(G33&gt;=0.55,9,IF(G33&gt;=0.4,6,3)))))</f>
        <v>3</v>
      </c>
      <c r="I33" s="103">
        <f>IF('Employee Master'!B33="","",'⑥ Annual Performance'!Q33)</f>
        <v>0</v>
      </c>
      <c r="J33" s="104">
        <f>IF('Employee Master'!B33="","",IF(I33&gt;=0.98,10,IF(I33&gt;=0.95,8,IF(I33&gt;=0.9,6,IF(I33&gt;=0.85,4,2)))))</f>
        <v>2</v>
      </c>
      <c r="K33" s="105">
        <f>IF('Employee Master'!B33="","",'⑥ Annual Performance'!N33)</f>
        <v>0</v>
      </c>
      <c r="L33" s="104">
        <f>IF('Employee Master'!B33="","",IF(K33&gt;=1000,10,IF(K33&gt;=750,8,IF(K33&gt;=500,6,IF(K33&gt;=250,4,2)))))</f>
        <v>2</v>
      </c>
      <c r="M33" s="105">
        <f>IF('Employee Master'!B33="","",'⑥ Annual Performance'!K33)</f>
        <v>1</v>
      </c>
      <c r="N33" s="106">
        <f>IF('Employee Master'!B33="","",'⑥ Annual Performance'!L33)</f>
        <v>3.5</v>
      </c>
      <c r="O33" s="104">
        <f>IF('Employee Master'!B33="","",MIN(N33*2,10))</f>
        <v>7</v>
      </c>
      <c r="P33" s="104">
        <f>IF('Employee Master'!B33="","",IF(F33&gt;=36,5,IF(F33&gt;=24,4,IF(F33&gt;=12,3,IF(F33&gt;=6,2,1)))))</f>
        <v>3</v>
      </c>
      <c r="Q33" s="104">
        <f>IF('Employee Master'!B33="","",IF(D33="Sr. Controller",10,IF(D33="Coo",10,IF(D33="Controller",9,IF(D33="Asst. Controller",8,IF(D33="Sr. Manager",8,IF(D33="Manager",7,IF(D33="Asst. Manager",6,IF(D33="Team Lead",7,IF(D33="Asst. Team Lead",5,IF(D33="Sr. Associate",4,IF(D33="Associate",3,IF(D33="Full Stack Developer",5,IF(D33="Project Manager (S/W)",6,IF(D33="Marketing",4,4)))))))))))))))</f>
        <v>7</v>
      </c>
      <c r="R33" s="107">
        <f>IF('Employee Master'!B33="","",H33+J33+L33+O33+P33+Q33)</f>
        <v>24</v>
      </c>
      <c r="S33" s="108">
        <f>IF('Employee Master'!B33="","",3)</f>
        <v>3</v>
      </c>
      <c r="T33" s="104">
        <f>IF('Employee Master'!B33="","",MIN(S33*2,10))</f>
        <v>6</v>
      </c>
      <c r="U33" s="108">
        <f>IF('Employee Master'!B33="","",3)</f>
        <v>3</v>
      </c>
      <c r="V33" s="104">
        <f>IF('Employee Master'!B33="","",MIN(U33*2,10))</f>
        <v>6</v>
      </c>
      <c r="W33" s="108">
        <f>IF('Employee Master'!B33="","",3)</f>
        <v>3</v>
      </c>
      <c r="X33" s="104">
        <f>IF('Employee Master'!B33="","",MIN(W33*2,10))</f>
        <v>6</v>
      </c>
      <c r="Y33" s="108">
        <f>IF('Employee Master'!B33="","",3)</f>
        <v>3</v>
      </c>
      <c r="Z33" s="104">
        <f>IF('Employee Master'!B33="","",MIN(Y33*2,10))</f>
        <v>6</v>
      </c>
      <c r="AA33" s="109">
        <f>IF('Employee Master'!B33="","",T33+V33+X33+Z33)</f>
        <v>24</v>
      </c>
      <c r="AB33" s="110">
        <f>IF('Employee Master'!B33="","",R33+AA33)</f>
        <v>48</v>
      </c>
      <c r="AC33" s="27" t="str">
        <f>IF('Employee Master'!B33="","",IF(AB33&gt;=85,"Exceptional",IF(AB33&gt;=70,"High Performer",IF(AB33&gt;=50,"Meets Expectations",IF(AB33&gt;=30,"Below Expectations","Underperformer")))))</f>
        <v>Below Expectations</v>
      </c>
      <c r="AD33" s="51">
        <f>IF('Employee Master'!B33="","",'Employee Master'!M33)</f>
        <v>158334</v>
      </c>
      <c r="AE33" s="52">
        <f>IF('Employee Master'!B33="","",IF(AB33&gt;=85,Settings!B31,IF(AB33&gt;=70,Settings!B32,IF(AB33&gt;=50,Settings!B33,IF(AB33&gt;=30,Settings!B34,Settings!B35)))))</f>
        <v>0.03</v>
      </c>
      <c r="AF33" s="51">
        <f>IF('Employee Master'!B33="","",AD33*(1+AE33))</f>
        <v>163084.02000000002</v>
      </c>
      <c r="AG33" s="51">
        <f>IF('Employee Master'!B33="","",AF33-AD33)</f>
        <v>4750.0200000000186</v>
      </c>
      <c r="AH33" s="51">
        <f>IF('Employee Master'!B33="","",AG33*12)</f>
        <v>57000.240000000224</v>
      </c>
    </row>
    <row r="34" spans="1:34" ht="23.25" customHeight="1" x14ac:dyDescent="0.2">
      <c r="A34" s="27">
        <f>IF('Employee Master'!B34="","",ROW()-3)</f>
        <v>31</v>
      </c>
      <c r="B34" s="27" t="str">
        <f>IF('Employee Master'!B34="","",'Employee Master'!C34)</f>
        <v>Abhilash</v>
      </c>
      <c r="C34" s="27" t="str">
        <f>IF('Employee Master'!B34="","",'Employee Master'!D34)</f>
        <v>In-house</v>
      </c>
      <c r="D34" s="27" t="str">
        <f>IF('Employee Master'!B34="","",'Employee Master'!E34)</f>
        <v>Sr. Associate</v>
      </c>
      <c r="E34" s="27" t="str">
        <f>IF('Employee Master'!B34="","",'Employee Master'!G34)</f>
        <v>Smriti Shah</v>
      </c>
      <c r="F34" s="51">
        <f>IF('Employee Master'!B34="","",'⑥ Annual Performance'!R34)</f>
        <v>12</v>
      </c>
      <c r="G34" s="103">
        <f>IF('Employee Master'!B34="","",'⑥ Annual Performance'!J34)</f>
        <v>3.1145833333333331E-2</v>
      </c>
      <c r="H34" s="104">
        <f>IF('Employee Master'!B34="","",IF(G34&gt;=0.85,15,IF(G34&gt;=0.7,12,IF(G34&gt;=0.55,9,IF(G34&gt;=0.4,6,3)))))</f>
        <v>3</v>
      </c>
      <c r="I34" s="103">
        <f>IF('Employee Master'!B34="","",'⑥ Annual Performance'!Q34)</f>
        <v>0</v>
      </c>
      <c r="J34" s="104">
        <f>IF('Employee Master'!B34="","",IF(I34&gt;=0.98,10,IF(I34&gt;=0.95,8,IF(I34&gt;=0.9,6,IF(I34&gt;=0.85,4,2)))))</f>
        <v>2</v>
      </c>
      <c r="K34" s="105">
        <f>IF('Employee Master'!B34="","",'⑥ Annual Performance'!N34)</f>
        <v>0</v>
      </c>
      <c r="L34" s="104">
        <f>IF('Employee Master'!B34="","",IF(K34&gt;=1000,10,IF(K34&gt;=750,8,IF(K34&gt;=500,6,IF(K34&gt;=250,4,2)))))</f>
        <v>2</v>
      </c>
      <c r="M34" s="105">
        <f>IF('Employee Master'!B34="","",'⑥ Annual Performance'!K34)</f>
        <v>5</v>
      </c>
      <c r="N34" s="106">
        <f>IF('Employee Master'!B34="","",'⑥ Annual Performance'!L34)</f>
        <v>3.5</v>
      </c>
      <c r="O34" s="104">
        <f>IF('Employee Master'!B34="","",MIN(N34*2,10))</f>
        <v>7</v>
      </c>
      <c r="P34" s="104">
        <f>IF('Employee Master'!B34="","",IF(F34&gt;=36,5,IF(F34&gt;=24,4,IF(F34&gt;=12,3,IF(F34&gt;=6,2,1)))))</f>
        <v>3</v>
      </c>
      <c r="Q34" s="104">
        <f>IF('Employee Master'!B34="","",IF(D34="Sr. Controller",10,IF(D34="Coo",10,IF(D34="Controller",9,IF(D34="Asst. Controller",8,IF(D34="Sr. Manager",8,IF(D34="Manager",7,IF(D34="Asst. Manager",6,IF(D34="Team Lead",7,IF(D34="Asst. Team Lead",5,IF(D34="Sr. Associate",4,IF(D34="Associate",3,IF(D34="Full Stack Developer",5,IF(D34="Project Manager (S/W)",6,IF(D34="Marketing",4,4)))))))))))))))</f>
        <v>4</v>
      </c>
      <c r="R34" s="107">
        <f>IF('Employee Master'!B34="","",H34+J34+L34+O34+P34+Q34)</f>
        <v>21</v>
      </c>
      <c r="S34" s="108">
        <f>IF('Employee Master'!B34="","",3)</f>
        <v>3</v>
      </c>
      <c r="T34" s="104">
        <f>IF('Employee Master'!B34="","",MIN(S34*2,10))</f>
        <v>6</v>
      </c>
      <c r="U34" s="108">
        <f>IF('Employee Master'!B34="","",3)</f>
        <v>3</v>
      </c>
      <c r="V34" s="104">
        <f>IF('Employee Master'!B34="","",MIN(U34*2,10))</f>
        <v>6</v>
      </c>
      <c r="W34" s="108">
        <f>IF('Employee Master'!B34="","",3)</f>
        <v>3</v>
      </c>
      <c r="X34" s="104">
        <f>IF('Employee Master'!B34="","",MIN(W34*2,10))</f>
        <v>6</v>
      </c>
      <c r="Y34" s="108">
        <f>IF('Employee Master'!B34="","",3)</f>
        <v>3</v>
      </c>
      <c r="Z34" s="104">
        <f>IF('Employee Master'!B34="","",MIN(Y34*2,10))</f>
        <v>6</v>
      </c>
      <c r="AA34" s="109">
        <f>IF('Employee Master'!B34="","",T34+V34+X34+Z34)</f>
        <v>24</v>
      </c>
      <c r="AB34" s="110">
        <f>IF('Employee Master'!B34="","",R34+AA34)</f>
        <v>45</v>
      </c>
      <c r="AC34" s="27" t="str">
        <f>IF('Employee Master'!B34="","",IF(AB34&gt;=85,"Exceptional",IF(AB34&gt;=70,"High Performer",IF(AB34&gt;=50,"Meets Expectations",IF(AB34&gt;=30,"Below Expectations","Underperformer")))))</f>
        <v>Below Expectations</v>
      </c>
      <c r="AD34" s="51">
        <f>IF('Employee Master'!B34="","",'Employee Master'!M34)</f>
        <v>100000</v>
      </c>
      <c r="AE34" s="52">
        <f>IF('Employee Master'!B34="","",IF(AB34&gt;=85,Settings!B31,IF(AB34&gt;=70,Settings!B32,IF(AB34&gt;=50,Settings!B33,IF(AB34&gt;=30,Settings!B34,Settings!B35)))))</f>
        <v>0.03</v>
      </c>
      <c r="AF34" s="51">
        <f>IF('Employee Master'!B34="","",AD34*(1+AE34))</f>
        <v>103000</v>
      </c>
      <c r="AG34" s="51">
        <f>IF('Employee Master'!B34="","",AF34-AD34)</f>
        <v>3000</v>
      </c>
      <c r="AH34" s="51">
        <f>IF('Employee Master'!B34="","",AG34*12)</f>
        <v>36000</v>
      </c>
    </row>
    <row r="35" spans="1:34" ht="23.25" customHeight="1" x14ac:dyDescent="0.2">
      <c r="A35" s="27">
        <f>IF('Employee Master'!B35="","",ROW()-3)</f>
        <v>32</v>
      </c>
      <c r="B35" s="27" t="str">
        <f>IF('Employee Master'!B35="","",'Employee Master'!C35)</f>
        <v>Kavita</v>
      </c>
      <c r="C35" s="27" t="str">
        <f>IF('Employee Master'!B35="","",'Employee Master'!D35)</f>
        <v>In-house</v>
      </c>
      <c r="D35" s="27" t="str">
        <f>IF('Employee Master'!B35="","",'Employee Master'!E35)</f>
        <v>Manager</v>
      </c>
      <c r="E35" s="27" t="str">
        <f>IF('Employee Master'!B35="","",'Employee Master'!G35)</f>
        <v>Sachi Mazumdar</v>
      </c>
      <c r="F35" s="51">
        <f>IF('Employee Master'!B35="","",'⑥ Annual Performance'!R35)</f>
        <v>12</v>
      </c>
      <c r="G35" s="103">
        <f>IF('Employee Master'!B35="","",'⑥ Annual Performance'!J35)</f>
        <v>2.5000000000000001E-2</v>
      </c>
      <c r="H35" s="104">
        <f>IF('Employee Master'!B35="","",IF(G35&gt;=0.85,15,IF(G35&gt;=0.7,12,IF(G35&gt;=0.55,9,IF(G35&gt;=0.4,6,3)))))</f>
        <v>3</v>
      </c>
      <c r="I35" s="103">
        <f>IF('Employee Master'!B35="","",'⑥ Annual Performance'!Q35)</f>
        <v>0</v>
      </c>
      <c r="J35" s="104">
        <f>IF('Employee Master'!B35="","",IF(I35&gt;=0.98,10,IF(I35&gt;=0.95,8,IF(I35&gt;=0.9,6,IF(I35&gt;=0.85,4,2)))))</f>
        <v>2</v>
      </c>
      <c r="K35" s="105">
        <f>IF('Employee Master'!B35="","",'⑥ Annual Performance'!N35)</f>
        <v>0</v>
      </c>
      <c r="L35" s="104">
        <f>IF('Employee Master'!B35="","",IF(K35&gt;=1000,10,IF(K35&gt;=750,8,IF(K35&gt;=500,6,IF(K35&gt;=250,4,2)))))</f>
        <v>2</v>
      </c>
      <c r="M35" s="105">
        <f>IF('Employee Master'!B35="","",'⑥ Annual Performance'!K35)</f>
        <v>1</v>
      </c>
      <c r="N35" s="106">
        <f>IF('Employee Master'!B35="","",'⑥ Annual Performance'!L35)</f>
        <v>3.5</v>
      </c>
      <c r="O35" s="104">
        <f>IF('Employee Master'!B35="","",MIN(N35*2,10))</f>
        <v>7</v>
      </c>
      <c r="P35" s="104">
        <f>IF('Employee Master'!B35="","",IF(F35&gt;=36,5,IF(F35&gt;=24,4,IF(F35&gt;=12,3,IF(F35&gt;=6,2,1)))))</f>
        <v>3</v>
      </c>
      <c r="Q35" s="104">
        <f>IF('Employee Master'!B35="","",IF(D35="Sr. Controller",10,IF(D35="Coo",10,IF(D35="Controller",9,IF(D35="Asst. Controller",8,IF(D35="Sr. Manager",8,IF(D35="Manager",7,IF(D35="Asst. Manager",6,IF(D35="Team Lead",7,IF(D35="Asst. Team Lead",5,IF(D35="Sr. Associate",4,IF(D35="Associate",3,IF(D35="Full Stack Developer",5,IF(D35="Project Manager (S/W)",6,IF(D35="Marketing",4,4)))))))))))))))</f>
        <v>7</v>
      </c>
      <c r="R35" s="107">
        <f>IF('Employee Master'!B35="","",H35+J35+L35+O35+P35+Q35)</f>
        <v>24</v>
      </c>
      <c r="S35" s="108">
        <f>IF('Employee Master'!B35="","",3)</f>
        <v>3</v>
      </c>
      <c r="T35" s="104">
        <f>IF('Employee Master'!B35="","",MIN(S35*2,10))</f>
        <v>6</v>
      </c>
      <c r="U35" s="108">
        <f>IF('Employee Master'!B35="","",3)</f>
        <v>3</v>
      </c>
      <c r="V35" s="104">
        <f>IF('Employee Master'!B35="","",MIN(U35*2,10))</f>
        <v>6</v>
      </c>
      <c r="W35" s="108">
        <f>IF('Employee Master'!B35="","",3)</f>
        <v>3</v>
      </c>
      <c r="X35" s="104">
        <f>IF('Employee Master'!B35="","",MIN(W35*2,10))</f>
        <v>6</v>
      </c>
      <c r="Y35" s="108">
        <f>IF('Employee Master'!B35="","",3)</f>
        <v>3</v>
      </c>
      <c r="Z35" s="104">
        <f>IF('Employee Master'!B35="","",MIN(Y35*2,10))</f>
        <v>6</v>
      </c>
      <c r="AA35" s="109">
        <f>IF('Employee Master'!B35="","",T35+V35+X35+Z35)</f>
        <v>24</v>
      </c>
      <c r="AB35" s="110">
        <f>IF('Employee Master'!B35="","",R35+AA35)</f>
        <v>48</v>
      </c>
      <c r="AC35" s="27" t="str">
        <f>IF('Employee Master'!B35="","",IF(AB35&gt;=85,"Exceptional",IF(AB35&gt;=70,"High Performer",IF(AB35&gt;=50,"Meets Expectations",IF(AB35&gt;=30,"Below Expectations","Underperformer")))))</f>
        <v>Below Expectations</v>
      </c>
      <c r="AD35" s="51">
        <f>IF('Employee Master'!B35="","",'Employee Master'!M35)</f>
        <v>208333</v>
      </c>
      <c r="AE35" s="52">
        <f>IF('Employee Master'!B35="","",IF(AB35&gt;=85,Settings!B31,IF(AB35&gt;=70,Settings!B32,IF(AB35&gt;=50,Settings!B33,IF(AB35&gt;=30,Settings!B34,Settings!B35)))))</f>
        <v>0.03</v>
      </c>
      <c r="AF35" s="51">
        <f>IF('Employee Master'!B35="","",AD35*(1+AE35))</f>
        <v>214582.99000000002</v>
      </c>
      <c r="AG35" s="51">
        <f>IF('Employee Master'!B35="","",AF35-AD35)</f>
        <v>6249.9900000000198</v>
      </c>
      <c r="AH35" s="51">
        <f>IF('Employee Master'!B35="","",AG35*12)</f>
        <v>74999.880000000237</v>
      </c>
    </row>
    <row r="36" spans="1:34" ht="23.25" customHeight="1" x14ac:dyDescent="0.2">
      <c r="A36" s="27">
        <f>IF('Employee Master'!B36="","",ROW()-3)</f>
        <v>33</v>
      </c>
      <c r="B36" s="27" t="str">
        <f>IF('Employee Master'!B36="","",'Employee Master'!C36)</f>
        <v>Sakshi</v>
      </c>
      <c r="C36" s="27" t="str">
        <f>IF('Employee Master'!B36="","",'Employee Master'!D36)</f>
        <v>In-house</v>
      </c>
      <c r="D36" s="27" t="str">
        <f>IF('Employee Master'!B36="","",'Employee Master'!E36)</f>
        <v>Associate</v>
      </c>
      <c r="E36" s="27" t="str">
        <f>IF('Employee Master'!B36="","",'Employee Master'!G36)</f>
        <v>Nikita Shah</v>
      </c>
      <c r="F36" s="51">
        <f>IF('Employee Master'!B36="","",'⑥ Annual Performance'!R36)</f>
        <v>12</v>
      </c>
      <c r="G36" s="103">
        <f>IF('Employee Master'!B36="","",'⑥ Annual Performance'!J36)</f>
        <v>7.0416666666666655E-2</v>
      </c>
      <c r="H36" s="104">
        <f>IF('Employee Master'!B36="","",IF(G36&gt;=0.85,15,IF(G36&gt;=0.7,12,IF(G36&gt;=0.55,9,IF(G36&gt;=0.4,6,3)))))</f>
        <v>3</v>
      </c>
      <c r="I36" s="103">
        <f>IF('Employee Master'!B36="","",'⑥ Annual Performance'!Q36)</f>
        <v>0</v>
      </c>
      <c r="J36" s="104">
        <f>IF('Employee Master'!B36="","",IF(I36&gt;=0.98,10,IF(I36&gt;=0.95,8,IF(I36&gt;=0.9,6,IF(I36&gt;=0.85,4,2)))))</f>
        <v>2</v>
      </c>
      <c r="K36" s="105">
        <f>IF('Employee Master'!B36="","",'⑥ Annual Performance'!N36)</f>
        <v>0</v>
      </c>
      <c r="L36" s="104">
        <f>IF('Employee Master'!B36="","",IF(K36&gt;=1000,10,IF(K36&gt;=750,8,IF(K36&gt;=500,6,IF(K36&gt;=250,4,2)))))</f>
        <v>2</v>
      </c>
      <c r="M36" s="105">
        <f>IF('Employee Master'!B36="","",'⑥ Annual Performance'!K36)</f>
        <v>1</v>
      </c>
      <c r="N36" s="106">
        <f>IF('Employee Master'!B36="","",'⑥ Annual Performance'!L36)</f>
        <v>3.5</v>
      </c>
      <c r="O36" s="104">
        <f>IF('Employee Master'!B36="","",MIN(N36*2,10))</f>
        <v>7</v>
      </c>
      <c r="P36" s="104">
        <f>IF('Employee Master'!B36="","",IF(F36&gt;=36,5,IF(F36&gt;=24,4,IF(F36&gt;=12,3,IF(F36&gt;=6,2,1)))))</f>
        <v>3</v>
      </c>
      <c r="Q36" s="104">
        <f>IF('Employee Master'!B36="","",IF(D36="Sr. Controller",10,IF(D36="Coo",10,IF(D36="Controller",9,IF(D36="Asst. Controller",8,IF(D36="Sr. Manager",8,IF(D36="Manager",7,IF(D36="Asst. Manager",6,IF(D36="Team Lead",7,IF(D36="Asst. Team Lead",5,IF(D36="Sr. Associate",4,IF(D36="Associate",3,IF(D36="Full Stack Developer",5,IF(D36="Project Manager (S/W)",6,IF(D36="Marketing",4,4)))))))))))))))</f>
        <v>3</v>
      </c>
      <c r="R36" s="107">
        <f>IF('Employee Master'!B36="","",H36+J36+L36+O36+P36+Q36)</f>
        <v>20</v>
      </c>
      <c r="S36" s="108">
        <f>IF('Employee Master'!B36="","",3)</f>
        <v>3</v>
      </c>
      <c r="T36" s="104">
        <f>IF('Employee Master'!B36="","",MIN(S36*2,10))</f>
        <v>6</v>
      </c>
      <c r="U36" s="108">
        <f>IF('Employee Master'!B36="","",3)</f>
        <v>3</v>
      </c>
      <c r="V36" s="104">
        <f>IF('Employee Master'!B36="","",MIN(U36*2,10))</f>
        <v>6</v>
      </c>
      <c r="W36" s="108">
        <f>IF('Employee Master'!B36="","",3)</f>
        <v>3</v>
      </c>
      <c r="X36" s="104">
        <f>IF('Employee Master'!B36="","",MIN(W36*2,10))</f>
        <v>6</v>
      </c>
      <c r="Y36" s="108">
        <f>IF('Employee Master'!B36="","",3)</f>
        <v>3</v>
      </c>
      <c r="Z36" s="104">
        <f>IF('Employee Master'!B36="","",MIN(Y36*2,10))</f>
        <v>6</v>
      </c>
      <c r="AA36" s="109">
        <f>IF('Employee Master'!B36="","",T36+V36+X36+Z36)</f>
        <v>24</v>
      </c>
      <c r="AB36" s="110">
        <f>IF('Employee Master'!B36="","",R36+AA36)</f>
        <v>44</v>
      </c>
      <c r="AC36" s="27" t="str">
        <f>IF('Employee Master'!B36="","",IF(AB36&gt;=85,"Exceptional",IF(AB36&gt;=70,"High Performer",IF(AB36&gt;=50,"Meets Expectations",IF(AB36&gt;=30,"Below Expectations","Underperformer")))))</f>
        <v>Below Expectations</v>
      </c>
      <c r="AD36" s="51">
        <f>IF('Employee Master'!B36="","",'Employee Master'!M36)</f>
        <v>55000</v>
      </c>
      <c r="AE36" s="52">
        <f>IF('Employee Master'!B36="","",IF(AB36&gt;=85,Settings!B31,IF(AB36&gt;=70,Settings!B32,IF(AB36&gt;=50,Settings!B33,IF(AB36&gt;=30,Settings!B34,Settings!B35)))))</f>
        <v>0.03</v>
      </c>
      <c r="AF36" s="51">
        <f>IF('Employee Master'!B36="","",AD36*(1+AE36))</f>
        <v>56650</v>
      </c>
      <c r="AG36" s="51">
        <f>IF('Employee Master'!B36="","",AF36-AD36)</f>
        <v>1650</v>
      </c>
      <c r="AH36" s="51">
        <f>IF('Employee Master'!B36="","",AG36*12)</f>
        <v>19800</v>
      </c>
    </row>
    <row r="37" spans="1:34" ht="23.25" customHeight="1" x14ac:dyDescent="0.2">
      <c r="A37" s="27">
        <f>IF('Employee Master'!B37="","",ROW()-3)</f>
        <v>34</v>
      </c>
      <c r="B37" s="27" t="str">
        <f>IF('Employee Master'!B37="","",'Employee Master'!C37)</f>
        <v>Suhani</v>
      </c>
      <c r="C37" s="27" t="str">
        <f>IF('Employee Master'!B37="","",'Employee Master'!D37)</f>
        <v>Retainer</v>
      </c>
      <c r="D37" s="27" t="str">
        <f>IF('Employee Master'!B37="","",'Employee Master'!E37)</f>
        <v>Team Lead</v>
      </c>
      <c r="E37" s="27" t="str">
        <f>IF('Employee Master'!B37="","",'Employee Master'!G37)</f>
        <v>Ayushi</v>
      </c>
      <c r="F37" s="51">
        <f>IF('Employee Master'!B37="","",'⑥ Annual Performance'!R37)</f>
        <v>12</v>
      </c>
      <c r="G37" s="103">
        <f>IF('Employee Master'!B37="","",'⑥ Annual Performance'!J37)</f>
        <v>8.59375E-2</v>
      </c>
      <c r="H37" s="104">
        <f>IF('Employee Master'!B37="","",IF(G37&gt;=0.85,15,IF(G37&gt;=0.7,12,IF(G37&gt;=0.55,9,IF(G37&gt;=0.4,6,3)))))</f>
        <v>3</v>
      </c>
      <c r="I37" s="103">
        <f>IF('Employee Master'!B37="","",'⑥ Annual Performance'!Q37)</f>
        <v>0</v>
      </c>
      <c r="J37" s="104">
        <f>IF('Employee Master'!B37="","",IF(I37&gt;=0.98,10,IF(I37&gt;=0.95,8,IF(I37&gt;=0.9,6,IF(I37&gt;=0.85,4,2)))))</f>
        <v>2</v>
      </c>
      <c r="K37" s="105">
        <f>IF('Employee Master'!B37="","",'⑥ Annual Performance'!N37)</f>
        <v>0</v>
      </c>
      <c r="L37" s="104">
        <f>IF('Employee Master'!B37="","",IF(K37&gt;=1000,10,IF(K37&gt;=750,8,IF(K37&gt;=500,6,IF(K37&gt;=250,4,2)))))</f>
        <v>2</v>
      </c>
      <c r="M37" s="105">
        <f>IF('Employee Master'!B37="","",'⑥ Annual Performance'!K37)</f>
        <v>10</v>
      </c>
      <c r="N37" s="106">
        <f>IF('Employee Master'!B37="","",'⑥ Annual Performance'!L37)</f>
        <v>3.5</v>
      </c>
      <c r="O37" s="104">
        <f>IF('Employee Master'!B37="","",MIN(N37*2,10))</f>
        <v>7</v>
      </c>
      <c r="P37" s="104">
        <f>IF('Employee Master'!B37="","",IF(F37&gt;=36,5,IF(F37&gt;=24,4,IF(F37&gt;=12,3,IF(F37&gt;=6,2,1)))))</f>
        <v>3</v>
      </c>
      <c r="Q37" s="104">
        <f>IF('Employee Master'!B37="","",IF(D37="Sr. Controller",10,IF(D37="Coo",10,IF(D37="Controller",9,IF(D37="Asst. Controller",8,IF(D37="Sr. Manager",8,IF(D37="Manager",7,IF(D37="Asst. Manager",6,IF(D37="Team Lead",7,IF(D37="Asst. Team Lead",5,IF(D37="Sr. Associate",4,IF(D37="Associate",3,IF(D37="Full Stack Developer",5,IF(D37="Project Manager (S/W)",6,IF(D37="Marketing",4,4)))))))))))))))</f>
        <v>7</v>
      </c>
      <c r="R37" s="107">
        <f>IF('Employee Master'!B37="","",H37+J37+L37+O37+P37+Q37)</f>
        <v>24</v>
      </c>
      <c r="S37" s="108">
        <f>IF('Employee Master'!B37="","",3)</f>
        <v>3</v>
      </c>
      <c r="T37" s="104">
        <f>IF('Employee Master'!B37="","",MIN(S37*2,10))</f>
        <v>6</v>
      </c>
      <c r="U37" s="108">
        <f>IF('Employee Master'!B37="","",3)</f>
        <v>3</v>
      </c>
      <c r="V37" s="104">
        <f>IF('Employee Master'!B37="","",MIN(U37*2,10))</f>
        <v>6</v>
      </c>
      <c r="W37" s="108">
        <f>IF('Employee Master'!B37="","",3)</f>
        <v>3</v>
      </c>
      <c r="X37" s="104">
        <f>IF('Employee Master'!B37="","",MIN(W37*2,10))</f>
        <v>6</v>
      </c>
      <c r="Y37" s="108">
        <f>IF('Employee Master'!B37="","",3)</f>
        <v>3</v>
      </c>
      <c r="Z37" s="104">
        <f>IF('Employee Master'!B37="","",MIN(Y37*2,10))</f>
        <v>6</v>
      </c>
      <c r="AA37" s="109">
        <f>IF('Employee Master'!B37="","",T37+V37+X37+Z37)</f>
        <v>24</v>
      </c>
      <c r="AB37" s="110">
        <f>IF('Employee Master'!B37="","",R37+AA37)</f>
        <v>48</v>
      </c>
      <c r="AC37" s="27" t="str">
        <f>IF('Employee Master'!B37="","",IF(AB37&gt;=85,"Exceptional",IF(AB37&gt;=70,"High Performer",IF(AB37&gt;=50,"Meets Expectations",IF(AB37&gt;=30,"Below Expectations","Underperformer")))))</f>
        <v>Below Expectations</v>
      </c>
      <c r="AD37" s="51">
        <f>IF('Employee Master'!B37="","",'Employee Master'!M37)</f>
        <v>90000</v>
      </c>
      <c r="AE37" s="52">
        <f>IF('Employee Master'!B37="","",IF(AB37&gt;=85,Settings!B31,IF(AB37&gt;=70,Settings!B32,IF(AB37&gt;=50,Settings!B33,IF(AB37&gt;=30,Settings!B34,Settings!B35)))))</f>
        <v>0.03</v>
      </c>
      <c r="AF37" s="51">
        <f>IF('Employee Master'!B37="","",AD37*(1+AE37))</f>
        <v>92700</v>
      </c>
      <c r="AG37" s="51">
        <f>IF('Employee Master'!B37="","",AF37-AD37)</f>
        <v>2700</v>
      </c>
      <c r="AH37" s="51">
        <f>IF('Employee Master'!B37="","",AG37*12)</f>
        <v>32400</v>
      </c>
    </row>
    <row r="38" spans="1:34" ht="23.25" customHeight="1" x14ac:dyDescent="0.2">
      <c r="A38" s="27">
        <f>IF('Employee Master'!B38="","",ROW()-3)</f>
        <v>35</v>
      </c>
      <c r="B38" s="27" t="str">
        <f>IF('Employee Master'!B38="","",'Employee Master'!C38)</f>
        <v>Shradha</v>
      </c>
      <c r="C38" s="27" t="str">
        <f>IF('Employee Master'!B38="","",'Employee Master'!D38)</f>
        <v>In-house</v>
      </c>
      <c r="D38" s="27" t="str">
        <f>IF('Employee Master'!B38="","",'Employee Master'!E38)</f>
        <v>Sr. Associate</v>
      </c>
      <c r="E38" s="27" t="str">
        <f>IF('Employee Master'!B38="","",'Employee Master'!G38)</f>
        <v>Jyoti</v>
      </c>
      <c r="F38" s="51">
        <f>IF('Employee Master'!B38="","",'⑥ Annual Performance'!R38)</f>
        <v>12</v>
      </c>
      <c r="G38" s="103">
        <f>IF('Employee Master'!B38="","",'⑥ Annual Performance'!J38)</f>
        <v>7.8437499999999993E-2</v>
      </c>
      <c r="H38" s="104">
        <f>IF('Employee Master'!B38="","",IF(G38&gt;=0.85,15,IF(G38&gt;=0.7,12,IF(G38&gt;=0.55,9,IF(G38&gt;=0.4,6,3)))))</f>
        <v>3</v>
      </c>
      <c r="I38" s="103">
        <f>IF('Employee Master'!B38="","",'⑥ Annual Performance'!Q38)</f>
        <v>0</v>
      </c>
      <c r="J38" s="104">
        <f>IF('Employee Master'!B38="","",IF(I38&gt;=0.98,10,IF(I38&gt;=0.95,8,IF(I38&gt;=0.9,6,IF(I38&gt;=0.85,4,2)))))</f>
        <v>2</v>
      </c>
      <c r="K38" s="105">
        <f>IF('Employee Master'!B38="","",'⑥ Annual Performance'!N38)</f>
        <v>0</v>
      </c>
      <c r="L38" s="104">
        <f>IF('Employee Master'!B38="","",IF(K38&gt;=1000,10,IF(K38&gt;=750,8,IF(K38&gt;=500,6,IF(K38&gt;=250,4,2)))))</f>
        <v>2</v>
      </c>
      <c r="M38" s="105">
        <f>IF('Employee Master'!B38="","",'⑥ Annual Performance'!K38)</f>
        <v>2</v>
      </c>
      <c r="N38" s="106">
        <f>IF('Employee Master'!B38="","",'⑥ Annual Performance'!L38)</f>
        <v>3.5</v>
      </c>
      <c r="O38" s="104">
        <f>IF('Employee Master'!B38="","",MIN(N38*2,10))</f>
        <v>7</v>
      </c>
      <c r="P38" s="104">
        <f>IF('Employee Master'!B38="","",IF(F38&gt;=36,5,IF(F38&gt;=24,4,IF(F38&gt;=12,3,IF(F38&gt;=6,2,1)))))</f>
        <v>3</v>
      </c>
      <c r="Q38" s="104">
        <f>IF('Employee Master'!B38="","",IF(D38="Sr. Controller",10,IF(D38="Coo",10,IF(D38="Controller",9,IF(D38="Asst. Controller",8,IF(D38="Sr. Manager",8,IF(D38="Manager",7,IF(D38="Asst. Manager",6,IF(D38="Team Lead",7,IF(D38="Asst. Team Lead",5,IF(D38="Sr. Associate",4,IF(D38="Associate",3,IF(D38="Full Stack Developer",5,IF(D38="Project Manager (S/W)",6,IF(D38="Marketing",4,4)))))))))))))))</f>
        <v>4</v>
      </c>
      <c r="R38" s="107">
        <f>IF('Employee Master'!B38="","",H38+J38+L38+O38+P38+Q38)</f>
        <v>21</v>
      </c>
      <c r="S38" s="108">
        <f>IF('Employee Master'!B38="","",3)</f>
        <v>3</v>
      </c>
      <c r="T38" s="104">
        <f>IF('Employee Master'!B38="","",MIN(S38*2,10))</f>
        <v>6</v>
      </c>
      <c r="U38" s="108">
        <f>IF('Employee Master'!B38="","",3)</f>
        <v>3</v>
      </c>
      <c r="V38" s="104">
        <f>IF('Employee Master'!B38="","",MIN(U38*2,10))</f>
        <v>6</v>
      </c>
      <c r="W38" s="108">
        <f>IF('Employee Master'!B38="","",3)</f>
        <v>3</v>
      </c>
      <c r="X38" s="104">
        <f>IF('Employee Master'!B38="","",MIN(W38*2,10))</f>
        <v>6</v>
      </c>
      <c r="Y38" s="108">
        <f>IF('Employee Master'!B38="","",3)</f>
        <v>3</v>
      </c>
      <c r="Z38" s="104">
        <f>IF('Employee Master'!B38="","",MIN(Y38*2,10))</f>
        <v>6</v>
      </c>
      <c r="AA38" s="109">
        <f>IF('Employee Master'!B38="","",T38+V38+X38+Z38)</f>
        <v>24</v>
      </c>
      <c r="AB38" s="110">
        <f>IF('Employee Master'!B38="","",R38+AA38)</f>
        <v>45</v>
      </c>
      <c r="AC38" s="27" t="str">
        <f>IF('Employee Master'!B38="","",IF(AB38&gt;=85,"Exceptional",IF(AB38&gt;=70,"High Performer",IF(AB38&gt;=50,"Meets Expectations",IF(AB38&gt;=30,"Below Expectations","Underperformer")))))</f>
        <v>Below Expectations</v>
      </c>
      <c r="AD38" s="51">
        <f>IF('Employee Master'!B38="","",'Employee Master'!M38)</f>
        <v>51000</v>
      </c>
      <c r="AE38" s="52">
        <f>IF('Employee Master'!B38="","",IF(AB38&gt;=85,Settings!B31,IF(AB38&gt;=70,Settings!B32,IF(AB38&gt;=50,Settings!B33,IF(AB38&gt;=30,Settings!B34,Settings!B35)))))</f>
        <v>0.03</v>
      </c>
      <c r="AF38" s="51">
        <f>IF('Employee Master'!B38="","",AD38*(1+AE38))</f>
        <v>52530</v>
      </c>
      <c r="AG38" s="51">
        <f>IF('Employee Master'!B38="","",AF38-AD38)</f>
        <v>1530</v>
      </c>
      <c r="AH38" s="51">
        <f>IF('Employee Master'!B38="","",AG38*12)</f>
        <v>18360</v>
      </c>
    </row>
    <row r="39" spans="1:34" ht="23.25" customHeight="1" x14ac:dyDescent="0.2">
      <c r="A39" s="27">
        <f>IF('Employee Master'!B39="","",ROW()-3)</f>
        <v>36</v>
      </c>
      <c r="B39" s="27" t="str">
        <f>IF('Employee Master'!B39="","",'Employee Master'!C39)</f>
        <v>Ridhi.G</v>
      </c>
      <c r="C39" s="27" t="str">
        <f>IF('Employee Master'!B39="","",'Employee Master'!D39)</f>
        <v>In-house</v>
      </c>
      <c r="D39" s="27" t="str">
        <f>IF('Employee Master'!B39="","",'Employee Master'!E39)</f>
        <v>Asst. Team Lead</v>
      </c>
      <c r="E39" s="27" t="str">
        <f>IF('Employee Master'!B39="","",'Employee Master'!G39)</f>
        <v>Nikita Shah</v>
      </c>
      <c r="F39" s="51">
        <f>IF('Employee Master'!B39="","",'⑥ Annual Performance'!R39)</f>
        <v>12</v>
      </c>
      <c r="G39" s="103">
        <f>IF('Employee Master'!B39="","",'⑥ Annual Performance'!J39)</f>
        <v>7.0833333333333331E-2</v>
      </c>
      <c r="H39" s="104">
        <f>IF('Employee Master'!B39="","",IF(G39&gt;=0.85,15,IF(G39&gt;=0.7,12,IF(G39&gt;=0.55,9,IF(G39&gt;=0.4,6,3)))))</f>
        <v>3</v>
      </c>
      <c r="I39" s="103">
        <f>IF('Employee Master'!B39="","",'⑥ Annual Performance'!Q39)</f>
        <v>0</v>
      </c>
      <c r="J39" s="104">
        <f>IF('Employee Master'!B39="","",IF(I39&gt;=0.98,10,IF(I39&gt;=0.95,8,IF(I39&gt;=0.9,6,IF(I39&gt;=0.85,4,2)))))</f>
        <v>2</v>
      </c>
      <c r="K39" s="105">
        <f>IF('Employee Master'!B39="","",'⑥ Annual Performance'!N39)</f>
        <v>0</v>
      </c>
      <c r="L39" s="104">
        <f>IF('Employee Master'!B39="","",IF(K39&gt;=1000,10,IF(K39&gt;=750,8,IF(K39&gt;=500,6,IF(K39&gt;=250,4,2)))))</f>
        <v>2</v>
      </c>
      <c r="M39" s="105">
        <f>IF('Employee Master'!B39="","",'⑥ Annual Performance'!K39)</f>
        <v>4</v>
      </c>
      <c r="N39" s="106">
        <f>IF('Employee Master'!B39="","",'⑥ Annual Performance'!L39)</f>
        <v>3.5</v>
      </c>
      <c r="O39" s="104">
        <f>IF('Employee Master'!B39="","",MIN(N39*2,10))</f>
        <v>7</v>
      </c>
      <c r="P39" s="104">
        <f>IF('Employee Master'!B39="","",IF(F39&gt;=36,5,IF(F39&gt;=24,4,IF(F39&gt;=12,3,IF(F39&gt;=6,2,1)))))</f>
        <v>3</v>
      </c>
      <c r="Q39" s="104">
        <f>IF('Employee Master'!B39="","",IF(D39="Sr. Controller",10,IF(D39="Coo",10,IF(D39="Controller",9,IF(D39="Asst. Controller",8,IF(D39="Sr. Manager",8,IF(D39="Manager",7,IF(D39="Asst. Manager",6,IF(D39="Team Lead",7,IF(D39="Asst. Team Lead",5,IF(D39="Sr. Associate",4,IF(D39="Associate",3,IF(D39="Full Stack Developer",5,IF(D39="Project Manager (S/W)",6,IF(D39="Marketing",4,4)))))))))))))))</f>
        <v>5</v>
      </c>
      <c r="R39" s="107">
        <f>IF('Employee Master'!B39="","",H39+J39+L39+O39+P39+Q39)</f>
        <v>22</v>
      </c>
      <c r="S39" s="108">
        <f>IF('Employee Master'!B39="","",3)</f>
        <v>3</v>
      </c>
      <c r="T39" s="104">
        <f>IF('Employee Master'!B39="","",MIN(S39*2,10))</f>
        <v>6</v>
      </c>
      <c r="U39" s="108">
        <f>IF('Employee Master'!B39="","",3)</f>
        <v>3</v>
      </c>
      <c r="V39" s="104">
        <f>IF('Employee Master'!B39="","",MIN(U39*2,10))</f>
        <v>6</v>
      </c>
      <c r="W39" s="108">
        <f>IF('Employee Master'!B39="","",3)</f>
        <v>3</v>
      </c>
      <c r="X39" s="104">
        <f>IF('Employee Master'!B39="","",MIN(W39*2,10))</f>
        <v>6</v>
      </c>
      <c r="Y39" s="108">
        <f>IF('Employee Master'!B39="","",3)</f>
        <v>3</v>
      </c>
      <c r="Z39" s="104">
        <f>IF('Employee Master'!B39="","",MIN(Y39*2,10))</f>
        <v>6</v>
      </c>
      <c r="AA39" s="109">
        <f>IF('Employee Master'!B39="","",T39+V39+X39+Z39)</f>
        <v>24</v>
      </c>
      <c r="AB39" s="110">
        <f>IF('Employee Master'!B39="","",R39+AA39)</f>
        <v>46</v>
      </c>
      <c r="AC39" s="27" t="str">
        <f>IF('Employee Master'!B39="","",IF(AB39&gt;=85,"Exceptional",IF(AB39&gt;=70,"High Performer",IF(AB39&gt;=50,"Meets Expectations",IF(AB39&gt;=30,"Below Expectations","Underperformer")))))</f>
        <v>Below Expectations</v>
      </c>
      <c r="AD39" s="51">
        <f>IF('Employee Master'!B39="","",'Employee Master'!M39)</f>
        <v>63000</v>
      </c>
      <c r="AE39" s="52">
        <f>IF('Employee Master'!B39="","",IF(AB39&gt;=85,Settings!B31,IF(AB39&gt;=70,Settings!B32,IF(AB39&gt;=50,Settings!B33,IF(AB39&gt;=30,Settings!B34,Settings!B35)))))</f>
        <v>0.03</v>
      </c>
      <c r="AF39" s="51">
        <f>IF('Employee Master'!B39="","",AD39*(1+AE39))</f>
        <v>64890</v>
      </c>
      <c r="AG39" s="51">
        <f>IF('Employee Master'!B39="","",AF39-AD39)</f>
        <v>1890</v>
      </c>
      <c r="AH39" s="51">
        <f>IF('Employee Master'!B39="","",AG39*12)</f>
        <v>22680</v>
      </c>
    </row>
    <row r="40" spans="1:34" ht="23.25" customHeight="1" x14ac:dyDescent="0.2">
      <c r="A40" s="27">
        <f>IF('Employee Master'!B40="","",ROW()-3)</f>
        <v>37</v>
      </c>
      <c r="B40" s="27" t="str">
        <f>IF('Employee Master'!B40="","",'Employee Master'!C40)</f>
        <v>Bhairavi.M</v>
      </c>
      <c r="C40" s="27" t="str">
        <f>IF('Employee Master'!B40="","",'Employee Master'!D40)</f>
        <v>In-house</v>
      </c>
      <c r="D40" s="27" t="str">
        <f>IF('Employee Master'!B40="","",'Employee Master'!E40)</f>
        <v>Associate</v>
      </c>
      <c r="E40" s="27" t="str">
        <f>IF('Employee Master'!B40="","",'Employee Master'!G40)</f>
        <v>Ayushi</v>
      </c>
      <c r="F40" s="51">
        <f>IF('Employee Master'!B40="","",'⑥ Annual Performance'!R40)</f>
        <v>12</v>
      </c>
      <c r="G40" s="103">
        <f>IF('Employee Master'!B40="","",'⑥ Annual Performance'!J40)</f>
        <v>5.7343749999999999E-2</v>
      </c>
      <c r="H40" s="104">
        <f>IF('Employee Master'!B40="","",IF(G40&gt;=0.85,15,IF(G40&gt;=0.7,12,IF(G40&gt;=0.55,9,IF(G40&gt;=0.4,6,3)))))</f>
        <v>3</v>
      </c>
      <c r="I40" s="103">
        <f>IF('Employee Master'!B40="","",'⑥ Annual Performance'!Q40)</f>
        <v>0</v>
      </c>
      <c r="J40" s="104">
        <f>IF('Employee Master'!B40="","",IF(I40&gt;=0.98,10,IF(I40&gt;=0.95,8,IF(I40&gt;=0.9,6,IF(I40&gt;=0.85,4,2)))))</f>
        <v>2</v>
      </c>
      <c r="K40" s="105">
        <f>IF('Employee Master'!B40="","",'⑥ Annual Performance'!N40)</f>
        <v>0</v>
      </c>
      <c r="L40" s="104">
        <f>IF('Employee Master'!B40="","",IF(K40&gt;=1000,10,IF(K40&gt;=750,8,IF(K40&gt;=500,6,IF(K40&gt;=250,4,2)))))</f>
        <v>2</v>
      </c>
      <c r="M40" s="105">
        <f>IF('Employee Master'!B40="","",'⑥ Annual Performance'!K40)</f>
        <v>5</v>
      </c>
      <c r="N40" s="106">
        <f>IF('Employee Master'!B40="","",'⑥ Annual Performance'!L40)</f>
        <v>3.5</v>
      </c>
      <c r="O40" s="104">
        <f>IF('Employee Master'!B40="","",MIN(N40*2,10))</f>
        <v>7</v>
      </c>
      <c r="P40" s="104">
        <f>IF('Employee Master'!B40="","",IF(F40&gt;=36,5,IF(F40&gt;=24,4,IF(F40&gt;=12,3,IF(F40&gt;=6,2,1)))))</f>
        <v>3</v>
      </c>
      <c r="Q40" s="104">
        <f>IF('Employee Master'!B40="","",IF(D40="Sr. Controller",10,IF(D40="Coo",10,IF(D40="Controller",9,IF(D40="Asst. Controller",8,IF(D40="Sr. Manager",8,IF(D40="Manager",7,IF(D40="Asst. Manager",6,IF(D40="Team Lead",7,IF(D40="Asst. Team Lead",5,IF(D40="Sr. Associate",4,IF(D40="Associate",3,IF(D40="Full Stack Developer",5,IF(D40="Project Manager (S/W)",6,IF(D40="Marketing",4,4)))))))))))))))</f>
        <v>3</v>
      </c>
      <c r="R40" s="107">
        <f>IF('Employee Master'!B40="","",H40+J40+L40+O40+P40+Q40)</f>
        <v>20</v>
      </c>
      <c r="S40" s="108">
        <f>IF('Employee Master'!B40="","",3)</f>
        <v>3</v>
      </c>
      <c r="T40" s="104">
        <f>IF('Employee Master'!B40="","",MIN(S40*2,10))</f>
        <v>6</v>
      </c>
      <c r="U40" s="108">
        <f>IF('Employee Master'!B40="","",3)</f>
        <v>3</v>
      </c>
      <c r="V40" s="104">
        <f>IF('Employee Master'!B40="","",MIN(U40*2,10))</f>
        <v>6</v>
      </c>
      <c r="W40" s="108">
        <f>IF('Employee Master'!B40="","",3)</f>
        <v>3</v>
      </c>
      <c r="X40" s="104">
        <f>IF('Employee Master'!B40="","",MIN(W40*2,10))</f>
        <v>6</v>
      </c>
      <c r="Y40" s="108">
        <f>IF('Employee Master'!B40="","",3)</f>
        <v>3</v>
      </c>
      <c r="Z40" s="104">
        <f>IF('Employee Master'!B40="","",MIN(Y40*2,10))</f>
        <v>6</v>
      </c>
      <c r="AA40" s="109">
        <f>IF('Employee Master'!B40="","",T40+V40+X40+Z40)</f>
        <v>24</v>
      </c>
      <c r="AB40" s="110">
        <f>IF('Employee Master'!B40="","",R40+AA40)</f>
        <v>44</v>
      </c>
      <c r="AC40" s="27" t="str">
        <f>IF('Employee Master'!B40="","",IF(AB40&gt;=85,"Exceptional",IF(AB40&gt;=70,"High Performer",IF(AB40&gt;=50,"Meets Expectations",IF(AB40&gt;=30,"Below Expectations","Underperformer")))))</f>
        <v>Below Expectations</v>
      </c>
      <c r="AD40" s="51">
        <f>IF('Employee Master'!B40="","",'Employee Master'!M40)</f>
        <v>40000</v>
      </c>
      <c r="AE40" s="52">
        <f>IF('Employee Master'!B40="","",IF(AB40&gt;=85,Settings!B31,IF(AB40&gt;=70,Settings!B32,IF(AB40&gt;=50,Settings!B33,IF(AB40&gt;=30,Settings!B34,Settings!B35)))))</f>
        <v>0.03</v>
      </c>
      <c r="AF40" s="51">
        <f>IF('Employee Master'!B40="","",AD40*(1+AE40))</f>
        <v>41200</v>
      </c>
      <c r="AG40" s="51">
        <f>IF('Employee Master'!B40="","",AF40-AD40)</f>
        <v>1200</v>
      </c>
      <c r="AH40" s="51">
        <f>IF('Employee Master'!B40="","",AG40*12)</f>
        <v>14400</v>
      </c>
    </row>
    <row r="41" spans="1:34" ht="23.25" customHeight="1" x14ac:dyDescent="0.2">
      <c r="A41" s="27">
        <f>IF('Employee Master'!B41="","",ROW()-3)</f>
        <v>38</v>
      </c>
      <c r="B41" s="27" t="str">
        <f>IF('Employee Master'!B41="","",'Employee Master'!C41)</f>
        <v>Ujjwal.J</v>
      </c>
      <c r="C41" s="27" t="str">
        <f>IF('Employee Master'!B41="","",'Employee Master'!D41)</f>
        <v>In-house</v>
      </c>
      <c r="D41" s="27" t="str">
        <f>IF('Employee Master'!B41="","",'Employee Master'!E41)</f>
        <v>Associate</v>
      </c>
      <c r="E41" s="27" t="str">
        <f>IF('Employee Master'!B41="","",'Employee Master'!G41)</f>
        <v>Nikita Shah</v>
      </c>
      <c r="F41" s="51">
        <f>IF('Employee Master'!B41="","",'⑥ Annual Performance'!R41)</f>
        <v>12</v>
      </c>
      <c r="G41" s="103">
        <f>IF('Employee Master'!B41="","",'⑥ Annual Performance'!J41)</f>
        <v>8.5520833333333324E-2</v>
      </c>
      <c r="H41" s="104">
        <f>IF('Employee Master'!B41="","",IF(G41&gt;=0.85,15,IF(G41&gt;=0.7,12,IF(G41&gt;=0.55,9,IF(G41&gt;=0.4,6,3)))))</f>
        <v>3</v>
      </c>
      <c r="I41" s="103">
        <f>IF('Employee Master'!B41="","",'⑥ Annual Performance'!Q41)</f>
        <v>0</v>
      </c>
      <c r="J41" s="104">
        <f>IF('Employee Master'!B41="","",IF(I41&gt;=0.98,10,IF(I41&gt;=0.95,8,IF(I41&gt;=0.9,6,IF(I41&gt;=0.85,4,2)))))</f>
        <v>2</v>
      </c>
      <c r="K41" s="105">
        <f>IF('Employee Master'!B41="","",'⑥ Annual Performance'!N41)</f>
        <v>0</v>
      </c>
      <c r="L41" s="104">
        <f>IF('Employee Master'!B41="","",IF(K41&gt;=1000,10,IF(K41&gt;=750,8,IF(K41&gt;=500,6,IF(K41&gt;=250,4,2)))))</f>
        <v>2</v>
      </c>
      <c r="M41" s="105">
        <f>IF('Employee Master'!B41="","",'⑥ Annual Performance'!K41)</f>
        <v>2</v>
      </c>
      <c r="N41" s="106">
        <f>IF('Employee Master'!B41="","",'⑥ Annual Performance'!L41)</f>
        <v>3.5</v>
      </c>
      <c r="O41" s="104">
        <f>IF('Employee Master'!B41="","",MIN(N41*2,10))</f>
        <v>7</v>
      </c>
      <c r="P41" s="104">
        <f>IF('Employee Master'!B41="","",IF(F41&gt;=36,5,IF(F41&gt;=24,4,IF(F41&gt;=12,3,IF(F41&gt;=6,2,1)))))</f>
        <v>3</v>
      </c>
      <c r="Q41" s="104">
        <f>IF('Employee Master'!B41="","",IF(D41="Sr. Controller",10,IF(D41="Coo",10,IF(D41="Controller",9,IF(D41="Asst. Controller",8,IF(D41="Sr. Manager",8,IF(D41="Manager",7,IF(D41="Asst. Manager",6,IF(D41="Team Lead",7,IF(D41="Asst. Team Lead",5,IF(D41="Sr. Associate",4,IF(D41="Associate",3,IF(D41="Full Stack Developer",5,IF(D41="Project Manager (S/W)",6,IF(D41="Marketing",4,4)))))))))))))))</f>
        <v>3</v>
      </c>
      <c r="R41" s="107">
        <f>IF('Employee Master'!B41="","",H41+J41+L41+O41+P41+Q41)</f>
        <v>20</v>
      </c>
      <c r="S41" s="108">
        <f>IF('Employee Master'!B41="","",3)</f>
        <v>3</v>
      </c>
      <c r="T41" s="104">
        <f>IF('Employee Master'!B41="","",MIN(S41*2,10))</f>
        <v>6</v>
      </c>
      <c r="U41" s="108">
        <f>IF('Employee Master'!B41="","",3)</f>
        <v>3</v>
      </c>
      <c r="V41" s="104">
        <f>IF('Employee Master'!B41="","",MIN(U41*2,10))</f>
        <v>6</v>
      </c>
      <c r="W41" s="108">
        <f>IF('Employee Master'!B41="","",3)</f>
        <v>3</v>
      </c>
      <c r="X41" s="104">
        <f>IF('Employee Master'!B41="","",MIN(W41*2,10))</f>
        <v>6</v>
      </c>
      <c r="Y41" s="108">
        <f>IF('Employee Master'!B41="","",3)</f>
        <v>3</v>
      </c>
      <c r="Z41" s="104">
        <f>IF('Employee Master'!B41="","",MIN(Y41*2,10))</f>
        <v>6</v>
      </c>
      <c r="AA41" s="109">
        <f>IF('Employee Master'!B41="","",T41+V41+X41+Z41)</f>
        <v>24</v>
      </c>
      <c r="AB41" s="110">
        <f>IF('Employee Master'!B41="","",R41+AA41)</f>
        <v>44</v>
      </c>
      <c r="AC41" s="27" t="str">
        <f>IF('Employee Master'!B41="","",IF(AB41&gt;=85,"Exceptional",IF(AB41&gt;=70,"High Performer",IF(AB41&gt;=50,"Meets Expectations",IF(AB41&gt;=30,"Below Expectations","Underperformer")))))</f>
        <v>Below Expectations</v>
      </c>
      <c r="AD41" s="51">
        <f>IF('Employee Master'!B41="","",'Employee Master'!M41)</f>
        <v>50000</v>
      </c>
      <c r="AE41" s="52">
        <f>IF('Employee Master'!B41="","",IF(AB41&gt;=85,Settings!B31,IF(AB41&gt;=70,Settings!B32,IF(AB41&gt;=50,Settings!B33,IF(AB41&gt;=30,Settings!B34,Settings!B35)))))</f>
        <v>0.03</v>
      </c>
      <c r="AF41" s="51">
        <f>IF('Employee Master'!B41="","",AD41*(1+AE41))</f>
        <v>51500</v>
      </c>
      <c r="AG41" s="51">
        <f>IF('Employee Master'!B41="","",AF41-AD41)</f>
        <v>1500</v>
      </c>
      <c r="AH41" s="51">
        <f>IF('Employee Master'!B41="","",AG41*12)</f>
        <v>18000</v>
      </c>
    </row>
    <row r="42" spans="1:34" ht="23.25" customHeight="1" x14ac:dyDescent="0.2">
      <c r="A42" s="27">
        <f>IF('Employee Master'!B42="","",ROW()-3)</f>
        <v>39</v>
      </c>
      <c r="B42" s="27" t="str">
        <f>IF('Employee Master'!B42="","",'Employee Master'!C42)</f>
        <v>Sukhmeen.K</v>
      </c>
      <c r="C42" s="27" t="str">
        <f>IF('Employee Master'!B42="","",'Employee Master'!D42)</f>
        <v>Retainer</v>
      </c>
      <c r="D42" s="27" t="str">
        <f>IF('Employee Master'!B42="","",'Employee Master'!E42)</f>
        <v>Manager</v>
      </c>
      <c r="E42" s="27" t="str">
        <f>IF('Employee Master'!B42="","",'Employee Master'!G42)</f>
        <v>Ayushi</v>
      </c>
      <c r="F42" s="51">
        <f>IF('Employee Master'!B42="","",'⑥ Annual Performance'!R42)</f>
        <v>12</v>
      </c>
      <c r="G42" s="103">
        <f>IF('Employee Master'!B42="","",'⑥ Annual Performance'!J42)</f>
        <v>6.8333333333333329E-2</v>
      </c>
      <c r="H42" s="104">
        <f>IF('Employee Master'!B42="","",IF(G42&gt;=0.85,15,IF(G42&gt;=0.7,12,IF(G42&gt;=0.55,9,IF(G42&gt;=0.4,6,3)))))</f>
        <v>3</v>
      </c>
      <c r="I42" s="103">
        <f>IF('Employee Master'!B42="","",'⑥ Annual Performance'!Q42)</f>
        <v>0</v>
      </c>
      <c r="J42" s="104">
        <f>IF('Employee Master'!B42="","",IF(I42&gt;=0.98,10,IF(I42&gt;=0.95,8,IF(I42&gt;=0.9,6,IF(I42&gt;=0.85,4,2)))))</f>
        <v>2</v>
      </c>
      <c r="K42" s="105">
        <f>IF('Employee Master'!B42="","",'⑥ Annual Performance'!N42)</f>
        <v>0</v>
      </c>
      <c r="L42" s="104">
        <f>IF('Employee Master'!B42="","",IF(K42&gt;=1000,10,IF(K42&gt;=750,8,IF(K42&gt;=500,6,IF(K42&gt;=250,4,2)))))</f>
        <v>2</v>
      </c>
      <c r="M42" s="105">
        <f>IF('Employee Master'!B42="","",'⑥ Annual Performance'!K42)</f>
        <v>5</v>
      </c>
      <c r="N42" s="106">
        <f>IF('Employee Master'!B42="","",'⑥ Annual Performance'!L42)</f>
        <v>3.5</v>
      </c>
      <c r="O42" s="104">
        <f>IF('Employee Master'!B42="","",MIN(N42*2,10))</f>
        <v>7</v>
      </c>
      <c r="P42" s="104">
        <f>IF('Employee Master'!B42="","",IF(F42&gt;=36,5,IF(F42&gt;=24,4,IF(F42&gt;=12,3,IF(F42&gt;=6,2,1)))))</f>
        <v>3</v>
      </c>
      <c r="Q42" s="104">
        <f>IF('Employee Master'!B42="","",IF(D42="Sr. Controller",10,IF(D42="Coo",10,IF(D42="Controller",9,IF(D42="Asst. Controller",8,IF(D42="Sr. Manager",8,IF(D42="Manager",7,IF(D42="Asst. Manager",6,IF(D42="Team Lead",7,IF(D42="Asst. Team Lead",5,IF(D42="Sr. Associate",4,IF(D42="Associate",3,IF(D42="Full Stack Developer",5,IF(D42="Project Manager (S/W)",6,IF(D42="Marketing",4,4)))))))))))))))</f>
        <v>7</v>
      </c>
      <c r="R42" s="107">
        <f>IF('Employee Master'!B42="","",H42+J42+L42+O42+P42+Q42)</f>
        <v>24</v>
      </c>
      <c r="S42" s="108">
        <f>IF('Employee Master'!B42="","",3)</f>
        <v>3</v>
      </c>
      <c r="T42" s="104">
        <f>IF('Employee Master'!B42="","",MIN(S42*2,10))</f>
        <v>6</v>
      </c>
      <c r="U42" s="108">
        <f>IF('Employee Master'!B42="","",3)</f>
        <v>3</v>
      </c>
      <c r="V42" s="104">
        <f>IF('Employee Master'!B42="","",MIN(U42*2,10))</f>
        <v>6</v>
      </c>
      <c r="W42" s="108">
        <f>IF('Employee Master'!B42="","",3)</f>
        <v>3</v>
      </c>
      <c r="X42" s="104">
        <f>IF('Employee Master'!B42="","",MIN(W42*2,10))</f>
        <v>6</v>
      </c>
      <c r="Y42" s="108">
        <f>IF('Employee Master'!B42="","",3)</f>
        <v>3</v>
      </c>
      <c r="Z42" s="104">
        <f>IF('Employee Master'!B42="","",MIN(Y42*2,10))</f>
        <v>6</v>
      </c>
      <c r="AA42" s="109">
        <f>IF('Employee Master'!B42="","",T42+V42+X42+Z42)</f>
        <v>24</v>
      </c>
      <c r="AB42" s="110">
        <f>IF('Employee Master'!B42="","",R42+AA42)</f>
        <v>48</v>
      </c>
      <c r="AC42" s="27" t="str">
        <f>IF('Employee Master'!B42="","",IF(AB42&gt;=85,"Exceptional",IF(AB42&gt;=70,"High Performer",IF(AB42&gt;=50,"Meets Expectations",IF(AB42&gt;=30,"Below Expectations","Underperformer")))))</f>
        <v>Below Expectations</v>
      </c>
      <c r="AD42" s="51">
        <f>IF('Employee Master'!B42="","",'Employee Master'!M42)</f>
        <v>102000</v>
      </c>
      <c r="AE42" s="52">
        <f>IF('Employee Master'!B42="","",IF(AB42&gt;=85,Settings!B31,IF(AB42&gt;=70,Settings!B32,IF(AB42&gt;=50,Settings!B33,IF(AB42&gt;=30,Settings!B34,Settings!B35)))))</f>
        <v>0.03</v>
      </c>
      <c r="AF42" s="51">
        <f>IF('Employee Master'!B42="","",AD42*(1+AE42))</f>
        <v>105060</v>
      </c>
      <c r="AG42" s="51">
        <f>IF('Employee Master'!B42="","",AF42-AD42)</f>
        <v>3060</v>
      </c>
      <c r="AH42" s="51">
        <f>IF('Employee Master'!B42="","",AG42*12)</f>
        <v>36720</v>
      </c>
    </row>
    <row r="43" spans="1:34" ht="23.25" customHeight="1" x14ac:dyDescent="0.2">
      <c r="A43" s="27">
        <f>IF('Employee Master'!B43="","",ROW()-3)</f>
        <v>40</v>
      </c>
      <c r="B43" s="27" t="str">
        <f>IF('Employee Master'!B43="","",'Employee Master'!C43)</f>
        <v>Tanisha.J</v>
      </c>
      <c r="C43" s="27" t="str">
        <f>IF('Employee Master'!B43="","",'Employee Master'!D43)</f>
        <v>In-house</v>
      </c>
      <c r="D43" s="27" t="str">
        <f>IF('Employee Master'!B43="","",'Employee Master'!E43)</f>
        <v>Associate</v>
      </c>
      <c r="E43" s="27" t="str">
        <f>IF('Employee Master'!B43="","",'Employee Master'!G43)</f>
        <v>Vinita Dagar</v>
      </c>
      <c r="F43" s="51">
        <f>IF('Employee Master'!B43="","",'⑥ Annual Performance'!R43)</f>
        <v>12</v>
      </c>
      <c r="G43" s="103">
        <f>IF('Employee Master'!B43="","",'⑥ Annual Performance'!J43)</f>
        <v>7.630208333333334E-2</v>
      </c>
      <c r="H43" s="104">
        <f>IF('Employee Master'!B43="","",IF(G43&gt;=0.85,15,IF(G43&gt;=0.7,12,IF(G43&gt;=0.55,9,IF(G43&gt;=0.4,6,3)))))</f>
        <v>3</v>
      </c>
      <c r="I43" s="103">
        <f>IF('Employee Master'!B43="","",'⑥ Annual Performance'!Q43)</f>
        <v>0</v>
      </c>
      <c r="J43" s="104">
        <f>IF('Employee Master'!B43="","",IF(I43&gt;=0.98,10,IF(I43&gt;=0.95,8,IF(I43&gt;=0.9,6,IF(I43&gt;=0.85,4,2)))))</f>
        <v>2</v>
      </c>
      <c r="K43" s="105">
        <f>IF('Employee Master'!B43="","",'⑥ Annual Performance'!N43)</f>
        <v>0</v>
      </c>
      <c r="L43" s="104">
        <f>IF('Employee Master'!B43="","",IF(K43&gt;=1000,10,IF(K43&gt;=750,8,IF(K43&gt;=500,6,IF(K43&gt;=250,4,2)))))</f>
        <v>2</v>
      </c>
      <c r="M43" s="105">
        <f>IF('Employee Master'!B43="","",'⑥ Annual Performance'!K43)</f>
        <v>9</v>
      </c>
      <c r="N43" s="106">
        <f>IF('Employee Master'!B43="","",'⑥ Annual Performance'!L43)</f>
        <v>3.5</v>
      </c>
      <c r="O43" s="104">
        <f>IF('Employee Master'!B43="","",MIN(N43*2,10))</f>
        <v>7</v>
      </c>
      <c r="P43" s="104">
        <f>IF('Employee Master'!B43="","",IF(F43&gt;=36,5,IF(F43&gt;=24,4,IF(F43&gt;=12,3,IF(F43&gt;=6,2,1)))))</f>
        <v>3</v>
      </c>
      <c r="Q43" s="104">
        <f>IF('Employee Master'!B43="","",IF(D43="Sr. Controller",10,IF(D43="Coo",10,IF(D43="Controller",9,IF(D43="Asst. Controller",8,IF(D43="Sr. Manager",8,IF(D43="Manager",7,IF(D43="Asst. Manager",6,IF(D43="Team Lead",7,IF(D43="Asst. Team Lead",5,IF(D43="Sr. Associate",4,IF(D43="Associate",3,IF(D43="Full Stack Developer",5,IF(D43="Project Manager (S/W)",6,IF(D43="Marketing",4,4)))))))))))))))</f>
        <v>3</v>
      </c>
      <c r="R43" s="107">
        <f>IF('Employee Master'!B43="","",H43+J43+L43+O43+P43+Q43)</f>
        <v>20</v>
      </c>
      <c r="S43" s="108">
        <f>IF('Employee Master'!B43="","",3)</f>
        <v>3</v>
      </c>
      <c r="T43" s="104">
        <f>IF('Employee Master'!B43="","",MIN(S43*2,10))</f>
        <v>6</v>
      </c>
      <c r="U43" s="108">
        <f>IF('Employee Master'!B43="","",3)</f>
        <v>3</v>
      </c>
      <c r="V43" s="104">
        <f>IF('Employee Master'!B43="","",MIN(U43*2,10))</f>
        <v>6</v>
      </c>
      <c r="W43" s="108">
        <f>IF('Employee Master'!B43="","",3)</f>
        <v>3</v>
      </c>
      <c r="X43" s="104">
        <f>IF('Employee Master'!B43="","",MIN(W43*2,10))</f>
        <v>6</v>
      </c>
      <c r="Y43" s="108">
        <f>IF('Employee Master'!B43="","",3)</f>
        <v>3</v>
      </c>
      <c r="Z43" s="104">
        <f>IF('Employee Master'!B43="","",MIN(Y43*2,10))</f>
        <v>6</v>
      </c>
      <c r="AA43" s="109">
        <f>IF('Employee Master'!B43="","",T43+V43+X43+Z43)</f>
        <v>24</v>
      </c>
      <c r="AB43" s="110">
        <f>IF('Employee Master'!B43="","",R43+AA43)</f>
        <v>44</v>
      </c>
      <c r="AC43" s="27" t="str">
        <f>IF('Employee Master'!B43="","",IF(AB43&gt;=85,"Exceptional",IF(AB43&gt;=70,"High Performer",IF(AB43&gt;=50,"Meets Expectations",IF(AB43&gt;=30,"Below Expectations","Underperformer")))))</f>
        <v>Below Expectations</v>
      </c>
      <c r="AD43" s="51">
        <f>IF('Employee Master'!B43="","",'Employee Master'!M43)</f>
        <v>43000</v>
      </c>
      <c r="AE43" s="52">
        <f>IF('Employee Master'!B43="","",IF(AB43&gt;=85,Settings!B31,IF(AB43&gt;=70,Settings!B32,IF(AB43&gt;=50,Settings!B33,IF(AB43&gt;=30,Settings!B34,Settings!B35)))))</f>
        <v>0.03</v>
      </c>
      <c r="AF43" s="51">
        <f>IF('Employee Master'!B43="","",AD43*(1+AE43))</f>
        <v>44290</v>
      </c>
      <c r="AG43" s="51">
        <f>IF('Employee Master'!B43="","",AF43-AD43)</f>
        <v>1290</v>
      </c>
      <c r="AH43" s="51">
        <f>IF('Employee Master'!B43="","",AG43*12)</f>
        <v>15480</v>
      </c>
    </row>
    <row r="44" spans="1:34" ht="23.25" customHeight="1" x14ac:dyDescent="0.2">
      <c r="A44" s="27">
        <f>IF('Employee Master'!B44="","",ROW()-3)</f>
        <v>41</v>
      </c>
      <c r="B44" s="27" t="str">
        <f>IF('Employee Master'!B44="","",'Employee Master'!C44)</f>
        <v>Disha.M</v>
      </c>
      <c r="C44" s="27" t="str">
        <f>IF('Employee Master'!B44="","",'Employee Master'!D44)</f>
        <v>In-house</v>
      </c>
      <c r="D44" s="27" t="str">
        <f>IF('Employee Master'!B44="","",'Employee Master'!E44)</f>
        <v>Associate</v>
      </c>
      <c r="E44" s="27" t="str">
        <f>IF('Employee Master'!B44="","",'Employee Master'!G44)</f>
        <v>Vinita Dagar</v>
      </c>
      <c r="F44" s="51">
        <f>IF('Employee Master'!B44="","",'⑥ Annual Performance'!R44)</f>
        <v>12</v>
      </c>
      <c r="G44" s="103">
        <f>IF('Employee Master'!B44="","",'⑥ Annual Performance'!J44)</f>
        <v>6.822916666666666E-2</v>
      </c>
      <c r="H44" s="104">
        <f>IF('Employee Master'!B44="","",IF(G44&gt;=0.85,15,IF(G44&gt;=0.7,12,IF(G44&gt;=0.55,9,IF(G44&gt;=0.4,6,3)))))</f>
        <v>3</v>
      </c>
      <c r="I44" s="103">
        <f>IF('Employee Master'!B44="","",'⑥ Annual Performance'!Q44)</f>
        <v>0</v>
      </c>
      <c r="J44" s="104">
        <f>IF('Employee Master'!B44="","",IF(I44&gt;=0.98,10,IF(I44&gt;=0.95,8,IF(I44&gt;=0.9,6,IF(I44&gt;=0.85,4,2)))))</f>
        <v>2</v>
      </c>
      <c r="K44" s="105">
        <f>IF('Employee Master'!B44="","",'⑥ Annual Performance'!N44)</f>
        <v>0</v>
      </c>
      <c r="L44" s="104">
        <f>IF('Employee Master'!B44="","",IF(K44&gt;=1000,10,IF(K44&gt;=750,8,IF(K44&gt;=500,6,IF(K44&gt;=250,4,2)))))</f>
        <v>2</v>
      </c>
      <c r="M44" s="105">
        <f>IF('Employee Master'!B44="","",'⑥ Annual Performance'!K44)</f>
        <v>1</v>
      </c>
      <c r="N44" s="106">
        <f>IF('Employee Master'!B44="","",'⑥ Annual Performance'!L44)</f>
        <v>3.5</v>
      </c>
      <c r="O44" s="104">
        <f>IF('Employee Master'!B44="","",MIN(N44*2,10))</f>
        <v>7</v>
      </c>
      <c r="P44" s="104">
        <f>IF('Employee Master'!B44="","",IF(F44&gt;=36,5,IF(F44&gt;=24,4,IF(F44&gt;=12,3,IF(F44&gt;=6,2,1)))))</f>
        <v>3</v>
      </c>
      <c r="Q44" s="104">
        <f>IF('Employee Master'!B44="","",IF(D44="Sr. Controller",10,IF(D44="Coo",10,IF(D44="Controller",9,IF(D44="Asst. Controller",8,IF(D44="Sr. Manager",8,IF(D44="Manager",7,IF(D44="Asst. Manager",6,IF(D44="Team Lead",7,IF(D44="Asst. Team Lead",5,IF(D44="Sr. Associate",4,IF(D44="Associate",3,IF(D44="Full Stack Developer",5,IF(D44="Project Manager (S/W)",6,IF(D44="Marketing",4,4)))))))))))))))</f>
        <v>3</v>
      </c>
      <c r="R44" s="107">
        <f>IF('Employee Master'!B44="","",H44+J44+L44+O44+P44+Q44)</f>
        <v>20</v>
      </c>
      <c r="S44" s="108">
        <f>IF('Employee Master'!B44="","",3)</f>
        <v>3</v>
      </c>
      <c r="T44" s="104">
        <f>IF('Employee Master'!B44="","",MIN(S44*2,10))</f>
        <v>6</v>
      </c>
      <c r="U44" s="108">
        <f>IF('Employee Master'!B44="","",3)</f>
        <v>3</v>
      </c>
      <c r="V44" s="104">
        <f>IF('Employee Master'!B44="","",MIN(U44*2,10))</f>
        <v>6</v>
      </c>
      <c r="W44" s="108">
        <f>IF('Employee Master'!B44="","",3)</f>
        <v>3</v>
      </c>
      <c r="X44" s="104">
        <f>IF('Employee Master'!B44="","",MIN(W44*2,10))</f>
        <v>6</v>
      </c>
      <c r="Y44" s="108">
        <f>IF('Employee Master'!B44="","",3)</f>
        <v>3</v>
      </c>
      <c r="Z44" s="104">
        <f>IF('Employee Master'!B44="","",MIN(Y44*2,10))</f>
        <v>6</v>
      </c>
      <c r="AA44" s="109">
        <f>IF('Employee Master'!B44="","",T44+V44+X44+Z44)</f>
        <v>24</v>
      </c>
      <c r="AB44" s="110">
        <f>IF('Employee Master'!B44="","",R44+AA44)</f>
        <v>44</v>
      </c>
      <c r="AC44" s="27" t="str">
        <f>IF('Employee Master'!B44="","",IF(AB44&gt;=85,"Exceptional",IF(AB44&gt;=70,"High Performer",IF(AB44&gt;=50,"Meets Expectations",IF(AB44&gt;=30,"Below Expectations","Underperformer")))))</f>
        <v>Below Expectations</v>
      </c>
      <c r="AD44" s="51">
        <f>IF('Employee Master'!B44="","",'Employee Master'!M44)</f>
        <v>50000</v>
      </c>
      <c r="AE44" s="52">
        <f>IF('Employee Master'!B44="","",IF(AB44&gt;=85,Settings!B31,IF(AB44&gt;=70,Settings!B32,IF(AB44&gt;=50,Settings!B33,IF(AB44&gt;=30,Settings!B34,Settings!B35)))))</f>
        <v>0.03</v>
      </c>
      <c r="AF44" s="51">
        <f>IF('Employee Master'!B44="","",AD44*(1+AE44))</f>
        <v>51500</v>
      </c>
      <c r="AG44" s="51">
        <f>IF('Employee Master'!B44="","",AF44-AD44)</f>
        <v>1500</v>
      </c>
      <c r="AH44" s="51">
        <f>IF('Employee Master'!B44="","",AG44*12)</f>
        <v>18000</v>
      </c>
    </row>
    <row r="45" spans="1:34" ht="23.25" customHeight="1" x14ac:dyDescent="0.2">
      <c r="A45" s="27">
        <f>IF('Employee Master'!B45="","",ROW()-3)</f>
        <v>42</v>
      </c>
      <c r="B45" s="27" t="str">
        <f>IF('Employee Master'!B45="","",'Employee Master'!C45)</f>
        <v>Smriti.S</v>
      </c>
      <c r="C45" s="27" t="str">
        <f>IF('Employee Master'!B45="","",'Employee Master'!D45)</f>
        <v>In-house</v>
      </c>
      <c r="D45" s="27" t="str">
        <f>IF('Employee Master'!B45="","",'Employee Master'!E45)</f>
        <v>Controller</v>
      </c>
      <c r="E45" s="27" t="str">
        <f>IF('Employee Master'!B45="","",'Employee Master'!G45)</f>
        <v>--</v>
      </c>
      <c r="F45" s="51">
        <f>IF('Employee Master'!B45="","",'⑥ Annual Performance'!R45)</f>
        <v>12</v>
      </c>
      <c r="G45" s="103">
        <f>IF('Employee Master'!B45="","",'⑥ Annual Performance'!J45)</f>
        <v>4.6874999999999998E-3</v>
      </c>
      <c r="H45" s="104">
        <f>IF('Employee Master'!B45="","",IF(G45&gt;=0.85,15,IF(G45&gt;=0.7,12,IF(G45&gt;=0.55,9,IF(G45&gt;=0.4,6,3)))))</f>
        <v>3</v>
      </c>
      <c r="I45" s="103">
        <f>IF('Employee Master'!B45="","",'⑥ Annual Performance'!Q45)</f>
        <v>0</v>
      </c>
      <c r="J45" s="104">
        <f>IF('Employee Master'!B45="","",IF(I45&gt;=0.98,10,IF(I45&gt;=0.95,8,IF(I45&gt;=0.9,6,IF(I45&gt;=0.85,4,2)))))</f>
        <v>2</v>
      </c>
      <c r="K45" s="105">
        <f>IF('Employee Master'!B45="","",'⑥ Annual Performance'!N45)</f>
        <v>0</v>
      </c>
      <c r="L45" s="104">
        <f>IF('Employee Master'!B45="","",IF(K45&gt;=1000,10,IF(K45&gt;=750,8,IF(K45&gt;=500,6,IF(K45&gt;=250,4,2)))))</f>
        <v>2</v>
      </c>
      <c r="M45" s="105">
        <f>IF('Employee Master'!B45="","",'⑥ Annual Performance'!K45)</f>
        <v>1</v>
      </c>
      <c r="N45" s="106">
        <f>IF('Employee Master'!B45="","",'⑥ Annual Performance'!L45)</f>
        <v>3.5</v>
      </c>
      <c r="O45" s="104">
        <f>IF('Employee Master'!B45="","",MIN(N45*2,10))</f>
        <v>7</v>
      </c>
      <c r="P45" s="104">
        <f>IF('Employee Master'!B45="","",IF(F45&gt;=36,5,IF(F45&gt;=24,4,IF(F45&gt;=12,3,IF(F45&gt;=6,2,1)))))</f>
        <v>3</v>
      </c>
      <c r="Q45" s="104">
        <f>IF('Employee Master'!B45="","",IF(D45="Sr. Controller",10,IF(D45="Coo",10,IF(D45="Controller",9,IF(D45="Asst. Controller",8,IF(D45="Sr. Manager",8,IF(D45="Manager",7,IF(D45="Asst. Manager",6,IF(D45="Team Lead",7,IF(D45="Asst. Team Lead",5,IF(D45="Sr. Associate",4,IF(D45="Associate",3,IF(D45="Full Stack Developer",5,IF(D45="Project Manager (S/W)",6,IF(D45="Marketing",4,4)))))))))))))))</f>
        <v>9</v>
      </c>
      <c r="R45" s="107">
        <f>IF('Employee Master'!B45="","",H45+J45+L45+O45+P45+Q45)</f>
        <v>26</v>
      </c>
      <c r="S45" s="108">
        <f>IF('Employee Master'!B45="","",3)</f>
        <v>3</v>
      </c>
      <c r="T45" s="104">
        <f>IF('Employee Master'!B45="","",MIN(S45*2,10))</f>
        <v>6</v>
      </c>
      <c r="U45" s="108">
        <f>IF('Employee Master'!B45="","",3)</f>
        <v>3</v>
      </c>
      <c r="V45" s="104">
        <f>IF('Employee Master'!B45="","",MIN(U45*2,10))</f>
        <v>6</v>
      </c>
      <c r="W45" s="108">
        <f>IF('Employee Master'!B45="","",3)</f>
        <v>3</v>
      </c>
      <c r="X45" s="104">
        <f>IF('Employee Master'!B45="","",MIN(W45*2,10))</f>
        <v>6</v>
      </c>
      <c r="Y45" s="108">
        <f>IF('Employee Master'!B45="","",3)</f>
        <v>3</v>
      </c>
      <c r="Z45" s="104">
        <f>IF('Employee Master'!B45="","",MIN(Y45*2,10))</f>
        <v>6</v>
      </c>
      <c r="AA45" s="109">
        <f>IF('Employee Master'!B45="","",T45+V45+X45+Z45)</f>
        <v>24</v>
      </c>
      <c r="AB45" s="110">
        <f>IF('Employee Master'!B45="","",R45+AA45)</f>
        <v>50</v>
      </c>
      <c r="AC45" s="27" t="str">
        <f>IF('Employee Master'!B45="","",IF(AB45&gt;=85,"Exceptional",IF(AB45&gt;=70,"High Performer",IF(AB45&gt;=50,"Meets Expectations",IF(AB45&gt;=30,"Below Expectations","Underperformer")))))</f>
        <v>Meets Expectations</v>
      </c>
      <c r="AD45" s="51">
        <f>IF('Employee Master'!B45="","",'Employee Master'!M45)</f>
        <v>231667</v>
      </c>
      <c r="AE45" s="52">
        <f>IF('Employee Master'!B45="","",IF(AB45&gt;=85,Settings!B31,IF(AB45&gt;=70,Settings!B32,IF(AB45&gt;=50,Settings!B33,IF(AB45&gt;=30,Settings!B34,Settings!B35)))))</f>
        <v>7.4999999999999997E-2</v>
      </c>
      <c r="AF45" s="51">
        <f>IF('Employee Master'!B45="","",AD45*(1+AE45))</f>
        <v>249042.02499999999</v>
      </c>
      <c r="AG45" s="51">
        <f>IF('Employee Master'!B45="","",AF45-AD45)</f>
        <v>17375.024999999994</v>
      </c>
      <c r="AH45" s="51">
        <f>IF('Employee Master'!B45="","",AG45*12)</f>
        <v>208500.29999999993</v>
      </c>
    </row>
    <row r="46" spans="1:34" ht="23.25" customHeight="1" x14ac:dyDescent="0.2">
      <c r="A46" s="27">
        <f>IF('Employee Master'!B46="","",ROW()-3)</f>
        <v>43</v>
      </c>
      <c r="B46" s="27" t="str">
        <f>IF('Employee Master'!B46="","",'Employee Master'!C46)</f>
        <v>Muhammad.S</v>
      </c>
      <c r="C46" s="27" t="str">
        <f>IF('Employee Master'!B46="","",'Employee Master'!D46)</f>
        <v>Remote</v>
      </c>
      <c r="D46" s="27" t="str">
        <f>IF('Employee Master'!B46="","",'Employee Master'!E46)</f>
        <v>Associate</v>
      </c>
      <c r="E46" s="27" t="str">
        <f>IF('Employee Master'!B46="","",'Employee Master'!G46)</f>
        <v>Ayushi</v>
      </c>
      <c r="F46" s="51">
        <f>IF('Employee Master'!B46="","",'⑥ Annual Performance'!R46)</f>
        <v>12</v>
      </c>
      <c r="G46" s="103">
        <f>IF('Employee Master'!B46="","",'⑥ Annual Performance'!J46)</f>
        <v>4.5364583333333333E-2</v>
      </c>
      <c r="H46" s="104">
        <f>IF('Employee Master'!B46="","",IF(G46&gt;=0.85,15,IF(G46&gt;=0.7,12,IF(G46&gt;=0.55,9,IF(G46&gt;=0.4,6,3)))))</f>
        <v>3</v>
      </c>
      <c r="I46" s="103">
        <f>IF('Employee Master'!B46="","",'⑥ Annual Performance'!Q46)</f>
        <v>0</v>
      </c>
      <c r="J46" s="104">
        <f>IF('Employee Master'!B46="","",IF(I46&gt;=0.98,10,IF(I46&gt;=0.95,8,IF(I46&gt;=0.9,6,IF(I46&gt;=0.85,4,2)))))</f>
        <v>2</v>
      </c>
      <c r="K46" s="105">
        <f>IF('Employee Master'!B46="","",'⑥ Annual Performance'!N46)</f>
        <v>0</v>
      </c>
      <c r="L46" s="104">
        <f>IF('Employee Master'!B46="","",IF(K46&gt;=1000,10,IF(K46&gt;=750,8,IF(K46&gt;=500,6,IF(K46&gt;=250,4,2)))))</f>
        <v>2</v>
      </c>
      <c r="M46" s="105">
        <f>IF('Employee Master'!B46="","",'⑥ Annual Performance'!K46)</f>
        <v>5</v>
      </c>
      <c r="N46" s="106">
        <f>IF('Employee Master'!B46="","",'⑥ Annual Performance'!L46)</f>
        <v>3.5</v>
      </c>
      <c r="O46" s="104">
        <f>IF('Employee Master'!B46="","",MIN(N46*2,10))</f>
        <v>7</v>
      </c>
      <c r="P46" s="104">
        <f>IF('Employee Master'!B46="","",IF(F46&gt;=36,5,IF(F46&gt;=24,4,IF(F46&gt;=12,3,IF(F46&gt;=6,2,1)))))</f>
        <v>3</v>
      </c>
      <c r="Q46" s="104">
        <f>IF('Employee Master'!B46="","",IF(D46="Sr. Controller",10,IF(D46="Coo",10,IF(D46="Controller",9,IF(D46="Asst. Controller",8,IF(D46="Sr. Manager",8,IF(D46="Manager",7,IF(D46="Asst. Manager",6,IF(D46="Team Lead",7,IF(D46="Asst. Team Lead",5,IF(D46="Sr. Associate",4,IF(D46="Associate",3,IF(D46="Full Stack Developer",5,IF(D46="Project Manager (S/W)",6,IF(D46="Marketing",4,4)))))))))))))))</f>
        <v>3</v>
      </c>
      <c r="R46" s="107">
        <f>IF('Employee Master'!B46="","",H46+J46+L46+O46+P46+Q46)</f>
        <v>20</v>
      </c>
      <c r="S46" s="108">
        <f>IF('Employee Master'!B46="","",3)</f>
        <v>3</v>
      </c>
      <c r="T46" s="104">
        <f>IF('Employee Master'!B46="","",MIN(S46*2,10))</f>
        <v>6</v>
      </c>
      <c r="U46" s="108">
        <f>IF('Employee Master'!B46="","",3)</f>
        <v>3</v>
      </c>
      <c r="V46" s="104">
        <f>IF('Employee Master'!B46="","",MIN(U46*2,10))</f>
        <v>6</v>
      </c>
      <c r="W46" s="108">
        <f>IF('Employee Master'!B46="","",3)</f>
        <v>3</v>
      </c>
      <c r="X46" s="104">
        <f>IF('Employee Master'!B46="","",MIN(W46*2,10))</f>
        <v>6</v>
      </c>
      <c r="Y46" s="108">
        <f>IF('Employee Master'!B46="","",3)</f>
        <v>3</v>
      </c>
      <c r="Z46" s="104">
        <f>IF('Employee Master'!B46="","",MIN(Y46*2,10))</f>
        <v>6</v>
      </c>
      <c r="AA46" s="109">
        <f>IF('Employee Master'!B46="","",T46+V46+X46+Z46)</f>
        <v>24</v>
      </c>
      <c r="AB46" s="110">
        <f>IF('Employee Master'!B46="","",R46+AA46)</f>
        <v>44</v>
      </c>
      <c r="AC46" s="27" t="str">
        <f>IF('Employee Master'!B46="","",IF(AB46&gt;=85,"Exceptional",IF(AB46&gt;=70,"High Performer",IF(AB46&gt;=50,"Meets Expectations",IF(AB46&gt;=30,"Below Expectations","Underperformer")))))</f>
        <v>Below Expectations</v>
      </c>
      <c r="AD46" s="51">
        <f>IF('Employee Master'!B46="","",'Employee Master'!M46)</f>
        <v>34600</v>
      </c>
      <c r="AE46" s="52">
        <f>IF('Employee Master'!B46="","",IF(AB46&gt;=85,Settings!B31,IF(AB46&gt;=70,Settings!B32,IF(AB46&gt;=50,Settings!B33,IF(AB46&gt;=30,Settings!B34,Settings!B35)))))</f>
        <v>0.03</v>
      </c>
      <c r="AF46" s="51">
        <f>IF('Employee Master'!B46="","",AD46*(1+AE46))</f>
        <v>35638</v>
      </c>
      <c r="AG46" s="51">
        <f>IF('Employee Master'!B46="","",AF46-AD46)</f>
        <v>1038</v>
      </c>
      <c r="AH46" s="51">
        <f>IF('Employee Master'!B46="","",AG46*12)</f>
        <v>12456</v>
      </c>
    </row>
    <row r="47" spans="1:34" ht="23.25" customHeight="1" x14ac:dyDescent="0.2">
      <c r="A47" s="27">
        <f>IF('Employee Master'!B47="","",ROW()-3)</f>
        <v>44</v>
      </c>
      <c r="B47" s="27" t="str">
        <f>IF('Employee Master'!B47="","",'Employee Master'!C47)</f>
        <v>Farheen.K</v>
      </c>
      <c r="C47" s="27" t="str">
        <f>IF('Employee Master'!B47="","",'Employee Master'!D47)</f>
        <v>Remote</v>
      </c>
      <c r="D47" s="27" t="str">
        <f>IF('Employee Master'!B47="","",'Employee Master'!E47)</f>
        <v>Asst. Team Lead</v>
      </c>
      <c r="E47" s="27" t="str">
        <f>IF('Employee Master'!B47="","",'Employee Master'!G47)</f>
        <v>Sukhmeen.K</v>
      </c>
      <c r="F47" s="51">
        <f>IF('Employee Master'!B47="","",'⑥ Annual Performance'!R47)</f>
        <v>12</v>
      </c>
      <c r="G47" s="103">
        <f>IF('Employee Master'!B47="","",'⑥ Annual Performance'!J47)</f>
        <v>9.0104166666666666E-2</v>
      </c>
      <c r="H47" s="104">
        <f>IF('Employee Master'!B47="","",IF(G47&gt;=0.85,15,IF(G47&gt;=0.7,12,IF(G47&gt;=0.55,9,IF(G47&gt;=0.4,6,3)))))</f>
        <v>3</v>
      </c>
      <c r="I47" s="103">
        <f>IF('Employee Master'!B47="","",'⑥ Annual Performance'!Q47)</f>
        <v>0</v>
      </c>
      <c r="J47" s="104">
        <f>IF('Employee Master'!B47="","",IF(I47&gt;=0.98,10,IF(I47&gt;=0.95,8,IF(I47&gt;=0.9,6,IF(I47&gt;=0.85,4,2)))))</f>
        <v>2</v>
      </c>
      <c r="K47" s="105">
        <f>IF('Employee Master'!B47="","",'⑥ Annual Performance'!N47)</f>
        <v>0</v>
      </c>
      <c r="L47" s="104">
        <f>IF('Employee Master'!B47="","",IF(K47&gt;=1000,10,IF(K47&gt;=750,8,IF(K47&gt;=500,6,IF(K47&gt;=250,4,2)))))</f>
        <v>2</v>
      </c>
      <c r="M47" s="105">
        <f>IF('Employee Master'!B47="","",'⑥ Annual Performance'!K47)</f>
        <v>7</v>
      </c>
      <c r="N47" s="106">
        <f>IF('Employee Master'!B47="","",'⑥ Annual Performance'!L47)</f>
        <v>3.5</v>
      </c>
      <c r="O47" s="104">
        <f>IF('Employee Master'!B47="","",MIN(N47*2,10))</f>
        <v>7</v>
      </c>
      <c r="P47" s="104">
        <f>IF('Employee Master'!B47="","",IF(F47&gt;=36,5,IF(F47&gt;=24,4,IF(F47&gt;=12,3,IF(F47&gt;=6,2,1)))))</f>
        <v>3</v>
      </c>
      <c r="Q47" s="104">
        <f>IF('Employee Master'!B47="","",IF(D47="Sr. Controller",10,IF(D47="Coo",10,IF(D47="Controller",9,IF(D47="Asst. Controller",8,IF(D47="Sr. Manager",8,IF(D47="Manager",7,IF(D47="Asst. Manager",6,IF(D47="Team Lead",7,IF(D47="Asst. Team Lead",5,IF(D47="Sr. Associate",4,IF(D47="Associate",3,IF(D47="Full Stack Developer",5,IF(D47="Project Manager (S/W)",6,IF(D47="Marketing",4,4)))))))))))))))</f>
        <v>5</v>
      </c>
      <c r="R47" s="107">
        <f>IF('Employee Master'!B47="","",H47+J47+L47+O47+P47+Q47)</f>
        <v>22</v>
      </c>
      <c r="S47" s="108">
        <f>IF('Employee Master'!B47="","",3)</f>
        <v>3</v>
      </c>
      <c r="T47" s="104">
        <f>IF('Employee Master'!B47="","",MIN(S47*2,10))</f>
        <v>6</v>
      </c>
      <c r="U47" s="108">
        <f>IF('Employee Master'!B47="","",3)</f>
        <v>3</v>
      </c>
      <c r="V47" s="104">
        <f>IF('Employee Master'!B47="","",MIN(U47*2,10))</f>
        <v>6</v>
      </c>
      <c r="W47" s="108">
        <f>IF('Employee Master'!B47="","",3)</f>
        <v>3</v>
      </c>
      <c r="X47" s="104">
        <f>IF('Employee Master'!B47="","",MIN(W47*2,10))</f>
        <v>6</v>
      </c>
      <c r="Y47" s="108">
        <f>IF('Employee Master'!B47="","",3)</f>
        <v>3</v>
      </c>
      <c r="Z47" s="104">
        <f>IF('Employee Master'!B47="","",MIN(Y47*2,10))</f>
        <v>6</v>
      </c>
      <c r="AA47" s="109">
        <f>IF('Employee Master'!B47="","",T47+V47+X47+Z47)</f>
        <v>24</v>
      </c>
      <c r="AB47" s="110">
        <f>IF('Employee Master'!B47="","",R47+AA47)</f>
        <v>46</v>
      </c>
      <c r="AC47" s="27" t="str">
        <f>IF('Employee Master'!B47="","",IF(AB47&gt;=85,"Exceptional",IF(AB47&gt;=70,"High Performer",IF(AB47&gt;=50,"Meets Expectations",IF(AB47&gt;=30,"Below Expectations","Underperformer")))))</f>
        <v>Below Expectations</v>
      </c>
      <c r="AD47" s="51">
        <f>IF('Employee Master'!B47="","",'Employee Master'!M47)</f>
        <v>47805</v>
      </c>
      <c r="AE47" s="52">
        <f>IF('Employee Master'!B47="","",IF(AB47&gt;=85,Settings!B31,IF(AB47&gt;=70,Settings!B32,IF(AB47&gt;=50,Settings!B33,IF(AB47&gt;=30,Settings!B34,Settings!B35)))))</f>
        <v>0.03</v>
      </c>
      <c r="AF47" s="51">
        <f>IF('Employee Master'!B47="","",AD47*(1+AE47))</f>
        <v>49239.15</v>
      </c>
      <c r="AG47" s="51">
        <f>IF('Employee Master'!B47="","",AF47-AD47)</f>
        <v>1434.1500000000015</v>
      </c>
      <c r="AH47" s="51">
        <f>IF('Employee Master'!B47="","",AG47*12)</f>
        <v>17209.800000000017</v>
      </c>
    </row>
    <row r="48" spans="1:34" ht="23.25" customHeight="1" x14ac:dyDescent="0.2">
      <c r="A48" s="27">
        <f>IF('Employee Master'!B48="","",ROW()-3)</f>
        <v>45</v>
      </c>
      <c r="B48" s="27" t="str">
        <f>IF('Employee Master'!B48="","",'Employee Master'!C48)</f>
        <v>Vaibhav.A</v>
      </c>
      <c r="C48" s="27" t="str">
        <f>IF('Employee Master'!B48="","",'Employee Master'!D48)</f>
        <v>In-house</v>
      </c>
      <c r="D48" s="27" t="str">
        <f>IF('Employee Master'!B48="","",'Employee Master'!E48)</f>
        <v>Manager</v>
      </c>
      <c r="E48" s="27" t="str">
        <f>IF('Employee Master'!B48="","",'Employee Master'!G48)</f>
        <v>Sachi Mazumdar</v>
      </c>
      <c r="F48" s="51">
        <f>IF('Employee Master'!B48="","",'⑥ Annual Performance'!R48)</f>
        <v>12</v>
      </c>
      <c r="G48" s="103">
        <f>IF('Employee Master'!B48="","",'⑥ Annual Performance'!J48)</f>
        <v>8.2968750000000008E-2</v>
      </c>
      <c r="H48" s="104">
        <f>IF('Employee Master'!B48="","",IF(G48&gt;=0.85,15,IF(G48&gt;=0.7,12,IF(G48&gt;=0.55,9,IF(G48&gt;=0.4,6,3)))))</f>
        <v>3</v>
      </c>
      <c r="I48" s="103">
        <f>IF('Employee Master'!B48="","",'⑥ Annual Performance'!Q48)</f>
        <v>0</v>
      </c>
      <c r="J48" s="104">
        <f>IF('Employee Master'!B48="","",IF(I48&gt;=0.98,10,IF(I48&gt;=0.95,8,IF(I48&gt;=0.9,6,IF(I48&gt;=0.85,4,2)))))</f>
        <v>2</v>
      </c>
      <c r="K48" s="105">
        <f>IF('Employee Master'!B48="","",'⑥ Annual Performance'!N48)</f>
        <v>0</v>
      </c>
      <c r="L48" s="104">
        <f>IF('Employee Master'!B48="","",IF(K48&gt;=1000,10,IF(K48&gt;=750,8,IF(K48&gt;=500,6,IF(K48&gt;=250,4,2)))))</f>
        <v>2</v>
      </c>
      <c r="M48" s="105">
        <f>IF('Employee Master'!B48="","",'⑥ Annual Performance'!K48)</f>
        <v>7</v>
      </c>
      <c r="N48" s="106">
        <f>IF('Employee Master'!B48="","",'⑥ Annual Performance'!L48)</f>
        <v>3.5</v>
      </c>
      <c r="O48" s="104">
        <f>IF('Employee Master'!B48="","",MIN(N48*2,10))</f>
        <v>7</v>
      </c>
      <c r="P48" s="104">
        <f>IF('Employee Master'!B48="","",IF(F48&gt;=36,5,IF(F48&gt;=24,4,IF(F48&gt;=12,3,IF(F48&gt;=6,2,1)))))</f>
        <v>3</v>
      </c>
      <c r="Q48" s="104">
        <f>IF('Employee Master'!B48="","",IF(D48="Sr. Controller",10,IF(D48="Coo",10,IF(D48="Controller",9,IF(D48="Asst. Controller",8,IF(D48="Sr. Manager",8,IF(D48="Manager",7,IF(D48="Asst. Manager",6,IF(D48="Team Lead",7,IF(D48="Asst. Team Lead",5,IF(D48="Sr. Associate",4,IF(D48="Associate",3,IF(D48="Full Stack Developer",5,IF(D48="Project Manager (S/W)",6,IF(D48="Marketing",4,4)))))))))))))))</f>
        <v>7</v>
      </c>
      <c r="R48" s="107">
        <f>IF('Employee Master'!B48="","",H48+J48+L48+O48+P48+Q48)</f>
        <v>24</v>
      </c>
      <c r="S48" s="108">
        <f>IF('Employee Master'!B48="","",3)</f>
        <v>3</v>
      </c>
      <c r="T48" s="104">
        <f>IF('Employee Master'!B48="","",MIN(S48*2,10))</f>
        <v>6</v>
      </c>
      <c r="U48" s="108">
        <f>IF('Employee Master'!B48="","",3)</f>
        <v>3</v>
      </c>
      <c r="V48" s="104">
        <f>IF('Employee Master'!B48="","",MIN(U48*2,10))</f>
        <v>6</v>
      </c>
      <c r="W48" s="108">
        <f>IF('Employee Master'!B48="","",3)</f>
        <v>3</v>
      </c>
      <c r="X48" s="104">
        <f>IF('Employee Master'!B48="","",MIN(W48*2,10))</f>
        <v>6</v>
      </c>
      <c r="Y48" s="108">
        <f>IF('Employee Master'!B48="","",3)</f>
        <v>3</v>
      </c>
      <c r="Z48" s="104">
        <f>IF('Employee Master'!B48="","",MIN(Y48*2,10))</f>
        <v>6</v>
      </c>
      <c r="AA48" s="109">
        <f>IF('Employee Master'!B48="","",T48+V48+X48+Z48)</f>
        <v>24</v>
      </c>
      <c r="AB48" s="110">
        <f>IF('Employee Master'!B48="","",R48+AA48)</f>
        <v>48</v>
      </c>
      <c r="AC48" s="27" t="str">
        <f>IF('Employee Master'!B48="","",IF(AB48&gt;=85,"Exceptional",IF(AB48&gt;=70,"High Performer",IF(AB48&gt;=50,"Meets Expectations",IF(AB48&gt;=30,"Below Expectations","Underperformer")))))</f>
        <v>Below Expectations</v>
      </c>
      <c r="AD48" s="51">
        <f>IF('Employee Master'!B48="","",'Employee Master'!M48)</f>
        <v>175000</v>
      </c>
      <c r="AE48" s="52">
        <f>IF('Employee Master'!B48="","",IF(AB48&gt;=85,Settings!B31,IF(AB48&gt;=70,Settings!B32,IF(AB48&gt;=50,Settings!B33,IF(AB48&gt;=30,Settings!B34,Settings!B35)))))</f>
        <v>0.03</v>
      </c>
      <c r="AF48" s="51">
        <f>IF('Employee Master'!B48="","",AD48*(1+AE48))</f>
        <v>180250</v>
      </c>
      <c r="AG48" s="51">
        <f>IF('Employee Master'!B48="","",AF48-AD48)</f>
        <v>5250</v>
      </c>
      <c r="AH48" s="51">
        <f>IF('Employee Master'!B48="","",AG48*12)</f>
        <v>63000</v>
      </c>
    </row>
    <row r="49" spans="1:34" ht="23.25" customHeight="1" x14ac:dyDescent="0.2">
      <c r="A49" s="27">
        <f>IF('Employee Master'!B49="","",ROW()-3)</f>
        <v>46</v>
      </c>
      <c r="B49" s="27" t="str">
        <f>IF('Employee Master'!B49="","",'Employee Master'!C49)</f>
        <v>Shikha.A</v>
      </c>
      <c r="C49" s="27" t="str">
        <f>IF('Employee Master'!B49="","",'Employee Master'!D49)</f>
        <v>In-house</v>
      </c>
      <c r="D49" s="27" t="str">
        <f>IF('Employee Master'!B49="","",'Employee Master'!E49)</f>
        <v>Asst. Team Lead</v>
      </c>
      <c r="E49" s="27" t="str">
        <f>IF('Employee Master'!B49="","",'Employee Master'!G49)</f>
        <v>Smriti Shah</v>
      </c>
      <c r="F49" s="51">
        <f>IF('Employee Master'!B49="","",'⑥ Annual Performance'!R49)</f>
        <v>12</v>
      </c>
      <c r="G49" s="103">
        <f>IF('Employee Master'!B49="","",'⑥ Annual Performance'!J49)</f>
        <v>9.6354166666666671E-2</v>
      </c>
      <c r="H49" s="104">
        <f>IF('Employee Master'!B49="","",IF(G49&gt;=0.85,15,IF(G49&gt;=0.7,12,IF(G49&gt;=0.55,9,IF(G49&gt;=0.4,6,3)))))</f>
        <v>3</v>
      </c>
      <c r="I49" s="103">
        <f>IF('Employee Master'!B49="","",'⑥ Annual Performance'!Q49)</f>
        <v>0</v>
      </c>
      <c r="J49" s="104">
        <f>IF('Employee Master'!B49="","",IF(I49&gt;=0.98,10,IF(I49&gt;=0.95,8,IF(I49&gt;=0.9,6,IF(I49&gt;=0.85,4,2)))))</f>
        <v>2</v>
      </c>
      <c r="K49" s="105">
        <f>IF('Employee Master'!B49="","",'⑥ Annual Performance'!N49)</f>
        <v>0</v>
      </c>
      <c r="L49" s="104">
        <f>IF('Employee Master'!B49="","",IF(K49&gt;=1000,10,IF(K49&gt;=750,8,IF(K49&gt;=500,6,IF(K49&gt;=250,4,2)))))</f>
        <v>2</v>
      </c>
      <c r="M49" s="105">
        <f>IF('Employee Master'!B49="","",'⑥ Annual Performance'!K49)</f>
        <v>1</v>
      </c>
      <c r="N49" s="106">
        <f>IF('Employee Master'!B49="","",'⑥ Annual Performance'!L49)</f>
        <v>3.5</v>
      </c>
      <c r="O49" s="104">
        <f>IF('Employee Master'!B49="","",MIN(N49*2,10))</f>
        <v>7</v>
      </c>
      <c r="P49" s="104">
        <f>IF('Employee Master'!B49="","",IF(F49&gt;=36,5,IF(F49&gt;=24,4,IF(F49&gt;=12,3,IF(F49&gt;=6,2,1)))))</f>
        <v>3</v>
      </c>
      <c r="Q49" s="104">
        <f>IF('Employee Master'!B49="","",IF(D49="Sr. Controller",10,IF(D49="Coo",10,IF(D49="Controller",9,IF(D49="Asst. Controller",8,IF(D49="Sr. Manager",8,IF(D49="Manager",7,IF(D49="Asst. Manager",6,IF(D49="Team Lead",7,IF(D49="Asst. Team Lead",5,IF(D49="Sr. Associate",4,IF(D49="Associate",3,IF(D49="Full Stack Developer",5,IF(D49="Project Manager (S/W)",6,IF(D49="Marketing",4,4)))))))))))))))</f>
        <v>5</v>
      </c>
      <c r="R49" s="107">
        <f>IF('Employee Master'!B49="","",H49+J49+L49+O49+P49+Q49)</f>
        <v>22</v>
      </c>
      <c r="S49" s="108">
        <f>IF('Employee Master'!B49="","",3)</f>
        <v>3</v>
      </c>
      <c r="T49" s="104">
        <f>IF('Employee Master'!B49="","",MIN(S49*2,10))</f>
        <v>6</v>
      </c>
      <c r="U49" s="108">
        <f>IF('Employee Master'!B49="","",3)</f>
        <v>3</v>
      </c>
      <c r="V49" s="104">
        <f>IF('Employee Master'!B49="","",MIN(U49*2,10))</f>
        <v>6</v>
      </c>
      <c r="W49" s="108">
        <f>IF('Employee Master'!B49="","",3)</f>
        <v>3</v>
      </c>
      <c r="X49" s="104">
        <f>IF('Employee Master'!B49="","",MIN(W49*2,10))</f>
        <v>6</v>
      </c>
      <c r="Y49" s="108">
        <f>IF('Employee Master'!B49="","",3)</f>
        <v>3</v>
      </c>
      <c r="Z49" s="104">
        <f>IF('Employee Master'!B49="","",MIN(Y49*2,10))</f>
        <v>6</v>
      </c>
      <c r="AA49" s="109">
        <f>IF('Employee Master'!B49="","",T49+V49+X49+Z49)</f>
        <v>24</v>
      </c>
      <c r="AB49" s="110">
        <f>IF('Employee Master'!B49="","",R49+AA49)</f>
        <v>46</v>
      </c>
      <c r="AC49" s="27" t="str">
        <f>IF('Employee Master'!B49="","",IF(AB49&gt;=85,"Exceptional",IF(AB49&gt;=70,"High Performer",IF(AB49&gt;=50,"Meets Expectations",IF(AB49&gt;=30,"Below Expectations","Underperformer")))))</f>
        <v>Below Expectations</v>
      </c>
      <c r="AD49" s="51">
        <f>IF('Employee Master'!B49="","",'Employee Master'!M49)</f>
        <v>155334</v>
      </c>
      <c r="AE49" s="52">
        <f>IF('Employee Master'!B49="","",IF(AB49&gt;=85,Settings!B31,IF(AB49&gt;=70,Settings!B32,IF(AB49&gt;=50,Settings!B33,IF(AB49&gt;=30,Settings!B34,Settings!B35)))))</f>
        <v>0.03</v>
      </c>
      <c r="AF49" s="51">
        <f>IF('Employee Master'!B49="","",AD49*(1+AE49))</f>
        <v>159994.02000000002</v>
      </c>
      <c r="AG49" s="51">
        <f>IF('Employee Master'!B49="","",AF49-AD49)</f>
        <v>4660.0200000000186</v>
      </c>
      <c r="AH49" s="51">
        <f>IF('Employee Master'!B49="","",AG49*12)</f>
        <v>55920.240000000224</v>
      </c>
    </row>
    <row r="50" spans="1:34" ht="23.25" customHeight="1" x14ac:dyDescent="0.2">
      <c r="A50" s="27">
        <f>IF('Employee Master'!B50="","",ROW()-3)</f>
        <v>47</v>
      </c>
      <c r="B50" s="27" t="str">
        <f>IF('Employee Master'!B50="","",'Employee Master'!C50)</f>
        <v>Rupesh.A</v>
      </c>
      <c r="C50" s="27" t="str">
        <f>IF('Employee Master'!B50="","",'Employee Master'!D50)</f>
        <v>In-house</v>
      </c>
      <c r="D50" s="27" t="str">
        <f>IF('Employee Master'!B50="","",'Employee Master'!E50)</f>
        <v>Sr. Manager</v>
      </c>
      <c r="E50" s="27" t="str">
        <f>IF('Employee Master'!B50="","",'Employee Master'!G50)</f>
        <v>Sachi Mazumdar</v>
      </c>
      <c r="F50" s="51">
        <f>IF('Employee Master'!B50="","",'⑥ Annual Performance'!R50)</f>
        <v>12</v>
      </c>
      <c r="G50" s="103">
        <f>IF('Employee Master'!B50="","",'⑥ Annual Performance'!J50)</f>
        <v>9.166666666666666E-2</v>
      </c>
      <c r="H50" s="104">
        <f>IF('Employee Master'!B50="","",IF(G50&gt;=0.85,15,IF(G50&gt;=0.7,12,IF(G50&gt;=0.55,9,IF(G50&gt;=0.4,6,3)))))</f>
        <v>3</v>
      </c>
      <c r="I50" s="103">
        <f>IF('Employee Master'!B50="","",'⑥ Annual Performance'!Q50)</f>
        <v>0</v>
      </c>
      <c r="J50" s="104">
        <f>IF('Employee Master'!B50="","",IF(I50&gt;=0.98,10,IF(I50&gt;=0.95,8,IF(I50&gt;=0.9,6,IF(I50&gt;=0.85,4,2)))))</f>
        <v>2</v>
      </c>
      <c r="K50" s="105">
        <f>IF('Employee Master'!B50="","",'⑥ Annual Performance'!N50)</f>
        <v>0</v>
      </c>
      <c r="L50" s="104">
        <f>IF('Employee Master'!B50="","",IF(K50&gt;=1000,10,IF(K50&gt;=750,8,IF(K50&gt;=500,6,IF(K50&gt;=250,4,2)))))</f>
        <v>2</v>
      </c>
      <c r="M50" s="105">
        <f>IF('Employee Master'!B50="","",'⑥ Annual Performance'!K50)</f>
        <v>7</v>
      </c>
      <c r="N50" s="106">
        <f>IF('Employee Master'!B50="","",'⑥ Annual Performance'!L50)</f>
        <v>3.5</v>
      </c>
      <c r="O50" s="104">
        <f>IF('Employee Master'!B50="","",MIN(N50*2,10))</f>
        <v>7</v>
      </c>
      <c r="P50" s="104">
        <f>IF('Employee Master'!B50="","",IF(F50&gt;=36,5,IF(F50&gt;=24,4,IF(F50&gt;=12,3,IF(F50&gt;=6,2,1)))))</f>
        <v>3</v>
      </c>
      <c r="Q50" s="104">
        <f>IF('Employee Master'!B50="","",IF(D50="Sr. Controller",10,IF(D50="Coo",10,IF(D50="Controller",9,IF(D50="Asst. Controller",8,IF(D50="Sr. Manager",8,IF(D50="Manager",7,IF(D50="Asst. Manager",6,IF(D50="Team Lead",7,IF(D50="Asst. Team Lead",5,IF(D50="Sr. Associate",4,IF(D50="Associate",3,IF(D50="Full Stack Developer",5,IF(D50="Project Manager (S/W)",6,IF(D50="Marketing",4,4)))))))))))))))</f>
        <v>8</v>
      </c>
      <c r="R50" s="107">
        <f>IF('Employee Master'!B50="","",H50+J50+L50+O50+P50+Q50)</f>
        <v>25</v>
      </c>
      <c r="S50" s="108">
        <f>IF('Employee Master'!B50="","",3)</f>
        <v>3</v>
      </c>
      <c r="T50" s="104">
        <f>IF('Employee Master'!B50="","",MIN(S50*2,10))</f>
        <v>6</v>
      </c>
      <c r="U50" s="108">
        <f>IF('Employee Master'!B50="","",3)</f>
        <v>3</v>
      </c>
      <c r="V50" s="104">
        <f>IF('Employee Master'!B50="","",MIN(U50*2,10))</f>
        <v>6</v>
      </c>
      <c r="W50" s="108">
        <f>IF('Employee Master'!B50="","",3)</f>
        <v>3</v>
      </c>
      <c r="X50" s="104">
        <f>IF('Employee Master'!B50="","",MIN(W50*2,10))</f>
        <v>6</v>
      </c>
      <c r="Y50" s="108">
        <f>IF('Employee Master'!B50="","",3)</f>
        <v>3</v>
      </c>
      <c r="Z50" s="104">
        <f>IF('Employee Master'!B50="","",MIN(Y50*2,10))</f>
        <v>6</v>
      </c>
      <c r="AA50" s="109">
        <f>IF('Employee Master'!B50="","",T50+V50+X50+Z50)</f>
        <v>24</v>
      </c>
      <c r="AB50" s="110">
        <f>IF('Employee Master'!B50="","",R50+AA50)</f>
        <v>49</v>
      </c>
      <c r="AC50" s="27" t="str">
        <f>IF('Employee Master'!B50="","",IF(AB50&gt;=85,"Exceptional",IF(AB50&gt;=70,"High Performer",IF(AB50&gt;=50,"Meets Expectations",IF(AB50&gt;=30,"Below Expectations","Underperformer")))))</f>
        <v>Below Expectations</v>
      </c>
      <c r="AD50" s="51">
        <f>IF('Employee Master'!B50="","",'Employee Master'!M50)</f>
        <v>233334</v>
      </c>
      <c r="AE50" s="52">
        <f>IF('Employee Master'!B50="","",IF(AB50&gt;=85,Settings!B31,IF(AB50&gt;=70,Settings!B32,IF(AB50&gt;=50,Settings!B33,IF(AB50&gt;=30,Settings!B34,Settings!B35)))))</f>
        <v>0.03</v>
      </c>
      <c r="AF50" s="51">
        <f>IF('Employee Master'!B50="","",AD50*(1+AE50))</f>
        <v>240334.02000000002</v>
      </c>
      <c r="AG50" s="51">
        <f>IF('Employee Master'!B50="","",AF50-AD50)</f>
        <v>7000.0200000000186</v>
      </c>
      <c r="AH50" s="51">
        <f>IF('Employee Master'!B50="","",AG50*12)</f>
        <v>84000.240000000224</v>
      </c>
    </row>
    <row r="51" spans="1:34" ht="23.25" customHeight="1" x14ac:dyDescent="0.2">
      <c r="A51" s="27">
        <f>IF('Employee Master'!B51="","",ROW()-3)</f>
        <v>48</v>
      </c>
      <c r="B51" s="27" t="str">
        <f>IF('Employee Master'!B51="","",'Employee Master'!C51)</f>
        <v>Deepika.B</v>
      </c>
      <c r="C51" s="27" t="str">
        <f>IF('Employee Master'!B51="","",'Employee Master'!D51)</f>
        <v>In-house</v>
      </c>
      <c r="D51" s="27" t="str">
        <f>IF('Employee Master'!B51="","",'Employee Master'!E51)</f>
        <v>Associate</v>
      </c>
      <c r="E51" s="27" t="str">
        <f>IF('Employee Master'!B51="","",'Employee Master'!G51)</f>
        <v>Smriti Shah</v>
      </c>
      <c r="F51" s="51">
        <f>IF('Employee Master'!B51="","",'⑥ Annual Performance'!R51)</f>
        <v>12</v>
      </c>
      <c r="G51" s="103">
        <f>IF('Employee Master'!B51="","",'⑥ Annual Performance'!J51)</f>
        <v>0</v>
      </c>
      <c r="H51" s="104">
        <f>IF('Employee Master'!B51="","",IF(G51&gt;=0.85,15,IF(G51&gt;=0.7,12,IF(G51&gt;=0.55,9,IF(G51&gt;=0.4,6,3)))))</f>
        <v>3</v>
      </c>
      <c r="I51" s="103">
        <f>IF('Employee Master'!B51="","",'⑥ Annual Performance'!Q51)</f>
        <v>0</v>
      </c>
      <c r="J51" s="104">
        <f>IF('Employee Master'!B51="","",IF(I51&gt;=0.98,10,IF(I51&gt;=0.95,8,IF(I51&gt;=0.9,6,IF(I51&gt;=0.85,4,2)))))</f>
        <v>2</v>
      </c>
      <c r="K51" s="105">
        <f>IF('Employee Master'!B51="","",'⑥ Annual Performance'!N51)</f>
        <v>0</v>
      </c>
      <c r="L51" s="104">
        <f>IF('Employee Master'!B51="","",IF(K51&gt;=1000,10,IF(K51&gt;=750,8,IF(K51&gt;=500,6,IF(K51&gt;=250,4,2)))))</f>
        <v>2</v>
      </c>
      <c r="M51" s="105">
        <f>IF('Employee Master'!B51="","",'⑥ Annual Performance'!K51)</f>
        <v>0</v>
      </c>
      <c r="N51" s="106">
        <f>IF('Employee Master'!B51="","",'⑥ Annual Performance'!L51)</f>
        <v>3.5</v>
      </c>
      <c r="O51" s="104">
        <f>IF('Employee Master'!B51="","",MIN(N51*2,10))</f>
        <v>7</v>
      </c>
      <c r="P51" s="104">
        <f>IF('Employee Master'!B51="","",IF(F51&gt;=36,5,IF(F51&gt;=24,4,IF(F51&gt;=12,3,IF(F51&gt;=6,2,1)))))</f>
        <v>3</v>
      </c>
      <c r="Q51" s="104">
        <f>IF('Employee Master'!B51="","",IF(D51="Sr. Controller",10,IF(D51="Coo",10,IF(D51="Controller",9,IF(D51="Asst. Controller",8,IF(D51="Sr. Manager",8,IF(D51="Manager",7,IF(D51="Asst. Manager",6,IF(D51="Team Lead",7,IF(D51="Asst. Team Lead",5,IF(D51="Sr. Associate",4,IF(D51="Associate",3,IF(D51="Full Stack Developer",5,IF(D51="Project Manager (S/W)",6,IF(D51="Marketing",4,4)))))))))))))))</f>
        <v>3</v>
      </c>
      <c r="R51" s="107">
        <f>IF('Employee Master'!B51="","",H51+J51+L51+O51+P51+Q51)</f>
        <v>20</v>
      </c>
      <c r="S51" s="108">
        <f>IF('Employee Master'!B51="","",3)</f>
        <v>3</v>
      </c>
      <c r="T51" s="104">
        <f>IF('Employee Master'!B51="","",MIN(S51*2,10))</f>
        <v>6</v>
      </c>
      <c r="U51" s="108">
        <f>IF('Employee Master'!B51="","",3)</f>
        <v>3</v>
      </c>
      <c r="V51" s="104">
        <f>IF('Employee Master'!B51="","",MIN(U51*2,10))</f>
        <v>6</v>
      </c>
      <c r="W51" s="108">
        <f>IF('Employee Master'!B51="","",3)</f>
        <v>3</v>
      </c>
      <c r="X51" s="104">
        <f>IF('Employee Master'!B51="","",MIN(W51*2,10))</f>
        <v>6</v>
      </c>
      <c r="Y51" s="108">
        <f>IF('Employee Master'!B51="","",3)</f>
        <v>3</v>
      </c>
      <c r="Z51" s="104">
        <f>IF('Employee Master'!B51="","",MIN(Y51*2,10))</f>
        <v>6</v>
      </c>
      <c r="AA51" s="109">
        <f>IF('Employee Master'!B51="","",T51+V51+X51+Z51)</f>
        <v>24</v>
      </c>
      <c r="AB51" s="110">
        <f>IF('Employee Master'!B51="","",R51+AA51)</f>
        <v>44</v>
      </c>
      <c r="AC51" s="27" t="str">
        <f>IF('Employee Master'!B51="","",IF(AB51&gt;=85,"Exceptional",IF(AB51&gt;=70,"High Performer",IF(AB51&gt;=50,"Meets Expectations",IF(AB51&gt;=30,"Below Expectations","Underperformer")))))</f>
        <v>Below Expectations</v>
      </c>
      <c r="AD51" s="51">
        <f>IF('Employee Master'!B51="","",'Employee Master'!M51)</f>
        <v>36000</v>
      </c>
      <c r="AE51" s="52">
        <f>IF('Employee Master'!B51="","",IF(AB51&gt;=85,Settings!B31,IF(AB51&gt;=70,Settings!B32,IF(AB51&gt;=50,Settings!B33,IF(AB51&gt;=30,Settings!B34,Settings!B35)))))</f>
        <v>0.03</v>
      </c>
      <c r="AF51" s="51">
        <f>IF('Employee Master'!B51="","",AD51*(1+AE51))</f>
        <v>37080</v>
      </c>
      <c r="AG51" s="51">
        <f>IF('Employee Master'!B51="","",AF51-AD51)</f>
        <v>1080</v>
      </c>
      <c r="AH51" s="51">
        <f>IF('Employee Master'!B51="","",AG51*12)</f>
        <v>12960</v>
      </c>
    </row>
    <row r="52" spans="1:34" ht="23.25" customHeight="1" x14ac:dyDescent="0.2">
      <c r="A52" s="27">
        <f>IF('Employee Master'!B52="","",ROW()-3)</f>
        <v>49</v>
      </c>
      <c r="B52" s="27" t="str">
        <f>IF('Employee Master'!B52="","",'Employee Master'!C52)</f>
        <v>Vandana.M</v>
      </c>
      <c r="C52" s="27" t="str">
        <f>IF('Employee Master'!B52="","",'Employee Master'!D52)</f>
        <v>In-house</v>
      </c>
      <c r="D52" s="27" t="str">
        <f>IF('Employee Master'!B52="","",'Employee Master'!E52)</f>
        <v>Associate</v>
      </c>
      <c r="E52" s="27" t="str">
        <f>IF('Employee Master'!B52="","",'Employee Master'!G52)</f>
        <v>Smriti Shah</v>
      </c>
      <c r="F52" s="51">
        <f>IF('Employee Master'!B52="","",'⑥ Annual Performance'!R52)</f>
        <v>12</v>
      </c>
      <c r="G52" s="103">
        <f>IF('Employee Master'!B52="","",'⑥ Annual Performance'!J52)</f>
        <v>5.5677083333333335E-2</v>
      </c>
      <c r="H52" s="104">
        <f>IF('Employee Master'!B52="","",IF(G52&gt;=0.85,15,IF(G52&gt;=0.7,12,IF(G52&gt;=0.55,9,IF(G52&gt;=0.4,6,3)))))</f>
        <v>3</v>
      </c>
      <c r="I52" s="103">
        <f>IF('Employee Master'!B52="","",'⑥ Annual Performance'!Q52)</f>
        <v>0</v>
      </c>
      <c r="J52" s="104">
        <f>IF('Employee Master'!B52="","",IF(I52&gt;=0.98,10,IF(I52&gt;=0.95,8,IF(I52&gt;=0.9,6,IF(I52&gt;=0.85,4,2)))))</f>
        <v>2</v>
      </c>
      <c r="K52" s="105">
        <f>IF('Employee Master'!B52="","",'⑥ Annual Performance'!N52)</f>
        <v>0</v>
      </c>
      <c r="L52" s="104">
        <f>IF('Employee Master'!B52="","",IF(K52&gt;=1000,10,IF(K52&gt;=750,8,IF(K52&gt;=500,6,IF(K52&gt;=250,4,2)))))</f>
        <v>2</v>
      </c>
      <c r="M52" s="105">
        <f>IF('Employee Master'!B52="","",'⑥ Annual Performance'!K52)</f>
        <v>5</v>
      </c>
      <c r="N52" s="106">
        <f>IF('Employee Master'!B52="","",'⑥ Annual Performance'!L52)</f>
        <v>3.5</v>
      </c>
      <c r="O52" s="104">
        <f>IF('Employee Master'!B52="","",MIN(N52*2,10))</f>
        <v>7</v>
      </c>
      <c r="P52" s="104">
        <f>IF('Employee Master'!B52="","",IF(F52&gt;=36,5,IF(F52&gt;=24,4,IF(F52&gt;=12,3,IF(F52&gt;=6,2,1)))))</f>
        <v>3</v>
      </c>
      <c r="Q52" s="104">
        <f>IF('Employee Master'!B52="","",IF(D52="Sr. Controller",10,IF(D52="Coo",10,IF(D52="Controller",9,IF(D52="Asst. Controller",8,IF(D52="Sr. Manager",8,IF(D52="Manager",7,IF(D52="Asst. Manager",6,IF(D52="Team Lead",7,IF(D52="Asst. Team Lead",5,IF(D52="Sr. Associate",4,IF(D52="Associate",3,IF(D52="Full Stack Developer",5,IF(D52="Project Manager (S/W)",6,IF(D52="Marketing",4,4)))))))))))))))</f>
        <v>3</v>
      </c>
      <c r="R52" s="107">
        <f>IF('Employee Master'!B52="","",H52+J52+L52+O52+P52+Q52)</f>
        <v>20</v>
      </c>
      <c r="S52" s="108">
        <f>IF('Employee Master'!B52="","",3)</f>
        <v>3</v>
      </c>
      <c r="T52" s="104">
        <f>IF('Employee Master'!B52="","",MIN(S52*2,10))</f>
        <v>6</v>
      </c>
      <c r="U52" s="108">
        <f>IF('Employee Master'!B52="","",3)</f>
        <v>3</v>
      </c>
      <c r="V52" s="104">
        <f>IF('Employee Master'!B52="","",MIN(U52*2,10))</f>
        <v>6</v>
      </c>
      <c r="W52" s="108">
        <f>IF('Employee Master'!B52="","",3)</f>
        <v>3</v>
      </c>
      <c r="X52" s="104">
        <f>IF('Employee Master'!B52="","",MIN(W52*2,10))</f>
        <v>6</v>
      </c>
      <c r="Y52" s="108">
        <f>IF('Employee Master'!B52="","",3)</f>
        <v>3</v>
      </c>
      <c r="Z52" s="104">
        <f>IF('Employee Master'!B52="","",MIN(Y52*2,10))</f>
        <v>6</v>
      </c>
      <c r="AA52" s="109">
        <f>IF('Employee Master'!B52="","",T52+V52+X52+Z52)</f>
        <v>24</v>
      </c>
      <c r="AB52" s="110">
        <f>IF('Employee Master'!B52="","",R52+AA52)</f>
        <v>44</v>
      </c>
      <c r="AC52" s="27" t="str">
        <f>IF('Employee Master'!B52="","",IF(AB52&gt;=85,"Exceptional",IF(AB52&gt;=70,"High Performer",IF(AB52&gt;=50,"Meets Expectations",IF(AB52&gt;=30,"Below Expectations","Underperformer")))))</f>
        <v>Below Expectations</v>
      </c>
      <c r="AD52" s="51">
        <f>IF('Employee Master'!B52="","",'Employee Master'!M52)</f>
        <v>33000</v>
      </c>
      <c r="AE52" s="52">
        <f>IF('Employee Master'!B52="","",IF(AB52&gt;=85,Settings!B31,IF(AB52&gt;=70,Settings!B32,IF(AB52&gt;=50,Settings!B33,IF(AB52&gt;=30,Settings!B34,Settings!B35)))))</f>
        <v>0.03</v>
      </c>
      <c r="AF52" s="51">
        <f>IF('Employee Master'!B52="","",AD52*(1+AE52))</f>
        <v>33990</v>
      </c>
      <c r="AG52" s="51">
        <f>IF('Employee Master'!B52="","",AF52-AD52)</f>
        <v>990</v>
      </c>
      <c r="AH52" s="51">
        <f>IF('Employee Master'!B52="","",AG52*12)</f>
        <v>11880</v>
      </c>
    </row>
    <row r="53" spans="1:34" ht="23.25" customHeight="1" x14ac:dyDescent="0.2">
      <c r="A53" s="27">
        <f>IF('Employee Master'!B53="","",ROW()-3)</f>
        <v>50</v>
      </c>
      <c r="B53" s="27" t="str">
        <f>IF('Employee Master'!B53="","",'Employee Master'!C53)</f>
        <v>Shikha.AG</v>
      </c>
      <c r="C53" s="27" t="str">
        <f>IF('Employee Master'!B53="","",'Employee Master'!D53)</f>
        <v>Remote</v>
      </c>
      <c r="D53" s="27" t="str">
        <f>IF('Employee Master'!B53="","",'Employee Master'!E53)</f>
        <v>Asst. Team Lead</v>
      </c>
      <c r="E53" s="27" t="str">
        <f>IF('Employee Master'!B53="","",'Employee Master'!G53)</f>
        <v>Ayushi</v>
      </c>
      <c r="F53" s="51">
        <f>IF('Employee Master'!B53="","",'⑥ Annual Performance'!R53)</f>
        <v>12</v>
      </c>
      <c r="G53" s="103">
        <f>IF('Employee Master'!B53="","",'⑥ Annual Performance'!J53)</f>
        <v>3.3906249999999999E-2</v>
      </c>
      <c r="H53" s="104">
        <f>IF('Employee Master'!B53="","",IF(G53&gt;=0.85,15,IF(G53&gt;=0.7,12,IF(G53&gt;=0.55,9,IF(G53&gt;=0.4,6,3)))))</f>
        <v>3</v>
      </c>
      <c r="I53" s="103">
        <f>IF('Employee Master'!B53="","",'⑥ Annual Performance'!Q53)</f>
        <v>0</v>
      </c>
      <c r="J53" s="104">
        <f>IF('Employee Master'!B53="","",IF(I53&gt;=0.98,10,IF(I53&gt;=0.95,8,IF(I53&gt;=0.9,6,IF(I53&gt;=0.85,4,2)))))</f>
        <v>2</v>
      </c>
      <c r="K53" s="105">
        <f>IF('Employee Master'!B53="","",'⑥ Annual Performance'!N53)</f>
        <v>0</v>
      </c>
      <c r="L53" s="104">
        <f>IF('Employee Master'!B53="","",IF(K53&gt;=1000,10,IF(K53&gt;=750,8,IF(K53&gt;=500,6,IF(K53&gt;=250,4,2)))))</f>
        <v>2</v>
      </c>
      <c r="M53" s="105">
        <f>IF('Employee Master'!B53="","",'⑥ Annual Performance'!K53)</f>
        <v>5</v>
      </c>
      <c r="N53" s="106">
        <f>IF('Employee Master'!B53="","",'⑥ Annual Performance'!L53)</f>
        <v>3.5</v>
      </c>
      <c r="O53" s="104">
        <f>IF('Employee Master'!B53="","",MIN(N53*2,10))</f>
        <v>7</v>
      </c>
      <c r="P53" s="104">
        <f>IF('Employee Master'!B53="","",IF(F53&gt;=36,5,IF(F53&gt;=24,4,IF(F53&gt;=12,3,IF(F53&gt;=6,2,1)))))</f>
        <v>3</v>
      </c>
      <c r="Q53" s="104">
        <f>IF('Employee Master'!B53="","",IF(D53="Sr. Controller",10,IF(D53="Coo",10,IF(D53="Controller",9,IF(D53="Asst. Controller",8,IF(D53="Sr. Manager",8,IF(D53="Manager",7,IF(D53="Asst. Manager",6,IF(D53="Team Lead",7,IF(D53="Asst. Team Lead",5,IF(D53="Sr. Associate",4,IF(D53="Associate",3,IF(D53="Full Stack Developer",5,IF(D53="Project Manager (S/W)",6,IF(D53="Marketing",4,4)))))))))))))))</f>
        <v>5</v>
      </c>
      <c r="R53" s="107">
        <f>IF('Employee Master'!B53="","",H53+J53+L53+O53+P53+Q53)</f>
        <v>22</v>
      </c>
      <c r="S53" s="108">
        <f>IF('Employee Master'!B53="","",3)</f>
        <v>3</v>
      </c>
      <c r="T53" s="104">
        <f>IF('Employee Master'!B53="","",MIN(S53*2,10))</f>
        <v>6</v>
      </c>
      <c r="U53" s="108">
        <f>IF('Employee Master'!B53="","",3)</f>
        <v>3</v>
      </c>
      <c r="V53" s="104">
        <f>IF('Employee Master'!B53="","",MIN(U53*2,10))</f>
        <v>6</v>
      </c>
      <c r="W53" s="108">
        <f>IF('Employee Master'!B53="","",3)</f>
        <v>3</v>
      </c>
      <c r="X53" s="104">
        <f>IF('Employee Master'!B53="","",MIN(W53*2,10))</f>
        <v>6</v>
      </c>
      <c r="Y53" s="108">
        <f>IF('Employee Master'!B53="","",3)</f>
        <v>3</v>
      </c>
      <c r="Z53" s="104">
        <f>IF('Employee Master'!B53="","",MIN(Y53*2,10))</f>
        <v>6</v>
      </c>
      <c r="AA53" s="109">
        <f>IF('Employee Master'!B53="","",T53+V53+X53+Z53)</f>
        <v>24</v>
      </c>
      <c r="AB53" s="110">
        <f>IF('Employee Master'!B53="","",R53+AA53)</f>
        <v>46</v>
      </c>
      <c r="AC53" s="27" t="str">
        <f>IF('Employee Master'!B53="","",IF(AB53&gt;=85,"Exceptional",IF(AB53&gt;=70,"High Performer",IF(AB53&gt;=50,"Meets Expectations",IF(AB53&gt;=30,"Below Expectations","Underperformer")))))</f>
        <v>Below Expectations</v>
      </c>
      <c r="AD53" s="51">
        <f>IF('Employee Master'!B53="","",'Employee Master'!M53)</f>
        <v>39200</v>
      </c>
      <c r="AE53" s="52">
        <f>IF('Employee Master'!B53="","",IF(AB53&gt;=85,Settings!B31,IF(AB53&gt;=70,Settings!B32,IF(AB53&gt;=50,Settings!B33,IF(AB53&gt;=30,Settings!B34,Settings!B35)))))</f>
        <v>0.03</v>
      </c>
      <c r="AF53" s="51">
        <f>IF('Employee Master'!B53="","",AD53*(1+AE53))</f>
        <v>40376</v>
      </c>
      <c r="AG53" s="51">
        <f>IF('Employee Master'!B53="","",AF53-AD53)</f>
        <v>1176</v>
      </c>
      <c r="AH53" s="51">
        <f>IF('Employee Master'!B53="","",AG53*12)</f>
        <v>14112</v>
      </c>
    </row>
    <row r="54" spans="1:34" ht="23.25" customHeight="1" x14ac:dyDescent="0.2">
      <c r="A54" s="27">
        <f>IF('Employee Master'!B54="","",ROW()-3)</f>
        <v>51</v>
      </c>
      <c r="B54" s="27" t="str">
        <f>IF('Employee Master'!B54="","",'Employee Master'!C54)</f>
        <v>Falguni.M</v>
      </c>
      <c r="C54" s="27" t="str">
        <f>IF('Employee Master'!B54="","",'Employee Master'!D54)</f>
        <v>Remote</v>
      </c>
      <c r="D54" s="27" t="str">
        <f>IF('Employee Master'!B54="","",'Employee Master'!E54)</f>
        <v>Manager</v>
      </c>
      <c r="E54" s="27" t="str">
        <f>IF('Employee Master'!B54="","",'Employee Master'!G54)</f>
        <v>Jyoti</v>
      </c>
      <c r="F54" s="51">
        <f>IF('Employee Master'!B54="","",'⑥ Annual Performance'!R54)</f>
        <v>12</v>
      </c>
      <c r="G54" s="103">
        <f>IF('Employee Master'!B54="","",'⑥ Annual Performance'!J54)</f>
        <v>4.083333333333334E-2</v>
      </c>
      <c r="H54" s="104">
        <f>IF('Employee Master'!B54="","",IF(G54&gt;=0.85,15,IF(G54&gt;=0.7,12,IF(G54&gt;=0.55,9,IF(G54&gt;=0.4,6,3)))))</f>
        <v>3</v>
      </c>
      <c r="I54" s="103">
        <f>IF('Employee Master'!B54="","",'⑥ Annual Performance'!Q54)</f>
        <v>0</v>
      </c>
      <c r="J54" s="104">
        <f>IF('Employee Master'!B54="","",IF(I54&gt;=0.98,10,IF(I54&gt;=0.95,8,IF(I54&gt;=0.9,6,IF(I54&gt;=0.85,4,2)))))</f>
        <v>2</v>
      </c>
      <c r="K54" s="105">
        <f>IF('Employee Master'!B54="","",'⑥ Annual Performance'!N54)</f>
        <v>0</v>
      </c>
      <c r="L54" s="104">
        <f>IF('Employee Master'!B54="","",IF(K54&gt;=1000,10,IF(K54&gt;=750,8,IF(K54&gt;=500,6,IF(K54&gt;=250,4,2)))))</f>
        <v>2</v>
      </c>
      <c r="M54" s="105">
        <f>IF('Employee Master'!B54="","",'⑥ Annual Performance'!K54)</f>
        <v>4</v>
      </c>
      <c r="N54" s="106">
        <f>IF('Employee Master'!B54="","",'⑥ Annual Performance'!L54)</f>
        <v>3.5</v>
      </c>
      <c r="O54" s="104">
        <f>IF('Employee Master'!B54="","",MIN(N54*2,10))</f>
        <v>7</v>
      </c>
      <c r="P54" s="104">
        <f>IF('Employee Master'!B54="","",IF(F54&gt;=36,5,IF(F54&gt;=24,4,IF(F54&gt;=12,3,IF(F54&gt;=6,2,1)))))</f>
        <v>3</v>
      </c>
      <c r="Q54" s="104">
        <f>IF('Employee Master'!B54="","",IF(D54="Sr. Controller",10,IF(D54="Coo",10,IF(D54="Controller",9,IF(D54="Asst. Controller",8,IF(D54="Sr. Manager",8,IF(D54="Manager",7,IF(D54="Asst. Manager",6,IF(D54="Team Lead",7,IF(D54="Asst. Team Lead",5,IF(D54="Sr. Associate",4,IF(D54="Associate",3,IF(D54="Full Stack Developer",5,IF(D54="Project Manager (S/W)",6,IF(D54="Marketing",4,4)))))))))))))))</f>
        <v>7</v>
      </c>
      <c r="R54" s="107">
        <f>IF('Employee Master'!B54="","",H54+J54+L54+O54+P54+Q54)</f>
        <v>24</v>
      </c>
      <c r="S54" s="108">
        <f>IF('Employee Master'!B54="","",3)</f>
        <v>3</v>
      </c>
      <c r="T54" s="104">
        <f>IF('Employee Master'!B54="","",MIN(S54*2,10))</f>
        <v>6</v>
      </c>
      <c r="U54" s="108">
        <f>IF('Employee Master'!B54="","",3)</f>
        <v>3</v>
      </c>
      <c r="V54" s="104">
        <f>IF('Employee Master'!B54="","",MIN(U54*2,10))</f>
        <v>6</v>
      </c>
      <c r="W54" s="108">
        <f>IF('Employee Master'!B54="","",3)</f>
        <v>3</v>
      </c>
      <c r="X54" s="104">
        <f>IF('Employee Master'!B54="","",MIN(W54*2,10))</f>
        <v>6</v>
      </c>
      <c r="Y54" s="108">
        <f>IF('Employee Master'!B54="","",3)</f>
        <v>3</v>
      </c>
      <c r="Z54" s="104">
        <f>IF('Employee Master'!B54="","",MIN(Y54*2,10))</f>
        <v>6</v>
      </c>
      <c r="AA54" s="109">
        <f>IF('Employee Master'!B54="","",T54+V54+X54+Z54)</f>
        <v>24</v>
      </c>
      <c r="AB54" s="110">
        <f>IF('Employee Master'!B54="","",R54+AA54)</f>
        <v>48</v>
      </c>
      <c r="AC54" s="27" t="str">
        <f>IF('Employee Master'!B54="","",IF(AB54&gt;=85,"Exceptional",IF(AB54&gt;=70,"High Performer",IF(AB54&gt;=50,"Meets Expectations",IF(AB54&gt;=30,"Below Expectations","Underperformer")))))</f>
        <v>Below Expectations</v>
      </c>
      <c r="AD54" s="51">
        <f>IF('Employee Master'!B54="","",'Employee Master'!M54)</f>
        <v>39400</v>
      </c>
      <c r="AE54" s="52">
        <f>IF('Employee Master'!B54="","",IF(AB54&gt;=85,Settings!B31,IF(AB54&gt;=70,Settings!B32,IF(AB54&gt;=50,Settings!B33,IF(AB54&gt;=30,Settings!B34,Settings!B35)))))</f>
        <v>0.03</v>
      </c>
      <c r="AF54" s="51">
        <f>IF('Employee Master'!B54="","",AD54*(1+AE54))</f>
        <v>40582</v>
      </c>
      <c r="AG54" s="51">
        <f>IF('Employee Master'!B54="","",AF54-AD54)</f>
        <v>1182</v>
      </c>
      <c r="AH54" s="51">
        <f>IF('Employee Master'!B54="","",AG54*12)</f>
        <v>14184</v>
      </c>
    </row>
    <row r="55" spans="1:34" ht="23.25" customHeight="1" x14ac:dyDescent="0.2">
      <c r="A55" s="27">
        <f>IF('Employee Master'!B55="","",ROW()-3)</f>
        <v>52</v>
      </c>
      <c r="B55" s="27" t="str">
        <f>IF('Employee Master'!B55="","",'Employee Master'!C55)</f>
        <v>Saumil.M</v>
      </c>
      <c r="C55" s="27" t="str">
        <f>IF('Employee Master'!B55="","",'Employee Master'!D55)</f>
        <v>Remote</v>
      </c>
      <c r="D55" s="27" t="str">
        <f>IF('Employee Master'!B55="","",'Employee Master'!E55)</f>
        <v>Associate</v>
      </c>
      <c r="E55" s="27" t="str">
        <f>IF('Employee Master'!B55="","",'Employee Master'!G55)</f>
        <v>Ayushi</v>
      </c>
      <c r="F55" s="51">
        <f>IF('Employee Master'!B55="","",'⑥ Annual Performance'!R55)</f>
        <v>12</v>
      </c>
      <c r="G55" s="103">
        <f>IF('Employee Master'!B55="","",'⑥ Annual Performance'!J55)</f>
        <v>4.2135416666666668E-2</v>
      </c>
      <c r="H55" s="104">
        <f>IF('Employee Master'!B55="","",IF(G55&gt;=0.85,15,IF(G55&gt;=0.7,12,IF(G55&gt;=0.55,9,IF(G55&gt;=0.4,6,3)))))</f>
        <v>3</v>
      </c>
      <c r="I55" s="103">
        <f>IF('Employee Master'!B55="","",'⑥ Annual Performance'!Q55)</f>
        <v>0</v>
      </c>
      <c r="J55" s="104">
        <f>IF('Employee Master'!B55="","",IF(I55&gt;=0.98,10,IF(I55&gt;=0.95,8,IF(I55&gt;=0.9,6,IF(I55&gt;=0.85,4,2)))))</f>
        <v>2</v>
      </c>
      <c r="K55" s="105">
        <f>IF('Employee Master'!B55="","",'⑥ Annual Performance'!N55)</f>
        <v>0</v>
      </c>
      <c r="L55" s="104">
        <f>IF('Employee Master'!B55="","",IF(K55&gt;=1000,10,IF(K55&gt;=750,8,IF(K55&gt;=500,6,IF(K55&gt;=250,4,2)))))</f>
        <v>2</v>
      </c>
      <c r="M55" s="105">
        <f>IF('Employee Master'!B55="","",'⑥ Annual Performance'!K55)</f>
        <v>6</v>
      </c>
      <c r="N55" s="106">
        <f>IF('Employee Master'!B55="","",'⑥ Annual Performance'!L55)</f>
        <v>3.5</v>
      </c>
      <c r="O55" s="104">
        <f>IF('Employee Master'!B55="","",MIN(N55*2,10))</f>
        <v>7</v>
      </c>
      <c r="P55" s="104">
        <f>IF('Employee Master'!B55="","",IF(F55&gt;=36,5,IF(F55&gt;=24,4,IF(F55&gt;=12,3,IF(F55&gt;=6,2,1)))))</f>
        <v>3</v>
      </c>
      <c r="Q55" s="104">
        <f>IF('Employee Master'!B55="","",IF(D55="Sr. Controller",10,IF(D55="Coo",10,IF(D55="Controller",9,IF(D55="Asst. Controller",8,IF(D55="Sr. Manager",8,IF(D55="Manager",7,IF(D55="Asst. Manager",6,IF(D55="Team Lead",7,IF(D55="Asst. Team Lead",5,IF(D55="Sr. Associate",4,IF(D55="Associate",3,IF(D55="Full Stack Developer",5,IF(D55="Project Manager (S/W)",6,IF(D55="Marketing",4,4)))))))))))))))</f>
        <v>3</v>
      </c>
      <c r="R55" s="107">
        <f>IF('Employee Master'!B55="","",H55+J55+L55+O55+P55+Q55)</f>
        <v>20</v>
      </c>
      <c r="S55" s="108">
        <f>IF('Employee Master'!B55="","",3)</f>
        <v>3</v>
      </c>
      <c r="T55" s="104">
        <f>IF('Employee Master'!B55="","",MIN(S55*2,10))</f>
        <v>6</v>
      </c>
      <c r="U55" s="108">
        <f>IF('Employee Master'!B55="","",3)</f>
        <v>3</v>
      </c>
      <c r="V55" s="104">
        <f>IF('Employee Master'!B55="","",MIN(U55*2,10))</f>
        <v>6</v>
      </c>
      <c r="W55" s="108">
        <f>IF('Employee Master'!B55="","",3)</f>
        <v>3</v>
      </c>
      <c r="X55" s="104">
        <f>IF('Employee Master'!B55="","",MIN(W55*2,10))</f>
        <v>6</v>
      </c>
      <c r="Y55" s="108">
        <f>IF('Employee Master'!B55="","",3)</f>
        <v>3</v>
      </c>
      <c r="Z55" s="104">
        <f>IF('Employee Master'!B55="","",MIN(Y55*2,10))</f>
        <v>6</v>
      </c>
      <c r="AA55" s="109">
        <f>IF('Employee Master'!B55="","",T55+V55+X55+Z55)</f>
        <v>24</v>
      </c>
      <c r="AB55" s="110">
        <f>IF('Employee Master'!B55="","",R55+AA55)</f>
        <v>44</v>
      </c>
      <c r="AC55" s="27" t="str">
        <f>IF('Employee Master'!B55="","",IF(AB55&gt;=85,"Exceptional",IF(AB55&gt;=70,"High Performer",IF(AB55&gt;=50,"Meets Expectations",IF(AB55&gt;=30,"Below Expectations","Underperformer")))))</f>
        <v>Below Expectations</v>
      </c>
      <c r="AD55" s="51">
        <f>IF('Employee Master'!B55="","",'Employee Master'!M55)</f>
        <v>14908</v>
      </c>
      <c r="AE55" s="52">
        <f>IF('Employee Master'!B55="","",IF(AB55&gt;=85,Settings!B31,IF(AB55&gt;=70,Settings!B32,IF(AB55&gt;=50,Settings!B33,IF(AB55&gt;=30,Settings!B34,Settings!B35)))))</f>
        <v>0.03</v>
      </c>
      <c r="AF55" s="51">
        <f>IF('Employee Master'!B55="","",AD55*(1+AE55))</f>
        <v>15355.24</v>
      </c>
      <c r="AG55" s="51">
        <f>IF('Employee Master'!B55="","",AF55-AD55)</f>
        <v>447.23999999999978</v>
      </c>
      <c r="AH55" s="51">
        <f>IF('Employee Master'!B55="","",AG55*12)</f>
        <v>5366.8799999999974</v>
      </c>
    </row>
    <row r="56" spans="1:34" ht="23.25" customHeight="1" x14ac:dyDescent="0.2">
      <c r="A56" s="27">
        <f>IF('Employee Master'!B56="","",ROW()-3)</f>
        <v>53</v>
      </c>
      <c r="B56" s="27" t="str">
        <f>IF('Employee Master'!B56="","",'Employee Master'!C56)</f>
        <v>Seemu.A</v>
      </c>
      <c r="C56" s="27" t="str">
        <f>IF('Employee Master'!B56="","",'Employee Master'!D56)</f>
        <v>Remote</v>
      </c>
      <c r="D56" s="27" t="str">
        <f>IF('Employee Master'!B56="","",'Employee Master'!E56)</f>
        <v>Associate</v>
      </c>
      <c r="E56" s="27" t="str">
        <f>IF('Employee Master'!B56="","",'Employee Master'!G56)</f>
        <v>Nikita Shah</v>
      </c>
      <c r="F56" s="51">
        <f>IF('Employee Master'!B56="","",'⑥ Annual Performance'!R56)</f>
        <v>12</v>
      </c>
      <c r="G56" s="103">
        <f>IF('Employee Master'!B56="","",'⑥ Annual Performance'!J56)</f>
        <v>3.1041666666666669E-2</v>
      </c>
      <c r="H56" s="104">
        <f>IF('Employee Master'!B56="","",IF(G56&gt;=0.85,15,IF(G56&gt;=0.7,12,IF(G56&gt;=0.55,9,IF(G56&gt;=0.4,6,3)))))</f>
        <v>3</v>
      </c>
      <c r="I56" s="103">
        <f>IF('Employee Master'!B56="","",'⑥ Annual Performance'!Q56)</f>
        <v>0</v>
      </c>
      <c r="J56" s="104">
        <f>IF('Employee Master'!B56="","",IF(I56&gt;=0.98,10,IF(I56&gt;=0.95,8,IF(I56&gt;=0.9,6,IF(I56&gt;=0.85,4,2)))))</f>
        <v>2</v>
      </c>
      <c r="K56" s="105">
        <f>IF('Employee Master'!B56="","",'⑥ Annual Performance'!N56)</f>
        <v>0</v>
      </c>
      <c r="L56" s="104">
        <f>IF('Employee Master'!B56="","",IF(K56&gt;=1000,10,IF(K56&gt;=750,8,IF(K56&gt;=500,6,IF(K56&gt;=250,4,2)))))</f>
        <v>2</v>
      </c>
      <c r="M56" s="105">
        <f>IF('Employee Master'!B56="","",'⑥ Annual Performance'!K56)</f>
        <v>2</v>
      </c>
      <c r="N56" s="106">
        <f>IF('Employee Master'!B56="","",'⑥ Annual Performance'!L56)</f>
        <v>3.5</v>
      </c>
      <c r="O56" s="104">
        <f>IF('Employee Master'!B56="","",MIN(N56*2,10))</f>
        <v>7</v>
      </c>
      <c r="P56" s="104">
        <f>IF('Employee Master'!B56="","",IF(F56&gt;=36,5,IF(F56&gt;=24,4,IF(F56&gt;=12,3,IF(F56&gt;=6,2,1)))))</f>
        <v>3</v>
      </c>
      <c r="Q56" s="104">
        <f>IF('Employee Master'!B56="","",IF(D56="Sr. Controller",10,IF(D56="Coo",10,IF(D56="Controller",9,IF(D56="Asst. Controller",8,IF(D56="Sr. Manager",8,IF(D56="Manager",7,IF(D56="Asst. Manager",6,IF(D56="Team Lead",7,IF(D56="Asst. Team Lead",5,IF(D56="Sr. Associate",4,IF(D56="Associate",3,IF(D56="Full Stack Developer",5,IF(D56="Project Manager (S/W)",6,IF(D56="Marketing",4,4)))))))))))))))</f>
        <v>3</v>
      </c>
      <c r="R56" s="107">
        <f>IF('Employee Master'!B56="","",H56+J56+L56+O56+P56+Q56)</f>
        <v>20</v>
      </c>
      <c r="S56" s="108">
        <f>IF('Employee Master'!B56="","",3)</f>
        <v>3</v>
      </c>
      <c r="T56" s="104">
        <f>IF('Employee Master'!B56="","",MIN(S56*2,10))</f>
        <v>6</v>
      </c>
      <c r="U56" s="108">
        <f>IF('Employee Master'!B56="","",3)</f>
        <v>3</v>
      </c>
      <c r="V56" s="104">
        <f>IF('Employee Master'!B56="","",MIN(U56*2,10))</f>
        <v>6</v>
      </c>
      <c r="W56" s="108">
        <f>IF('Employee Master'!B56="","",3)</f>
        <v>3</v>
      </c>
      <c r="X56" s="104">
        <f>IF('Employee Master'!B56="","",MIN(W56*2,10))</f>
        <v>6</v>
      </c>
      <c r="Y56" s="108">
        <f>IF('Employee Master'!B56="","",3)</f>
        <v>3</v>
      </c>
      <c r="Z56" s="104">
        <f>IF('Employee Master'!B56="","",MIN(Y56*2,10))</f>
        <v>6</v>
      </c>
      <c r="AA56" s="109">
        <f>IF('Employee Master'!B56="","",T56+V56+X56+Z56)</f>
        <v>24</v>
      </c>
      <c r="AB56" s="110">
        <f>IF('Employee Master'!B56="","",R56+AA56)</f>
        <v>44</v>
      </c>
      <c r="AC56" s="27" t="str">
        <f>IF('Employee Master'!B56="","",IF(AB56&gt;=85,"Exceptional",IF(AB56&gt;=70,"High Performer",IF(AB56&gt;=50,"Meets Expectations",IF(AB56&gt;=30,"Below Expectations","Underperformer")))))</f>
        <v>Below Expectations</v>
      </c>
      <c r="AD56" s="51">
        <f>IF('Employee Master'!B56="","",'Employee Master'!M56)</f>
        <v>18304</v>
      </c>
      <c r="AE56" s="52">
        <f>IF('Employee Master'!B56="","",IF(AB56&gt;=85,Settings!B31,IF(AB56&gt;=70,Settings!B32,IF(AB56&gt;=50,Settings!B33,IF(AB56&gt;=30,Settings!B34,Settings!B35)))))</f>
        <v>0.03</v>
      </c>
      <c r="AF56" s="51">
        <f>IF('Employee Master'!B56="","",AD56*(1+AE56))</f>
        <v>18853.12</v>
      </c>
      <c r="AG56" s="51">
        <f>IF('Employee Master'!B56="","",AF56-AD56)</f>
        <v>549.11999999999898</v>
      </c>
      <c r="AH56" s="51">
        <f>IF('Employee Master'!B56="","",AG56*12)</f>
        <v>6589.4399999999878</v>
      </c>
    </row>
    <row r="57" spans="1:34" ht="23.25" customHeight="1" x14ac:dyDescent="0.2">
      <c r="A57" s="27">
        <f>IF('Employee Master'!B57="","",ROW()-3)</f>
        <v>54</v>
      </c>
      <c r="B57" s="27" t="str">
        <f>IF('Employee Master'!B57="","",'Employee Master'!C57)</f>
        <v>Kanica.P</v>
      </c>
      <c r="C57" s="27" t="str">
        <f>IF('Employee Master'!B57="","",'Employee Master'!D57)</f>
        <v>Remote</v>
      </c>
      <c r="D57" s="27" t="str">
        <f>IF('Employee Master'!B57="","",'Employee Master'!E57)</f>
        <v>Sr. Associate</v>
      </c>
      <c r="E57" s="27" t="str">
        <f>IF('Employee Master'!B57="","",'Employee Master'!G57)</f>
        <v>Nikita Shah</v>
      </c>
      <c r="F57" s="51">
        <f>IF('Employee Master'!B57="","",'⑥ Annual Performance'!R57)</f>
        <v>12</v>
      </c>
      <c r="G57" s="103">
        <f>IF('Employee Master'!B57="","",'⑥ Annual Performance'!J57)</f>
        <v>3.8124999999999999E-2</v>
      </c>
      <c r="H57" s="104">
        <f>IF('Employee Master'!B57="","",IF(G57&gt;=0.85,15,IF(G57&gt;=0.7,12,IF(G57&gt;=0.55,9,IF(G57&gt;=0.4,6,3)))))</f>
        <v>3</v>
      </c>
      <c r="I57" s="103">
        <f>IF('Employee Master'!B57="","",'⑥ Annual Performance'!Q57)</f>
        <v>0</v>
      </c>
      <c r="J57" s="104">
        <f>IF('Employee Master'!B57="","",IF(I57&gt;=0.98,10,IF(I57&gt;=0.95,8,IF(I57&gt;=0.9,6,IF(I57&gt;=0.85,4,2)))))</f>
        <v>2</v>
      </c>
      <c r="K57" s="105">
        <f>IF('Employee Master'!B57="","",'⑥ Annual Performance'!N57)</f>
        <v>0</v>
      </c>
      <c r="L57" s="104">
        <f>IF('Employee Master'!B57="","",IF(K57&gt;=1000,10,IF(K57&gt;=750,8,IF(K57&gt;=500,6,IF(K57&gt;=250,4,2)))))</f>
        <v>2</v>
      </c>
      <c r="M57" s="105">
        <f>IF('Employee Master'!B57="","",'⑥ Annual Performance'!K57)</f>
        <v>7</v>
      </c>
      <c r="N57" s="106">
        <f>IF('Employee Master'!B57="","",'⑥ Annual Performance'!L57)</f>
        <v>3.5</v>
      </c>
      <c r="O57" s="104">
        <f>IF('Employee Master'!B57="","",MIN(N57*2,10))</f>
        <v>7</v>
      </c>
      <c r="P57" s="104">
        <f>IF('Employee Master'!B57="","",IF(F57&gt;=36,5,IF(F57&gt;=24,4,IF(F57&gt;=12,3,IF(F57&gt;=6,2,1)))))</f>
        <v>3</v>
      </c>
      <c r="Q57" s="104">
        <f>IF('Employee Master'!B57="","",IF(D57="Sr. Controller",10,IF(D57="Coo",10,IF(D57="Controller",9,IF(D57="Asst. Controller",8,IF(D57="Sr. Manager",8,IF(D57="Manager",7,IF(D57="Asst. Manager",6,IF(D57="Team Lead",7,IF(D57="Asst. Team Lead",5,IF(D57="Sr. Associate",4,IF(D57="Associate",3,IF(D57="Full Stack Developer",5,IF(D57="Project Manager (S/W)",6,IF(D57="Marketing",4,4)))))))))))))))</f>
        <v>4</v>
      </c>
      <c r="R57" s="107">
        <f>IF('Employee Master'!B57="","",H57+J57+L57+O57+P57+Q57)</f>
        <v>21</v>
      </c>
      <c r="S57" s="108">
        <f>IF('Employee Master'!B57="","",3)</f>
        <v>3</v>
      </c>
      <c r="T57" s="104">
        <f>IF('Employee Master'!B57="","",MIN(S57*2,10))</f>
        <v>6</v>
      </c>
      <c r="U57" s="108">
        <f>IF('Employee Master'!B57="","",3)</f>
        <v>3</v>
      </c>
      <c r="V57" s="104">
        <f>IF('Employee Master'!B57="","",MIN(U57*2,10))</f>
        <v>6</v>
      </c>
      <c r="W57" s="108">
        <f>IF('Employee Master'!B57="","",3)</f>
        <v>3</v>
      </c>
      <c r="X57" s="104">
        <f>IF('Employee Master'!B57="","",MIN(W57*2,10))</f>
        <v>6</v>
      </c>
      <c r="Y57" s="108">
        <f>IF('Employee Master'!B57="","",3)</f>
        <v>3</v>
      </c>
      <c r="Z57" s="104">
        <f>IF('Employee Master'!B57="","",MIN(Y57*2,10))</f>
        <v>6</v>
      </c>
      <c r="AA57" s="109">
        <f>IF('Employee Master'!B57="","",T57+V57+X57+Z57)</f>
        <v>24</v>
      </c>
      <c r="AB57" s="110">
        <f>IF('Employee Master'!B57="","",R57+AA57)</f>
        <v>45</v>
      </c>
      <c r="AC57" s="27" t="str">
        <f>IF('Employee Master'!B57="","",IF(AB57&gt;=85,"Exceptional",IF(AB57&gt;=70,"High Performer",IF(AB57&gt;=50,"Meets Expectations",IF(AB57&gt;=30,"Below Expectations","Underperformer")))))</f>
        <v>Below Expectations</v>
      </c>
      <c r="AD57" s="51">
        <f>IF('Employee Master'!B57="","",'Employee Master'!M57)</f>
        <v>36600</v>
      </c>
      <c r="AE57" s="52">
        <f>IF('Employee Master'!B57="","",IF(AB57&gt;=85,Settings!B31,IF(AB57&gt;=70,Settings!B32,IF(AB57&gt;=50,Settings!B33,IF(AB57&gt;=30,Settings!B34,Settings!B35)))))</f>
        <v>0.03</v>
      </c>
      <c r="AF57" s="51">
        <f>IF('Employee Master'!B57="","",AD57*(1+AE57))</f>
        <v>37698</v>
      </c>
      <c r="AG57" s="51">
        <f>IF('Employee Master'!B57="","",AF57-AD57)</f>
        <v>1098</v>
      </c>
      <c r="AH57" s="51">
        <f>IF('Employee Master'!B57="","",AG57*12)</f>
        <v>13176</v>
      </c>
    </row>
    <row r="58" spans="1:34" ht="23.25" customHeight="1" x14ac:dyDescent="0.2">
      <c r="A58" s="27">
        <f>IF('Employee Master'!B58="","",ROW()-3)</f>
        <v>55</v>
      </c>
      <c r="B58" s="27" t="str">
        <f>IF('Employee Master'!B58="","",'Employee Master'!C58)</f>
        <v>Ammie</v>
      </c>
      <c r="C58" s="27" t="str">
        <f>IF('Employee Master'!B58="","",'Employee Master'!D58)</f>
        <v>In-house</v>
      </c>
      <c r="D58" s="27" t="str">
        <f>IF('Employee Master'!B58="","",'Employee Master'!E58)</f>
        <v>Sr. Controller</v>
      </c>
      <c r="E58" s="27" t="str">
        <f>IF('Employee Master'!B58="","",'Employee Master'!G58)</f>
        <v>--</v>
      </c>
      <c r="F58" s="51">
        <f>IF('Employee Master'!B58="","",'⑥ Annual Performance'!R58)</f>
        <v>12</v>
      </c>
      <c r="G58" s="103">
        <f>IF('Employee Master'!B58="","",'⑥ Annual Performance'!J58)</f>
        <v>7.630208333333334E-2</v>
      </c>
      <c r="H58" s="104">
        <f>IF('Employee Master'!B58="","",IF(G58&gt;=0.85,15,IF(G58&gt;=0.7,12,IF(G58&gt;=0.55,9,IF(G58&gt;=0.4,6,3)))))</f>
        <v>3</v>
      </c>
      <c r="I58" s="103">
        <f>IF('Employee Master'!B58="","",'⑥ Annual Performance'!Q58)</f>
        <v>0</v>
      </c>
      <c r="J58" s="104">
        <f>IF('Employee Master'!B58="","",IF(I58&gt;=0.98,10,IF(I58&gt;=0.95,8,IF(I58&gt;=0.9,6,IF(I58&gt;=0.85,4,2)))))</f>
        <v>2</v>
      </c>
      <c r="K58" s="105">
        <f>IF('Employee Master'!B58="","",'⑥ Annual Performance'!N58)</f>
        <v>0</v>
      </c>
      <c r="L58" s="104">
        <f>IF('Employee Master'!B58="","",IF(K58&gt;=1000,10,IF(K58&gt;=750,8,IF(K58&gt;=500,6,IF(K58&gt;=250,4,2)))))</f>
        <v>2</v>
      </c>
      <c r="M58" s="105">
        <f>IF('Employee Master'!B58="","",'⑥ Annual Performance'!K58)</f>
        <v>3</v>
      </c>
      <c r="N58" s="106">
        <f>IF('Employee Master'!B58="","",'⑥ Annual Performance'!L58)</f>
        <v>3.5</v>
      </c>
      <c r="O58" s="104">
        <f>IF('Employee Master'!B58="","",MIN(N58*2,10))</f>
        <v>7</v>
      </c>
      <c r="P58" s="104">
        <f>IF('Employee Master'!B58="","",IF(F58&gt;=36,5,IF(F58&gt;=24,4,IF(F58&gt;=12,3,IF(F58&gt;=6,2,1)))))</f>
        <v>3</v>
      </c>
      <c r="Q58" s="104">
        <f>IF('Employee Master'!B58="","",IF(D58="Sr. Controller",10,IF(D58="Coo",10,IF(D58="Controller",9,IF(D58="Asst. Controller",8,IF(D58="Sr. Manager",8,IF(D58="Manager",7,IF(D58="Asst. Manager",6,IF(D58="Team Lead",7,IF(D58="Asst. Team Lead",5,IF(D58="Sr. Associate",4,IF(D58="Associate",3,IF(D58="Full Stack Developer",5,IF(D58="Project Manager (S/W)",6,IF(D58="Marketing",4,4)))))))))))))))</f>
        <v>10</v>
      </c>
      <c r="R58" s="107">
        <f>IF('Employee Master'!B58="","",H58+J58+L58+O58+P58+Q58)</f>
        <v>27</v>
      </c>
      <c r="S58" s="108">
        <f>IF('Employee Master'!B58="","",3)</f>
        <v>3</v>
      </c>
      <c r="T58" s="104">
        <f>IF('Employee Master'!B58="","",MIN(S58*2,10))</f>
        <v>6</v>
      </c>
      <c r="U58" s="108">
        <f>IF('Employee Master'!B58="","",3)</f>
        <v>3</v>
      </c>
      <c r="V58" s="104">
        <f>IF('Employee Master'!B58="","",MIN(U58*2,10))</f>
        <v>6</v>
      </c>
      <c r="W58" s="108">
        <f>IF('Employee Master'!B58="","",3)</f>
        <v>3</v>
      </c>
      <c r="X58" s="104">
        <f>IF('Employee Master'!B58="","",MIN(W58*2,10))</f>
        <v>6</v>
      </c>
      <c r="Y58" s="108">
        <f>IF('Employee Master'!B58="","",3)</f>
        <v>3</v>
      </c>
      <c r="Z58" s="104">
        <f>IF('Employee Master'!B58="","",MIN(Y58*2,10))</f>
        <v>6</v>
      </c>
      <c r="AA58" s="109">
        <f>IF('Employee Master'!B58="","",T58+V58+X58+Z58)</f>
        <v>24</v>
      </c>
      <c r="AB58" s="110">
        <f>IF('Employee Master'!B58="","",R58+AA58)</f>
        <v>51</v>
      </c>
      <c r="AC58" s="27" t="str">
        <f>IF('Employee Master'!B58="","",IF(AB58&gt;=85,"Exceptional",IF(AB58&gt;=70,"High Performer",IF(AB58&gt;=50,"Meets Expectations",IF(AB58&gt;=30,"Below Expectations","Underperformer")))))</f>
        <v>Meets Expectations</v>
      </c>
      <c r="AD58" s="51">
        <f>IF('Employee Master'!B58="","",'Employee Master'!M58)</f>
        <v>481667</v>
      </c>
      <c r="AE58" s="52">
        <f>IF('Employee Master'!B58="","",IF(AB58&gt;=85,Settings!B31,IF(AB58&gt;=70,Settings!B32,IF(AB58&gt;=50,Settings!B33,IF(AB58&gt;=30,Settings!B34,Settings!B35)))))</f>
        <v>7.4999999999999997E-2</v>
      </c>
      <c r="AF58" s="51">
        <f>IF('Employee Master'!B58="","",AD58*(1+AE58))</f>
        <v>517792.02499999997</v>
      </c>
      <c r="AG58" s="51">
        <f>IF('Employee Master'!B58="","",AF58-AD58)</f>
        <v>36125.024999999965</v>
      </c>
      <c r="AH58" s="51">
        <f>IF('Employee Master'!B58="","",AG58*12)</f>
        <v>433500.29999999958</v>
      </c>
    </row>
    <row r="59" spans="1:34" ht="23.25" customHeight="1" x14ac:dyDescent="0.2">
      <c r="A59" s="27">
        <f>IF('Employee Master'!B59="","",ROW()-3)</f>
        <v>56</v>
      </c>
      <c r="B59" s="27" t="str">
        <f>IF('Employee Master'!B59="","",'Employee Master'!C59)</f>
        <v>Pranjali.M</v>
      </c>
      <c r="C59" s="27" t="str">
        <f>IF('Employee Master'!B59="","",'Employee Master'!D59)</f>
        <v>Remote</v>
      </c>
      <c r="D59" s="27" t="str">
        <f>IF('Employee Master'!B59="","",'Employee Master'!E59)</f>
        <v>Associate</v>
      </c>
      <c r="E59" s="27" t="str">
        <f>IF('Employee Master'!B59="","",'Employee Master'!G59)</f>
        <v>Ayushi</v>
      </c>
      <c r="F59" s="51">
        <f>IF('Employee Master'!B59="","",'⑥ Annual Performance'!R59)</f>
        <v>12</v>
      </c>
      <c r="G59" s="103">
        <f>IF('Employee Master'!B59="","",'⑥ Annual Performance'!J59)</f>
        <v>8.0468750000000006E-2</v>
      </c>
      <c r="H59" s="104">
        <f>IF('Employee Master'!B59="","",IF(G59&gt;=0.85,15,IF(G59&gt;=0.7,12,IF(G59&gt;=0.55,9,IF(G59&gt;=0.4,6,3)))))</f>
        <v>3</v>
      </c>
      <c r="I59" s="103">
        <f>IF('Employee Master'!B59="","",'⑥ Annual Performance'!Q59)</f>
        <v>0</v>
      </c>
      <c r="J59" s="104">
        <f>IF('Employee Master'!B59="","",IF(I59&gt;=0.98,10,IF(I59&gt;=0.95,8,IF(I59&gt;=0.9,6,IF(I59&gt;=0.85,4,2)))))</f>
        <v>2</v>
      </c>
      <c r="K59" s="105">
        <f>IF('Employee Master'!B59="","",'⑥ Annual Performance'!N59)</f>
        <v>0</v>
      </c>
      <c r="L59" s="104">
        <f>IF('Employee Master'!B59="","",IF(K59&gt;=1000,10,IF(K59&gt;=750,8,IF(K59&gt;=500,6,IF(K59&gt;=250,4,2)))))</f>
        <v>2</v>
      </c>
      <c r="M59" s="105">
        <f>IF('Employee Master'!B59="","",'⑥ Annual Performance'!K59)</f>
        <v>3</v>
      </c>
      <c r="N59" s="106">
        <f>IF('Employee Master'!B59="","",'⑥ Annual Performance'!L59)</f>
        <v>3.5</v>
      </c>
      <c r="O59" s="104">
        <f>IF('Employee Master'!B59="","",MIN(N59*2,10))</f>
        <v>7</v>
      </c>
      <c r="P59" s="104">
        <f>IF('Employee Master'!B59="","",IF(F59&gt;=36,5,IF(F59&gt;=24,4,IF(F59&gt;=12,3,IF(F59&gt;=6,2,1)))))</f>
        <v>3</v>
      </c>
      <c r="Q59" s="104">
        <f>IF('Employee Master'!B59="","",IF(D59="Sr. Controller",10,IF(D59="Coo",10,IF(D59="Controller",9,IF(D59="Asst. Controller",8,IF(D59="Sr. Manager",8,IF(D59="Manager",7,IF(D59="Asst. Manager",6,IF(D59="Team Lead",7,IF(D59="Asst. Team Lead",5,IF(D59="Sr. Associate",4,IF(D59="Associate",3,IF(D59="Full Stack Developer",5,IF(D59="Project Manager (S/W)",6,IF(D59="Marketing",4,4)))))))))))))))</f>
        <v>3</v>
      </c>
      <c r="R59" s="107">
        <f>IF('Employee Master'!B59="","",H59+J59+L59+O59+P59+Q59)</f>
        <v>20</v>
      </c>
      <c r="S59" s="108">
        <f>IF('Employee Master'!B59="","",3)</f>
        <v>3</v>
      </c>
      <c r="T59" s="104">
        <f>IF('Employee Master'!B59="","",MIN(S59*2,10))</f>
        <v>6</v>
      </c>
      <c r="U59" s="108">
        <f>IF('Employee Master'!B59="","",3)</f>
        <v>3</v>
      </c>
      <c r="V59" s="104">
        <f>IF('Employee Master'!B59="","",MIN(U59*2,10))</f>
        <v>6</v>
      </c>
      <c r="W59" s="108">
        <f>IF('Employee Master'!B59="","",3)</f>
        <v>3</v>
      </c>
      <c r="X59" s="104">
        <f>IF('Employee Master'!B59="","",MIN(W59*2,10))</f>
        <v>6</v>
      </c>
      <c r="Y59" s="108">
        <f>IF('Employee Master'!B59="","",3)</f>
        <v>3</v>
      </c>
      <c r="Z59" s="104">
        <f>IF('Employee Master'!B59="","",MIN(Y59*2,10))</f>
        <v>6</v>
      </c>
      <c r="AA59" s="109">
        <f>IF('Employee Master'!B59="","",T59+V59+X59+Z59)</f>
        <v>24</v>
      </c>
      <c r="AB59" s="110">
        <f>IF('Employee Master'!B59="","",R59+AA59)</f>
        <v>44</v>
      </c>
      <c r="AC59" s="27" t="str">
        <f>IF('Employee Master'!B59="","",IF(AB59&gt;=85,"Exceptional",IF(AB59&gt;=70,"High Performer",IF(AB59&gt;=50,"Meets Expectations",IF(AB59&gt;=30,"Below Expectations","Underperformer")))))</f>
        <v>Below Expectations</v>
      </c>
      <c r="AD59" s="51">
        <f>IF('Employee Master'!B59="","",'Employee Master'!M59)</f>
        <v>17553</v>
      </c>
      <c r="AE59" s="52">
        <f>IF('Employee Master'!B59="","",IF(AB59&gt;=85,Settings!B31,IF(AB59&gt;=70,Settings!B32,IF(AB59&gt;=50,Settings!B33,IF(AB59&gt;=30,Settings!B34,Settings!B35)))))</f>
        <v>0.03</v>
      </c>
      <c r="AF59" s="51">
        <f>IF('Employee Master'!B59="","",AD59*(1+AE59))</f>
        <v>18079.59</v>
      </c>
      <c r="AG59" s="51">
        <f>IF('Employee Master'!B59="","",AF59-AD59)</f>
        <v>526.59000000000015</v>
      </c>
      <c r="AH59" s="51">
        <f>IF('Employee Master'!B59="","",AG59*12)</f>
        <v>6319.0800000000017</v>
      </c>
    </row>
    <row r="60" spans="1:34" ht="23.25" customHeight="1" x14ac:dyDescent="0.2">
      <c r="A60" s="27">
        <f>IF('Employee Master'!B60="","",ROW()-3)</f>
        <v>57</v>
      </c>
      <c r="B60" s="27" t="str">
        <f>IF('Employee Master'!B60="","",'Employee Master'!C60)</f>
        <v>Shikha.S</v>
      </c>
      <c r="C60" s="27" t="str">
        <f>IF('Employee Master'!B60="","",'Employee Master'!D60)</f>
        <v>Remote</v>
      </c>
      <c r="D60" s="27" t="str">
        <f>IF('Employee Master'!B60="","",'Employee Master'!E60)</f>
        <v>Associate</v>
      </c>
      <c r="E60" s="27" t="str">
        <f>IF('Employee Master'!B60="","",'Employee Master'!G60)</f>
        <v>Nikita Shah</v>
      </c>
      <c r="F60" s="51">
        <f>IF('Employee Master'!B60="","",'⑥ Annual Performance'!R60)</f>
        <v>12</v>
      </c>
      <c r="G60" s="103">
        <f>IF('Employee Master'!B60="","",'⑥ Annual Performance'!J60)</f>
        <v>4.5729166666666668E-2</v>
      </c>
      <c r="H60" s="104">
        <f>IF('Employee Master'!B60="","",IF(G60&gt;=0.85,15,IF(G60&gt;=0.7,12,IF(G60&gt;=0.55,9,IF(G60&gt;=0.4,6,3)))))</f>
        <v>3</v>
      </c>
      <c r="I60" s="103">
        <f>IF('Employee Master'!B60="","",'⑥ Annual Performance'!Q60)</f>
        <v>0</v>
      </c>
      <c r="J60" s="104">
        <f>IF('Employee Master'!B60="","",IF(I60&gt;=0.98,10,IF(I60&gt;=0.95,8,IF(I60&gt;=0.9,6,IF(I60&gt;=0.85,4,2)))))</f>
        <v>2</v>
      </c>
      <c r="K60" s="105">
        <f>IF('Employee Master'!B60="","",'⑥ Annual Performance'!N60)</f>
        <v>0</v>
      </c>
      <c r="L60" s="104">
        <f>IF('Employee Master'!B60="","",IF(K60&gt;=1000,10,IF(K60&gt;=750,8,IF(K60&gt;=500,6,IF(K60&gt;=250,4,2)))))</f>
        <v>2</v>
      </c>
      <c r="M60" s="105">
        <f>IF('Employee Master'!B60="","",'⑥ Annual Performance'!K60)</f>
        <v>3</v>
      </c>
      <c r="N60" s="106">
        <f>IF('Employee Master'!B60="","",'⑥ Annual Performance'!L60)</f>
        <v>3.5</v>
      </c>
      <c r="O60" s="104">
        <f>IF('Employee Master'!B60="","",MIN(N60*2,10))</f>
        <v>7</v>
      </c>
      <c r="P60" s="104">
        <f>IF('Employee Master'!B60="","",IF(F60&gt;=36,5,IF(F60&gt;=24,4,IF(F60&gt;=12,3,IF(F60&gt;=6,2,1)))))</f>
        <v>3</v>
      </c>
      <c r="Q60" s="104">
        <f>IF('Employee Master'!B60="","",IF(D60="Sr. Controller",10,IF(D60="Coo",10,IF(D60="Controller",9,IF(D60="Asst. Controller",8,IF(D60="Sr. Manager",8,IF(D60="Manager",7,IF(D60="Asst. Manager",6,IF(D60="Team Lead",7,IF(D60="Asst. Team Lead",5,IF(D60="Sr. Associate",4,IF(D60="Associate",3,IF(D60="Full Stack Developer",5,IF(D60="Project Manager (S/W)",6,IF(D60="Marketing",4,4)))))))))))))))</f>
        <v>3</v>
      </c>
      <c r="R60" s="107">
        <f>IF('Employee Master'!B60="","",H60+J60+L60+O60+P60+Q60)</f>
        <v>20</v>
      </c>
      <c r="S60" s="108">
        <f>IF('Employee Master'!B60="","",3)</f>
        <v>3</v>
      </c>
      <c r="T60" s="104">
        <f>IF('Employee Master'!B60="","",MIN(S60*2,10))</f>
        <v>6</v>
      </c>
      <c r="U60" s="108">
        <f>IF('Employee Master'!B60="","",3)</f>
        <v>3</v>
      </c>
      <c r="V60" s="104">
        <f>IF('Employee Master'!B60="","",MIN(U60*2,10))</f>
        <v>6</v>
      </c>
      <c r="W60" s="108">
        <f>IF('Employee Master'!B60="","",3)</f>
        <v>3</v>
      </c>
      <c r="X60" s="104">
        <f>IF('Employee Master'!B60="","",MIN(W60*2,10))</f>
        <v>6</v>
      </c>
      <c r="Y60" s="108">
        <f>IF('Employee Master'!B60="","",3)</f>
        <v>3</v>
      </c>
      <c r="Z60" s="104">
        <f>IF('Employee Master'!B60="","",MIN(Y60*2,10))</f>
        <v>6</v>
      </c>
      <c r="AA60" s="109">
        <f>IF('Employee Master'!B60="","",T60+V60+X60+Z60)</f>
        <v>24</v>
      </c>
      <c r="AB60" s="110">
        <f>IF('Employee Master'!B60="","",R60+AA60)</f>
        <v>44</v>
      </c>
      <c r="AC60" s="27" t="str">
        <f>IF('Employee Master'!B60="","",IF(AB60&gt;=85,"Exceptional",IF(AB60&gt;=70,"High Performer",IF(AB60&gt;=50,"Meets Expectations",IF(AB60&gt;=30,"Below Expectations","Underperformer")))))</f>
        <v>Below Expectations</v>
      </c>
      <c r="AD60" s="51">
        <f>IF('Employee Master'!B60="","",'Employee Master'!M60)</f>
        <v>40388</v>
      </c>
      <c r="AE60" s="52">
        <f>IF('Employee Master'!B60="","",IF(AB60&gt;=85,Settings!B31,IF(AB60&gt;=70,Settings!B32,IF(AB60&gt;=50,Settings!B33,IF(AB60&gt;=30,Settings!B34,Settings!B35)))))</f>
        <v>0.03</v>
      </c>
      <c r="AF60" s="51">
        <f>IF('Employee Master'!B60="","",AD60*(1+AE60))</f>
        <v>41599.64</v>
      </c>
      <c r="AG60" s="51">
        <f>IF('Employee Master'!B60="","",AF60-AD60)</f>
        <v>1211.6399999999994</v>
      </c>
      <c r="AH60" s="51">
        <f>IF('Employee Master'!B60="","",AG60*12)</f>
        <v>14539.679999999993</v>
      </c>
    </row>
    <row r="61" spans="1:34" ht="23.25" customHeight="1" x14ac:dyDescent="0.2">
      <c r="A61" s="27">
        <f>IF('Employee Master'!B61="","",ROW()-3)</f>
        <v>58</v>
      </c>
      <c r="B61" s="27" t="str">
        <f>IF('Employee Master'!B61="","",'Employee Master'!C61)</f>
        <v>Rutu.G</v>
      </c>
      <c r="C61" s="27" t="str">
        <f>IF('Employee Master'!B61="","",'Employee Master'!D61)</f>
        <v>Remote</v>
      </c>
      <c r="D61" s="27" t="str">
        <f>IF('Employee Master'!B61="","",'Employee Master'!E61)</f>
        <v>Associate</v>
      </c>
      <c r="E61" s="27" t="str">
        <f>IF('Employee Master'!B61="","",'Employee Master'!G61)</f>
        <v>Nikita Shah</v>
      </c>
      <c r="F61" s="51">
        <f>IF('Employee Master'!B61="","",'⑥ Annual Performance'!R61)</f>
        <v>12</v>
      </c>
      <c r="G61" s="103">
        <f>IF('Employee Master'!B61="","",'⑥ Annual Performance'!J61)</f>
        <v>8.4166666666666667E-2</v>
      </c>
      <c r="H61" s="104">
        <f>IF('Employee Master'!B61="","",IF(G61&gt;=0.85,15,IF(G61&gt;=0.7,12,IF(G61&gt;=0.55,9,IF(G61&gt;=0.4,6,3)))))</f>
        <v>3</v>
      </c>
      <c r="I61" s="103">
        <f>IF('Employee Master'!B61="","",'⑥ Annual Performance'!Q61)</f>
        <v>0</v>
      </c>
      <c r="J61" s="104">
        <f>IF('Employee Master'!B61="","",IF(I61&gt;=0.98,10,IF(I61&gt;=0.95,8,IF(I61&gt;=0.9,6,IF(I61&gt;=0.85,4,2)))))</f>
        <v>2</v>
      </c>
      <c r="K61" s="105">
        <f>IF('Employee Master'!B61="","",'⑥ Annual Performance'!N61)</f>
        <v>0</v>
      </c>
      <c r="L61" s="104">
        <f>IF('Employee Master'!B61="","",IF(K61&gt;=1000,10,IF(K61&gt;=750,8,IF(K61&gt;=500,6,IF(K61&gt;=250,4,2)))))</f>
        <v>2</v>
      </c>
      <c r="M61" s="105">
        <f>IF('Employee Master'!B61="","",'⑥ Annual Performance'!K61)</f>
        <v>3</v>
      </c>
      <c r="N61" s="106">
        <f>IF('Employee Master'!B61="","",'⑥ Annual Performance'!L61)</f>
        <v>3.5</v>
      </c>
      <c r="O61" s="104">
        <f>IF('Employee Master'!B61="","",MIN(N61*2,10))</f>
        <v>7</v>
      </c>
      <c r="P61" s="104">
        <f>IF('Employee Master'!B61="","",IF(F61&gt;=36,5,IF(F61&gt;=24,4,IF(F61&gt;=12,3,IF(F61&gt;=6,2,1)))))</f>
        <v>3</v>
      </c>
      <c r="Q61" s="104">
        <f>IF('Employee Master'!B61="","",IF(D61="Sr. Controller",10,IF(D61="Coo",10,IF(D61="Controller",9,IF(D61="Asst. Controller",8,IF(D61="Sr. Manager",8,IF(D61="Manager",7,IF(D61="Asst. Manager",6,IF(D61="Team Lead",7,IF(D61="Asst. Team Lead",5,IF(D61="Sr. Associate",4,IF(D61="Associate",3,IF(D61="Full Stack Developer",5,IF(D61="Project Manager (S/W)",6,IF(D61="Marketing",4,4)))))))))))))))</f>
        <v>3</v>
      </c>
      <c r="R61" s="107">
        <f>IF('Employee Master'!B61="","",H61+J61+L61+O61+P61+Q61)</f>
        <v>20</v>
      </c>
      <c r="S61" s="108">
        <f>IF('Employee Master'!B61="","",3)</f>
        <v>3</v>
      </c>
      <c r="T61" s="104">
        <f>IF('Employee Master'!B61="","",MIN(S61*2,10))</f>
        <v>6</v>
      </c>
      <c r="U61" s="108">
        <f>IF('Employee Master'!B61="","",3)</f>
        <v>3</v>
      </c>
      <c r="V61" s="104">
        <f>IF('Employee Master'!B61="","",MIN(U61*2,10))</f>
        <v>6</v>
      </c>
      <c r="W61" s="108">
        <f>IF('Employee Master'!B61="","",3)</f>
        <v>3</v>
      </c>
      <c r="X61" s="104">
        <f>IF('Employee Master'!B61="","",MIN(W61*2,10))</f>
        <v>6</v>
      </c>
      <c r="Y61" s="108">
        <f>IF('Employee Master'!B61="","",3)</f>
        <v>3</v>
      </c>
      <c r="Z61" s="104">
        <f>IF('Employee Master'!B61="","",MIN(Y61*2,10))</f>
        <v>6</v>
      </c>
      <c r="AA61" s="109">
        <f>IF('Employee Master'!B61="","",T61+V61+X61+Z61)</f>
        <v>24</v>
      </c>
      <c r="AB61" s="110">
        <f>IF('Employee Master'!B61="","",R61+AA61)</f>
        <v>44</v>
      </c>
      <c r="AC61" s="27" t="str">
        <f>IF('Employee Master'!B61="","",IF(AB61&gt;=85,"Exceptional",IF(AB61&gt;=70,"High Performer",IF(AB61&gt;=50,"Meets Expectations",IF(AB61&gt;=30,"Below Expectations","Underperformer")))))</f>
        <v>Below Expectations</v>
      </c>
      <c r="AD61" s="51">
        <f>IF('Employee Master'!B61="","",'Employee Master'!M61)</f>
        <v>31433</v>
      </c>
      <c r="AE61" s="52">
        <f>IF('Employee Master'!B61="","",IF(AB61&gt;=85,Settings!B31,IF(AB61&gt;=70,Settings!B32,IF(AB61&gt;=50,Settings!B33,IF(AB61&gt;=30,Settings!B34,Settings!B35)))))</f>
        <v>0.03</v>
      </c>
      <c r="AF61" s="51">
        <f>IF('Employee Master'!B61="","",AD61*(1+AE61))</f>
        <v>32375.99</v>
      </c>
      <c r="AG61" s="51">
        <f>IF('Employee Master'!B61="","",AF61-AD61)</f>
        <v>942.9900000000016</v>
      </c>
      <c r="AH61" s="51">
        <f>IF('Employee Master'!B61="","",AG61*12)</f>
        <v>11315.880000000019</v>
      </c>
    </row>
    <row r="62" spans="1:34" ht="23.25" customHeight="1" x14ac:dyDescent="0.2">
      <c r="A62" s="27">
        <f>IF('Employee Master'!B62="","",ROW()-3)</f>
        <v>59</v>
      </c>
      <c r="B62" s="27" t="str">
        <f>IF('Employee Master'!B62="","",'Employee Master'!C62)</f>
        <v>Sachi</v>
      </c>
      <c r="C62" s="27" t="str">
        <f>IF('Employee Master'!B62="","",'Employee Master'!D62)</f>
        <v>In-house</v>
      </c>
      <c r="D62" s="27" t="str">
        <f>IF('Employee Master'!B62="","",'Employee Master'!E62)</f>
        <v>Coo</v>
      </c>
      <c r="E62" s="27" t="str">
        <f>IF('Employee Master'!B62="","",'Employee Master'!G62)</f>
        <v>--</v>
      </c>
      <c r="F62" s="51">
        <f>IF('Employee Master'!B62="","",'⑥ Annual Performance'!R62)</f>
        <v>12</v>
      </c>
      <c r="G62" s="103">
        <f>IF('Employee Master'!B62="","",'⑥ Annual Performance'!J62)</f>
        <v>6.5468750000000006E-2</v>
      </c>
      <c r="H62" s="104">
        <f>IF('Employee Master'!B62="","",IF(G62&gt;=0.85,15,IF(G62&gt;=0.7,12,IF(G62&gt;=0.55,9,IF(G62&gt;=0.4,6,3)))))</f>
        <v>3</v>
      </c>
      <c r="I62" s="103">
        <f>IF('Employee Master'!B62="","",'⑥ Annual Performance'!Q62)</f>
        <v>0</v>
      </c>
      <c r="J62" s="104">
        <f>IF('Employee Master'!B62="","",IF(I62&gt;=0.98,10,IF(I62&gt;=0.95,8,IF(I62&gt;=0.9,6,IF(I62&gt;=0.85,4,2)))))</f>
        <v>2</v>
      </c>
      <c r="K62" s="105">
        <f>IF('Employee Master'!B62="","",'⑥ Annual Performance'!N62)</f>
        <v>0</v>
      </c>
      <c r="L62" s="104">
        <f>IF('Employee Master'!B62="","",IF(K62&gt;=1000,10,IF(K62&gt;=750,8,IF(K62&gt;=500,6,IF(K62&gt;=250,4,2)))))</f>
        <v>2</v>
      </c>
      <c r="M62" s="105">
        <f>IF('Employee Master'!B62="","",'⑥ Annual Performance'!K62)</f>
        <v>5</v>
      </c>
      <c r="N62" s="106">
        <f>IF('Employee Master'!B62="","",'⑥ Annual Performance'!L62)</f>
        <v>3.5</v>
      </c>
      <c r="O62" s="104">
        <f>IF('Employee Master'!B62="","",MIN(N62*2,10))</f>
        <v>7</v>
      </c>
      <c r="P62" s="104">
        <f>IF('Employee Master'!B62="","",IF(F62&gt;=36,5,IF(F62&gt;=24,4,IF(F62&gt;=12,3,IF(F62&gt;=6,2,1)))))</f>
        <v>3</v>
      </c>
      <c r="Q62" s="104">
        <f>IF('Employee Master'!B62="","",IF(D62="Sr. Controller",10,IF(D62="Coo",10,IF(D62="Controller",9,IF(D62="Asst. Controller",8,IF(D62="Sr. Manager",8,IF(D62="Manager",7,IF(D62="Asst. Manager",6,IF(D62="Team Lead",7,IF(D62="Asst. Team Lead",5,IF(D62="Sr. Associate",4,IF(D62="Associate",3,IF(D62="Full Stack Developer",5,IF(D62="Project Manager (S/W)",6,IF(D62="Marketing",4,4)))))))))))))))</f>
        <v>10</v>
      </c>
      <c r="R62" s="107">
        <f>IF('Employee Master'!B62="","",H62+J62+L62+O62+P62+Q62)</f>
        <v>27</v>
      </c>
      <c r="S62" s="108">
        <f>IF('Employee Master'!B62="","",3)</f>
        <v>3</v>
      </c>
      <c r="T62" s="104">
        <f>IF('Employee Master'!B62="","",MIN(S62*2,10))</f>
        <v>6</v>
      </c>
      <c r="U62" s="108">
        <f>IF('Employee Master'!B62="","",3)</f>
        <v>3</v>
      </c>
      <c r="V62" s="104">
        <f>IF('Employee Master'!B62="","",MIN(U62*2,10))</f>
        <v>6</v>
      </c>
      <c r="W62" s="108">
        <f>IF('Employee Master'!B62="","",3)</f>
        <v>3</v>
      </c>
      <c r="X62" s="104">
        <f>IF('Employee Master'!B62="","",MIN(W62*2,10))</f>
        <v>6</v>
      </c>
      <c r="Y62" s="108">
        <f>IF('Employee Master'!B62="","",3)</f>
        <v>3</v>
      </c>
      <c r="Z62" s="104">
        <f>IF('Employee Master'!B62="","",MIN(Y62*2,10))</f>
        <v>6</v>
      </c>
      <c r="AA62" s="109">
        <f>IF('Employee Master'!B62="","",T62+V62+X62+Z62)</f>
        <v>24</v>
      </c>
      <c r="AB62" s="110">
        <f>IF('Employee Master'!B62="","",R62+AA62)</f>
        <v>51</v>
      </c>
      <c r="AC62" s="27" t="str">
        <f>IF('Employee Master'!B62="","",IF(AB62&gt;=85,"Exceptional",IF(AB62&gt;=70,"High Performer",IF(AB62&gt;=50,"Meets Expectations",IF(AB62&gt;=30,"Below Expectations","Underperformer")))))</f>
        <v>Meets Expectations</v>
      </c>
      <c r="AD62" s="51">
        <f>IF('Employee Master'!B62="","",'Employee Master'!M62)</f>
        <v>0</v>
      </c>
      <c r="AE62" s="52">
        <f>IF('Employee Master'!B62="","",IF(AB62&gt;=85,Settings!B31,IF(AB62&gt;=70,Settings!B32,IF(AB62&gt;=50,Settings!B33,IF(AB62&gt;=30,Settings!B34,Settings!B35)))))</f>
        <v>7.4999999999999997E-2</v>
      </c>
      <c r="AF62" s="51">
        <f>IF('Employee Master'!B62="","",AD62*(1+AE62))</f>
        <v>0</v>
      </c>
      <c r="AG62" s="51">
        <f>IF('Employee Master'!B62="","",AF62-AD62)</f>
        <v>0</v>
      </c>
      <c r="AH62" s="51">
        <f>IF('Employee Master'!B62="","",AG62*12)</f>
        <v>0</v>
      </c>
    </row>
    <row r="63" spans="1:34" ht="23.25" customHeight="1" x14ac:dyDescent="0.2">
      <c r="A63" s="27">
        <f>IF('Employee Master'!B63="","",ROW()-3)</f>
        <v>60</v>
      </c>
      <c r="B63" s="27" t="str">
        <f>IF('Employee Master'!B63="","",'Employee Master'!C63)</f>
        <v>Aishwarya.V</v>
      </c>
      <c r="C63" s="27" t="str">
        <f>IF('Employee Master'!B63="","",'Employee Master'!D63)</f>
        <v>Remote</v>
      </c>
      <c r="D63" s="27" t="str">
        <f>IF('Employee Master'!B63="","",'Employee Master'!E63)</f>
        <v>Asst. Team Lead</v>
      </c>
      <c r="E63" s="27" t="str">
        <f>IF('Employee Master'!B63="","",'Employee Master'!G63)</f>
        <v>Jasleen.D</v>
      </c>
      <c r="F63" s="51">
        <f>IF('Employee Master'!B63="","",'⑥ Annual Performance'!R63)</f>
        <v>12</v>
      </c>
      <c r="G63" s="103">
        <f>IF('Employee Master'!B63="","",'⑥ Annual Performance'!J63)</f>
        <v>0</v>
      </c>
      <c r="H63" s="104">
        <f>IF('Employee Master'!B63="","",IF(G63&gt;=0.85,15,IF(G63&gt;=0.7,12,IF(G63&gt;=0.55,9,IF(G63&gt;=0.4,6,3)))))</f>
        <v>3</v>
      </c>
      <c r="I63" s="103">
        <f>IF('Employee Master'!B63="","",'⑥ Annual Performance'!Q63)</f>
        <v>0</v>
      </c>
      <c r="J63" s="104">
        <f>IF('Employee Master'!B63="","",IF(I63&gt;=0.98,10,IF(I63&gt;=0.95,8,IF(I63&gt;=0.9,6,IF(I63&gt;=0.85,4,2)))))</f>
        <v>2</v>
      </c>
      <c r="K63" s="105">
        <f>IF('Employee Master'!B63="","",'⑥ Annual Performance'!N63)</f>
        <v>0</v>
      </c>
      <c r="L63" s="104">
        <f>IF('Employee Master'!B63="","",IF(K63&gt;=1000,10,IF(K63&gt;=750,8,IF(K63&gt;=500,6,IF(K63&gt;=250,4,2)))))</f>
        <v>2</v>
      </c>
      <c r="M63" s="105">
        <f>IF('Employee Master'!B63="","",'⑥ Annual Performance'!K63)</f>
        <v>0</v>
      </c>
      <c r="N63" s="106">
        <f>IF('Employee Master'!B63="","",'⑥ Annual Performance'!L63)</f>
        <v>3.5</v>
      </c>
      <c r="O63" s="104">
        <f>IF('Employee Master'!B63="","",MIN(N63*2,10))</f>
        <v>7</v>
      </c>
      <c r="P63" s="104">
        <f>IF('Employee Master'!B63="","",IF(F63&gt;=36,5,IF(F63&gt;=24,4,IF(F63&gt;=12,3,IF(F63&gt;=6,2,1)))))</f>
        <v>3</v>
      </c>
      <c r="Q63" s="104">
        <f>IF('Employee Master'!B63="","",IF(D63="Sr. Controller",10,IF(D63="Coo",10,IF(D63="Controller",9,IF(D63="Asst. Controller",8,IF(D63="Sr. Manager",8,IF(D63="Manager",7,IF(D63="Asst. Manager",6,IF(D63="Team Lead",7,IF(D63="Asst. Team Lead",5,IF(D63="Sr. Associate",4,IF(D63="Associate",3,IF(D63="Full Stack Developer",5,IF(D63="Project Manager (S/W)",6,IF(D63="Marketing",4,4)))))))))))))))</f>
        <v>5</v>
      </c>
      <c r="R63" s="107">
        <f>IF('Employee Master'!B63="","",H63+J63+L63+O63+P63+Q63)</f>
        <v>22</v>
      </c>
      <c r="S63" s="108">
        <f>IF('Employee Master'!B63="","",3)</f>
        <v>3</v>
      </c>
      <c r="T63" s="104">
        <f>IF('Employee Master'!B63="","",MIN(S63*2,10))</f>
        <v>6</v>
      </c>
      <c r="U63" s="108">
        <f>IF('Employee Master'!B63="","",3)</f>
        <v>3</v>
      </c>
      <c r="V63" s="104">
        <f>IF('Employee Master'!B63="","",MIN(U63*2,10))</f>
        <v>6</v>
      </c>
      <c r="W63" s="108">
        <f>IF('Employee Master'!B63="","",3)</f>
        <v>3</v>
      </c>
      <c r="X63" s="104">
        <f>IF('Employee Master'!B63="","",MIN(W63*2,10))</f>
        <v>6</v>
      </c>
      <c r="Y63" s="108">
        <f>IF('Employee Master'!B63="","",3)</f>
        <v>3</v>
      </c>
      <c r="Z63" s="104">
        <f>IF('Employee Master'!B63="","",MIN(Y63*2,10))</f>
        <v>6</v>
      </c>
      <c r="AA63" s="109">
        <f>IF('Employee Master'!B63="","",T63+V63+X63+Z63)</f>
        <v>24</v>
      </c>
      <c r="AB63" s="110">
        <f>IF('Employee Master'!B63="","",R63+AA63)</f>
        <v>46</v>
      </c>
      <c r="AC63" s="27" t="str">
        <f>IF('Employee Master'!B63="","",IF(AB63&gt;=85,"Exceptional",IF(AB63&gt;=70,"High Performer",IF(AB63&gt;=50,"Meets Expectations",IF(AB63&gt;=30,"Below Expectations","Underperformer")))))</f>
        <v>Below Expectations</v>
      </c>
      <c r="AD63" s="51">
        <f>IF('Employee Master'!B63="","",'Employee Master'!M63)</f>
        <v>62258</v>
      </c>
      <c r="AE63" s="52">
        <f>IF('Employee Master'!B63="","",IF(AB63&gt;=85,Settings!B31,IF(AB63&gt;=70,Settings!B32,IF(AB63&gt;=50,Settings!B33,IF(AB63&gt;=30,Settings!B34,Settings!B35)))))</f>
        <v>0.03</v>
      </c>
      <c r="AF63" s="51">
        <f>IF('Employee Master'!B63="","",AD63*(1+AE63))</f>
        <v>64125.740000000005</v>
      </c>
      <c r="AG63" s="51">
        <f>IF('Employee Master'!B63="","",AF63-AD63)</f>
        <v>1867.7400000000052</v>
      </c>
      <c r="AH63" s="51">
        <f>IF('Employee Master'!B63="","",AG63*12)</f>
        <v>22412.880000000063</v>
      </c>
    </row>
    <row r="64" spans="1:34" ht="23.25" customHeight="1" x14ac:dyDescent="0.2">
      <c r="A64" s="27">
        <f>IF('Employee Master'!B64="","",ROW()-3)</f>
        <v>61</v>
      </c>
      <c r="B64" s="27" t="str">
        <f>IF('Employee Master'!B64="","",'Employee Master'!C64)</f>
        <v>Tejas.P</v>
      </c>
      <c r="C64" s="27" t="str">
        <f>IF('Employee Master'!B64="","",'Employee Master'!D64)</f>
        <v>Remote</v>
      </c>
      <c r="D64" s="27" t="str">
        <f>IF('Employee Master'!B64="","",'Employee Master'!E64)</f>
        <v>Sr. Associate</v>
      </c>
      <c r="E64" s="27" t="str">
        <f>IF('Employee Master'!B64="","",'Employee Master'!G64)</f>
        <v>Jasleen.D</v>
      </c>
      <c r="F64" s="51">
        <f>IF('Employee Master'!B64="","",'⑥ Annual Performance'!R64)</f>
        <v>12</v>
      </c>
      <c r="G64" s="103">
        <f>IF('Employee Master'!B64="","",'⑥ Annual Performance'!J64)</f>
        <v>7.994791666666666E-2</v>
      </c>
      <c r="H64" s="104">
        <f>IF('Employee Master'!B64="","",IF(G64&gt;=0.85,15,IF(G64&gt;=0.7,12,IF(G64&gt;=0.55,9,IF(G64&gt;=0.4,6,3)))))</f>
        <v>3</v>
      </c>
      <c r="I64" s="103">
        <f>IF('Employee Master'!B64="","",'⑥ Annual Performance'!Q64)</f>
        <v>0</v>
      </c>
      <c r="J64" s="104">
        <f>IF('Employee Master'!B64="","",IF(I64&gt;=0.98,10,IF(I64&gt;=0.95,8,IF(I64&gt;=0.9,6,IF(I64&gt;=0.85,4,2)))))</f>
        <v>2</v>
      </c>
      <c r="K64" s="105">
        <f>IF('Employee Master'!B64="","",'⑥ Annual Performance'!N64)</f>
        <v>0</v>
      </c>
      <c r="L64" s="104">
        <f>IF('Employee Master'!B64="","",IF(K64&gt;=1000,10,IF(K64&gt;=750,8,IF(K64&gt;=500,6,IF(K64&gt;=250,4,2)))))</f>
        <v>2</v>
      </c>
      <c r="M64" s="105">
        <f>IF('Employee Master'!B64="","",'⑥ Annual Performance'!K64)</f>
        <v>2</v>
      </c>
      <c r="N64" s="106">
        <f>IF('Employee Master'!B64="","",'⑥ Annual Performance'!L64)</f>
        <v>3.5</v>
      </c>
      <c r="O64" s="104">
        <f>IF('Employee Master'!B64="","",MIN(N64*2,10))</f>
        <v>7</v>
      </c>
      <c r="P64" s="104">
        <f>IF('Employee Master'!B64="","",IF(F64&gt;=36,5,IF(F64&gt;=24,4,IF(F64&gt;=12,3,IF(F64&gt;=6,2,1)))))</f>
        <v>3</v>
      </c>
      <c r="Q64" s="104">
        <f>IF('Employee Master'!B64="","",IF(D64="Sr. Controller",10,IF(D64="Coo",10,IF(D64="Controller",9,IF(D64="Asst. Controller",8,IF(D64="Sr. Manager",8,IF(D64="Manager",7,IF(D64="Asst. Manager",6,IF(D64="Team Lead",7,IF(D64="Asst. Team Lead",5,IF(D64="Sr. Associate",4,IF(D64="Associate",3,IF(D64="Full Stack Developer",5,IF(D64="Project Manager (S/W)",6,IF(D64="Marketing",4,4)))))))))))))))</f>
        <v>4</v>
      </c>
      <c r="R64" s="107">
        <f>IF('Employee Master'!B64="","",H64+J64+L64+O64+P64+Q64)</f>
        <v>21</v>
      </c>
      <c r="S64" s="108">
        <f>IF('Employee Master'!B64="","",3)</f>
        <v>3</v>
      </c>
      <c r="T64" s="104">
        <f>IF('Employee Master'!B64="","",MIN(S64*2,10))</f>
        <v>6</v>
      </c>
      <c r="U64" s="108">
        <f>IF('Employee Master'!B64="","",3)</f>
        <v>3</v>
      </c>
      <c r="V64" s="104">
        <f>IF('Employee Master'!B64="","",MIN(U64*2,10))</f>
        <v>6</v>
      </c>
      <c r="W64" s="108">
        <f>IF('Employee Master'!B64="","",3)</f>
        <v>3</v>
      </c>
      <c r="X64" s="104">
        <f>IF('Employee Master'!B64="","",MIN(W64*2,10))</f>
        <v>6</v>
      </c>
      <c r="Y64" s="108">
        <f>IF('Employee Master'!B64="","",3)</f>
        <v>3</v>
      </c>
      <c r="Z64" s="104">
        <f>IF('Employee Master'!B64="","",MIN(Y64*2,10))</f>
        <v>6</v>
      </c>
      <c r="AA64" s="109">
        <f>IF('Employee Master'!B64="","",T64+V64+X64+Z64)</f>
        <v>24</v>
      </c>
      <c r="AB64" s="110">
        <f>IF('Employee Master'!B64="","",R64+AA64)</f>
        <v>45</v>
      </c>
      <c r="AC64" s="27" t="str">
        <f>IF('Employee Master'!B64="","",IF(AB64&gt;=85,"Exceptional",IF(AB64&gt;=70,"High Performer",IF(AB64&gt;=50,"Meets Expectations",IF(AB64&gt;=30,"Below Expectations","Underperformer")))))</f>
        <v>Below Expectations</v>
      </c>
      <c r="AD64" s="51">
        <f>IF('Employee Master'!B64="","",'Employee Master'!M64)</f>
        <v>45729</v>
      </c>
      <c r="AE64" s="52">
        <f>IF('Employee Master'!B64="","",IF(AB64&gt;=85,Settings!B31,IF(AB64&gt;=70,Settings!B32,IF(AB64&gt;=50,Settings!B33,IF(AB64&gt;=30,Settings!B34,Settings!B35)))))</f>
        <v>0.03</v>
      </c>
      <c r="AF64" s="51">
        <f>IF('Employee Master'!B64="","",AD64*(1+AE64))</f>
        <v>47100.87</v>
      </c>
      <c r="AG64" s="51">
        <f>IF('Employee Master'!B64="","",AF64-AD64)</f>
        <v>1371.8700000000026</v>
      </c>
      <c r="AH64" s="51">
        <f>IF('Employee Master'!B64="","",AG64*12)</f>
        <v>16462.440000000031</v>
      </c>
    </row>
    <row r="65" spans="1:34" ht="23.25" customHeight="1" x14ac:dyDescent="0.2">
      <c r="A65" s="27">
        <f>IF('Employee Master'!B65="","",ROW()-3)</f>
        <v>62</v>
      </c>
      <c r="B65" s="27" t="str">
        <f>IF('Employee Master'!B65="","",'Employee Master'!C65)</f>
        <v>Priyam.B</v>
      </c>
      <c r="C65" s="27" t="str">
        <f>IF('Employee Master'!B65="","",'Employee Master'!D65)</f>
        <v>Remote</v>
      </c>
      <c r="D65" s="27" t="str">
        <f>IF('Employee Master'!B65="","",'Employee Master'!E65)</f>
        <v>Asst. Team Lead</v>
      </c>
      <c r="E65" s="27" t="str">
        <f>IF('Employee Master'!B65="","",'Employee Master'!G65)</f>
        <v>Nikita Shah</v>
      </c>
      <c r="F65" s="51">
        <f>IF('Employee Master'!B65="","",'⑥ Annual Performance'!R65)</f>
        <v>12</v>
      </c>
      <c r="G65" s="103">
        <f>IF('Employee Master'!B65="","",'⑥ Annual Performance'!J65)</f>
        <v>9.5260416666666667E-2</v>
      </c>
      <c r="H65" s="104">
        <f>IF('Employee Master'!B65="","",IF(G65&gt;=0.85,15,IF(G65&gt;=0.7,12,IF(G65&gt;=0.55,9,IF(G65&gt;=0.4,6,3)))))</f>
        <v>3</v>
      </c>
      <c r="I65" s="103">
        <f>IF('Employee Master'!B65="","",'⑥ Annual Performance'!Q65)</f>
        <v>0</v>
      </c>
      <c r="J65" s="104">
        <f>IF('Employee Master'!B65="","",IF(I65&gt;=0.98,10,IF(I65&gt;=0.95,8,IF(I65&gt;=0.9,6,IF(I65&gt;=0.85,4,2)))))</f>
        <v>2</v>
      </c>
      <c r="K65" s="105">
        <f>IF('Employee Master'!B65="","",'⑥ Annual Performance'!N65)</f>
        <v>0</v>
      </c>
      <c r="L65" s="104">
        <f>IF('Employee Master'!B65="","",IF(K65&gt;=1000,10,IF(K65&gt;=750,8,IF(K65&gt;=500,6,IF(K65&gt;=250,4,2)))))</f>
        <v>2</v>
      </c>
      <c r="M65" s="105">
        <f>IF('Employee Master'!B65="","",'⑥ Annual Performance'!K65)</f>
        <v>3</v>
      </c>
      <c r="N65" s="106">
        <f>IF('Employee Master'!B65="","",'⑥ Annual Performance'!L65)</f>
        <v>3.5</v>
      </c>
      <c r="O65" s="104">
        <f>IF('Employee Master'!B65="","",MIN(N65*2,10))</f>
        <v>7</v>
      </c>
      <c r="P65" s="104">
        <f>IF('Employee Master'!B65="","",IF(F65&gt;=36,5,IF(F65&gt;=24,4,IF(F65&gt;=12,3,IF(F65&gt;=6,2,1)))))</f>
        <v>3</v>
      </c>
      <c r="Q65" s="104">
        <f>IF('Employee Master'!B65="","",IF(D65="Sr. Controller",10,IF(D65="Coo",10,IF(D65="Controller",9,IF(D65="Asst. Controller",8,IF(D65="Sr. Manager",8,IF(D65="Manager",7,IF(D65="Asst. Manager",6,IF(D65="Team Lead",7,IF(D65="Asst. Team Lead",5,IF(D65="Sr. Associate",4,IF(D65="Associate",3,IF(D65="Full Stack Developer",5,IF(D65="Project Manager (S/W)",6,IF(D65="Marketing",4,4)))))))))))))))</f>
        <v>5</v>
      </c>
      <c r="R65" s="107">
        <f>IF('Employee Master'!B65="","",H65+J65+L65+O65+P65+Q65)</f>
        <v>22</v>
      </c>
      <c r="S65" s="108">
        <f>IF('Employee Master'!B65="","",3)</f>
        <v>3</v>
      </c>
      <c r="T65" s="104">
        <f>IF('Employee Master'!B65="","",MIN(S65*2,10))</f>
        <v>6</v>
      </c>
      <c r="U65" s="108">
        <f>IF('Employee Master'!B65="","",3)</f>
        <v>3</v>
      </c>
      <c r="V65" s="104">
        <f>IF('Employee Master'!B65="","",MIN(U65*2,10))</f>
        <v>6</v>
      </c>
      <c r="W65" s="108">
        <f>IF('Employee Master'!B65="","",3)</f>
        <v>3</v>
      </c>
      <c r="X65" s="104">
        <f>IF('Employee Master'!B65="","",MIN(W65*2,10))</f>
        <v>6</v>
      </c>
      <c r="Y65" s="108">
        <f>IF('Employee Master'!B65="","",3)</f>
        <v>3</v>
      </c>
      <c r="Z65" s="104">
        <f>IF('Employee Master'!B65="","",MIN(Y65*2,10))</f>
        <v>6</v>
      </c>
      <c r="AA65" s="109">
        <f>IF('Employee Master'!B65="","",T65+V65+X65+Z65)</f>
        <v>24</v>
      </c>
      <c r="AB65" s="110">
        <f>IF('Employee Master'!B65="","",R65+AA65)</f>
        <v>46</v>
      </c>
      <c r="AC65" s="27" t="str">
        <f>IF('Employee Master'!B65="","",IF(AB65&gt;=85,"Exceptional",IF(AB65&gt;=70,"High Performer",IF(AB65&gt;=50,"Meets Expectations",IF(AB65&gt;=30,"Below Expectations","Underperformer")))))</f>
        <v>Below Expectations</v>
      </c>
      <c r="AD65" s="51">
        <f>IF('Employee Master'!B65="","",'Employee Master'!M65)</f>
        <v>24000</v>
      </c>
      <c r="AE65" s="52">
        <f>IF('Employee Master'!B65="","",IF(AB65&gt;=85,Settings!B31,IF(AB65&gt;=70,Settings!B32,IF(AB65&gt;=50,Settings!B33,IF(AB65&gt;=30,Settings!B34,Settings!B35)))))</f>
        <v>0.03</v>
      </c>
      <c r="AF65" s="51">
        <f>IF('Employee Master'!B65="","",AD65*(1+AE65))</f>
        <v>24720</v>
      </c>
      <c r="AG65" s="51">
        <f>IF('Employee Master'!B65="","",AF65-AD65)</f>
        <v>720</v>
      </c>
      <c r="AH65" s="51">
        <f>IF('Employee Master'!B65="","",AG65*12)</f>
        <v>8640</v>
      </c>
    </row>
    <row r="66" spans="1:34" ht="23.25" customHeight="1" x14ac:dyDescent="0.2">
      <c r="A66" s="27">
        <f>IF('Employee Master'!B66="","",ROW()-3)</f>
        <v>63</v>
      </c>
      <c r="B66" s="27" t="str">
        <f>IF('Employee Master'!B66="","",'Employee Master'!C66)</f>
        <v>Jaya.L</v>
      </c>
      <c r="C66" s="27" t="str">
        <f>IF('Employee Master'!B66="","",'Employee Master'!D66)</f>
        <v>In-house</v>
      </c>
      <c r="D66" s="27" t="str">
        <f>IF('Employee Master'!B66="","",'Employee Master'!E66)</f>
        <v>Asst. Team Lead</v>
      </c>
      <c r="E66" s="27" t="str">
        <f>IF('Employee Master'!B66="","",'Employee Master'!G66)</f>
        <v>Sarah</v>
      </c>
      <c r="F66" s="51">
        <f>IF('Employee Master'!B66="","",'⑥ Annual Performance'!R66)</f>
        <v>12</v>
      </c>
      <c r="G66" s="103">
        <f>IF('Employee Master'!B66="","",'⑥ Annual Performance'!J66)</f>
        <v>4.1666666666666664E-2</v>
      </c>
      <c r="H66" s="104">
        <f>IF('Employee Master'!B66="","",IF(G66&gt;=0.85,15,IF(G66&gt;=0.7,12,IF(G66&gt;=0.55,9,IF(G66&gt;=0.4,6,3)))))</f>
        <v>3</v>
      </c>
      <c r="I66" s="103">
        <f>IF('Employee Master'!B66="","",'⑥ Annual Performance'!Q66)</f>
        <v>0</v>
      </c>
      <c r="J66" s="104">
        <f>IF('Employee Master'!B66="","",IF(I66&gt;=0.98,10,IF(I66&gt;=0.95,8,IF(I66&gt;=0.9,6,IF(I66&gt;=0.85,4,2)))))</f>
        <v>2</v>
      </c>
      <c r="K66" s="105">
        <f>IF('Employee Master'!B66="","",'⑥ Annual Performance'!N66)</f>
        <v>0</v>
      </c>
      <c r="L66" s="104">
        <f>IF('Employee Master'!B66="","",IF(K66&gt;=1000,10,IF(K66&gt;=750,8,IF(K66&gt;=500,6,IF(K66&gt;=250,4,2)))))</f>
        <v>2</v>
      </c>
      <c r="M66" s="105">
        <f>IF('Employee Master'!B66="","",'⑥ Annual Performance'!K66)</f>
        <v>5</v>
      </c>
      <c r="N66" s="106">
        <f>IF('Employee Master'!B66="","",'⑥ Annual Performance'!L66)</f>
        <v>3.5</v>
      </c>
      <c r="O66" s="104">
        <f>IF('Employee Master'!B66="","",MIN(N66*2,10))</f>
        <v>7</v>
      </c>
      <c r="P66" s="104">
        <f>IF('Employee Master'!B66="","",IF(F66&gt;=36,5,IF(F66&gt;=24,4,IF(F66&gt;=12,3,IF(F66&gt;=6,2,1)))))</f>
        <v>3</v>
      </c>
      <c r="Q66" s="104">
        <f>IF('Employee Master'!B66="","",IF(D66="Sr. Controller",10,IF(D66="Coo",10,IF(D66="Controller",9,IF(D66="Asst. Controller",8,IF(D66="Sr. Manager",8,IF(D66="Manager",7,IF(D66="Asst. Manager",6,IF(D66="Team Lead",7,IF(D66="Asst. Team Lead",5,IF(D66="Sr. Associate",4,IF(D66="Associate",3,IF(D66="Full Stack Developer",5,IF(D66="Project Manager (S/W)",6,IF(D66="Marketing",4,4)))))))))))))))</f>
        <v>5</v>
      </c>
      <c r="R66" s="107">
        <f>IF('Employee Master'!B66="","",H66+J66+L66+O66+P66+Q66)</f>
        <v>22</v>
      </c>
      <c r="S66" s="108">
        <f>IF('Employee Master'!B66="","",3)</f>
        <v>3</v>
      </c>
      <c r="T66" s="104">
        <f>IF('Employee Master'!B66="","",MIN(S66*2,10))</f>
        <v>6</v>
      </c>
      <c r="U66" s="108">
        <f>IF('Employee Master'!B66="","",3)</f>
        <v>3</v>
      </c>
      <c r="V66" s="104">
        <f>IF('Employee Master'!B66="","",MIN(U66*2,10))</f>
        <v>6</v>
      </c>
      <c r="W66" s="108">
        <f>IF('Employee Master'!B66="","",3)</f>
        <v>3</v>
      </c>
      <c r="X66" s="104">
        <f>IF('Employee Master'!B66="","",MIN(W66*2,10))</f>
        <v>6</v>
      </c>
      <c r="Y66" s="108">
        <f>IF('Employee Master'!B66="","",3)</f>
        <v>3</v>
      </c>
      <c r="Z66" s="104">
        <f>IF('Employee Master'!B66="","",MIN(Y66*2,10))</f>
        <v>6</v>
      </c>
      <c r="AA66" s="109">
        <f>IF('Employee Master'!B66="","",T66+V66+X66+Z66)</f>
        <v>24</v>
      </c>
      <c r="AB66" s="110">
        <f>IF('Employee Master'!B66="","",R66+AA66)</f>
        <v>46</v>
      </c>
      <c r="AC66" s="27" t="str">
        <f>IF('Employee Master'!B66="","",IF(AB66&gt;=85,"Exceptional",IF(AB66&gt;=70,"High Performer",IF(AB66&gt;=50,"Meets Expectations",IF(AB66&gt;=30,"Below Expectations","Underperformer")))))</f>
        <v>Below Expectations</v>
      </c>
      <c r="AD66" s="51">
        <f>IF('Employee Master'!B66="","",'Employee Master'!M66)</f>
        <v>75000</v>
      </c>
      <c r="AE66" s="52">
        <f>IF('Employee Master'!B66="","",IF(AB66&gt;=85,Settings!B31,IF(AB66&gt;=70,Settings!B32,IF(AB66&gt;=50,Settings!B33,IF(AB66&gt;=30,Settings!B34,Settings!B35)))))</f>
        <v>0.03</v>
      </c>
      <c r="AF66" s="51">
        <f>IF('Employee Master'!B66="","",AD66*(1+AE66))</f>
        <v>77250</v>
      </c>
      <c r="AG66" s="51">
        <f>IF('Employee Master'!B66="","",AF66-AD66)</f>
        <v>2250</v>
      </c>
      <c r="AH66" s="51">
        <f>IF('Employee Master'!B66="","",AG66*12)</f>
        <v>27000</v>
      </c>
    </row>
    <row r="67" spans="1:34" ht="23.25" customHeight="1" x14ac:dyDescent="0.2">
      <c r="A67" s="27">
        <f>IF('Employee Master'!B67="","",ROW()-3)</f>
        <v>64</v>
      </c>
      <c r="B67" s="27" t="str">
        <f>IF('Employee Master'!B67="","",'Employee Master'!C67)</f>
        <v>Ayushi.B</v>
      </c>
      <c r="C67" s="27" t="str">
        <f>IF('Employee Master'!B67="","",'Employee Master'!D67)</f>
        <v>Remote</v>
      </c>
      <c r="D67" s="27" t="str">
        <f>IF('Employee Master'!B67="","",'Employee Master'!E67)</f>
        <v>Associate</v>
      </c>
      <c r="E67" s="27" t="str">
        <f>IF('Employee Master'!B67="","",'Employee Master'!G67)</f>
        <v>Jyoti</v>
      </c>
      <c r="F67" s="51">
        <f>IF('Employee Master'!B67="","",'⑥ Annual Performance'!R67)</f>
        <v>12</v>
      </c>
      <c r="G67" s="103">
        <f>IF('Employee Master'!B67="","",'⑥ Annual Performance'!J67)</f>
        <v>9.2343750000000002E-2</v>
      </c>
      <c r="H67" s="104">
        <f>IF('Employee Master'!B67="","",IF(G67&gt;=0.85,15,IF(G67&gt;=0.7,12,IF(G67&gt;=0.55,9,IF(G67&gt;=0.4,6,3)))))</f>
        <v>3</v>
      </c>
      <c r="I67" s="103">
        <f>IF('Employee Master'!B67="","",'⑥ Annual Performance'!Q67)</f>
        <v>0</v>
      </c>
      <c r="J67" s="104">
        <f>IF('Employee Master'!B67="","",IF(I67&gt;=0.98,10,IF(I67&gt;=0.95,8,IF(I67&gt;=0.9,6,IF(I67&gt;=0.85,4,2)))))</f>
        <v>2</v>
      </c>
      <c r="K67" s="105">
        <f>IF('Employee Master'!B67="","",'⑥ Annual Performance'!N67)</f>
        <v>0</v>
      </c>
      <c r="L67" s="104">
        <f>IF('Employee Master'!B67="","",IF(K67&gt;=1000,10,IF(K67&gt;=750,8,IF(K67&gt;=500,6,IF(K67&gt;=250,4,2)))))</f>
        <v>2</v>
      </c>
      <c r="M67" s="105">
        <f>IF('Employee Master'!B67="","",'⑥ Annual Performance'!K67)</f>
        <v>1</v>
      </c>
      <c r="N67" s="106">
        <f>IF('Employee Master'!B67="","",'⑥ Annual Performance'!L67)</f>
        <v>3.5</v>
      </c>
      <c r="O67" s="104">
        <f>IF('Employee Master'!B67="","",MIN(N67*2,10))</f>
        <v>7</v>
      </c>
      <c r="P67" s="104">
        <f>IF('Employee Master'!B67="","",IF(F67&gt;=36,5,IF(F67&gt;=24,4,IF(F67&gt;=12,3,IF(F67&gt;=6,2,1)))))</f>
        <v>3</v>
      </c>
      <c r="Q67" s="104">
        <f>IF('Employee Master'!B67="","",IF(D67="Sr. Controller",10,IF(D67="Coo",10,IF(D67="Controller",9,IF(D67="Asst. Controller",8,IF(D67="Sr. Manager",8,IF(D67="Manager",7,IF(D67="Asst. Manager",6,IF(D67="Team Lead",7,IF(D67="Asst. Team Lead",5,IF(D67="Sr. Associate",4,IF(D67="Associate",3,IF(D67="Full Stack Developer",5,IF(D67="Project Manager (S/W)",6,IF(D67="Marketing",4,4)))))))))))))))</f>
        <v>3</v>
      </c>
      <c r="R67" s="107">
        <f>IF('Employee Master'!B67="","",H67+J67+L67+O67+P67+Q67)</f>
        <v>20</v>
      </c>
      <c r="S67" s="108">
        <f>IF('Employee Master'!B67="","",3)</f>
        <v>3</v>
      </c>
      <c r="T67" s="104">
        <f>IF('Employee Master'!B67="","",MIN(S67*2,10))</f>
        <v>6</v>
      </c>
      <c r="U67" s="108">
        <f>IF('Employee Master'!B67="","",3)</f>
        <v>3</v>
      </c>
      <c r="V67" s="104">
        <f>IF('Employee Master'!B67="","",MIN(U67*2,10))</f>
        <v>6</v>
      </c>
      <c r="W67" s="108">
        <f>IF('Employee Master'!B67="","",3)</f>
        <v>3</v>
      </c>
      <c r="X67" s="104">
        <f>IF('Employee Master'!B67="","",MIN(W67*2,10))</f>
        <v>6</v>
      </c>
      <c r="Y67" s="108">
        <f>IF('Employee Master'!B67="","",3)</f>
        <v>3</v>
      </c>
      <c r="Z67" s="104">
        <f>IF('Employee Master'!B67="","",MIN(Y67*2,10))</f>
        <v>6</v>
      </c>
      <c r="AA67" s="109">
        <f>IF('Employee Master'!B67="","",T67+V67+X67+Z67)</f>
        <v>24</v>
      </c>
      <c r="AB67" s="110">
        <f>IF('Employee Master'!B67="","",R67+AA67)</f>
        <v>44</v>
      </c>
      <c r="AC67" s="27" t="str">
        <f>IF('Employee Master'!B67="","",IF(AB67&gt;=85,"Exceptional",IF(AB67&gt;=70,"High Performer",IF(AB67&gt;=50,"Meets Expectations",IF(AB67&gt;=30,"Below Expectations","Underperformer")))))</f>
        <v>Below Expectations</v>
      </c>
      <c r="AD67" s="51">
        <f>IF('Employee Master'!B67="","",'Employee Master'!M67)</f>
        <v>32613</v>
      </c>
      <c r="AE67" s="52">
        <f>IF('Employee Master'!B67="","",IF(AB67&gt;=85,Settings!B31,IF(AB67&gt;=70,Settings!B32,IF(AB67&gt;=50,Settings!B33,IF(AB67&gt;=30,Settings!B34,Settings!B35)))))</f>
        <v>0.03</v>
      </c>
      <c r="AF67" s="51">
        <f>IF('Employee Master'!B67="","",AD67*(1+AE67))</f>
        <v>33591.39</v>
      </c>
      <c r="AG67" s="51">
        <f>IF('Employee Master'!B67="","",AF67-AD67)</f>
        <v>978.38999999999942</v>
      </c>
      <c r="AH67" s="51">
        <f>IF('Employee Master'!B67="","",AG67*12)</f>
        <v>11740.679999999993</v>
      </c>
    </row>
    <row r="68" spans="1:34" ht="23.25" customHeight="1" x14ac:dyDescent="0.2">
      <c r="A68" s="27">
        <f>IF('Employee Master'!B68="","",ROW()-3)</f>
        <v>65</v>
      </c>
      <c r="B68" s="27" t="str">
        <f>IF('Employee Master'!B68="","",'Employee Master'!C68)</f>
        <v>Akanksha.V</v>
      </c>
      <c r="C68" s="27" t="str">
        <f>IF('Employee Master'!B68="","",'Employee Master'!D68)</f>
        <v>In-house</v>
      </c>
      <c r="D68" s="27" t="str">
        <f>IF('Employee Master'!B68="","",'Employee Master'!E68)</f>
        <v>Associate</v>
      </c>
      <c r="E68" s="27" t="str">
        <f>IF('Employee Master'!B68="","",'Employee Master'!G68)</f>
        <v>Vinita Dagar</v>
      </c>
      <c r="F68" s="51">
        <f>IF('Employee Master'!B68="","",'⑥ Annual Performance'!R68)</f>
        <v>12</v>
      </c>
      <c r="G68" s="103">
        <f>IF('Employee Master'!B68="","",'⑥ Annual Performance'!J68)</f>
        <v>8.4947916666666665E-2</v>
      </c>
      <c r="H68" s="104">
        <f>IF('Employee Master'!B68="","",IF(G68&gt;=0.85,15,IF(G68&gt;=0.7,12,IF(G68&gt;=0.55,9,IF(G68&gt;=0.4,6,3)))))</f>
        <v>3</v>
      </c>
      <c r="I68" s="103">
        <f>IF('Employee Master'!B68="","",'⑥ Annual Performance'!Q68)</f>
        <v>0</v>
      </c>
      <c r="J68" s="104">
        <f>IF('Employee Master'!B68="","",IF(I68&gt;=0.98,10,IF(I68&gt;=0.95,8,IF(I68&gt;=0.9,6,IF(I68&gt;=0.85,4,2)))))</f>
        <v>2</v>
      </c>
      <c r="K68" s="105">
        <f>IF('Employee Master'!B68="","",'⑥ Annual Performance'!N68)</f>
        <v>0</v>
      </c>
      <c r="L68" s="104">
        <f>IF('Employee Master'!B68="","",IF(K68&gt;=1000,10,IF(K68&gt;=750,8,IF(K68&gt;=500,6,IF(K68&gt;=250,4,2)))))</f>
        <v>2</v>
      </c>
      <c r="M68" s="105">
        <f>IF('Employee Master'!B68="","",'⑥ Annual Performance'!K68)</f>
        <v>2</v>
      </c>
      <c r="N68" s="106">
        <f>IF('Employee Master'!B68="","",'⑥ Annual Performance'!L68)</f>
        <v>3.5</v>
      </c>
      <c r="O68" s="104">
        <f>IF('Employee Master'!B68="","",MIN(N68*2,10))</f>
        <v>7</v>
      </c>
      <c r="P68" s="104">
        <f>IF('Employee Master'!B68="","",IF(F68&gt;=36,5,IF(F68&gt;=24,4,IF(F68&gt;=12,3,IF(F68&gt;=6,2,1)))))</f>
        <v>3</v>
      </c>
      <c r="Q68" s="104">
        <f>IF('Employee Master'!B68="","",IF(D68="Sr. Controller",10,IF(D68="Coo",10,IF(D68="Controller",9,IF(D68="Asst. Controller",8,IF(D68="Sr. Manager",8,IF(D68="Manager",7,IF(D68="Asst. Manager",6,IF(D68="Team Lead",7,IF(D68="Asst. Team Lead",5,IF(D68="Sr. Associate",4,IF(D68="Associate",3,IF(D68="Full Stack Developer",5,IF(D68="Project Manager (S/W)",6,IF(D68="Marketing",4,4)))))))))))))))</f>
        <v>3</v>
      </c>
      <c r="R68" s="107">
        <f>IF('Employee Master'!B68="","",H68+J68+L68+O68+P68+Q68)</f>
        <v>20</v>
      </c>
      <c r="S68" s="108">
        <f>IF('Employee Master'!B68="","",3)</f>
        <v>3</v>
      </c>
      <c r="T68" s="104">
        <f>IF('Employee Master'!B68="","",MIN(S68*2,10))</f>
        <v>6</v>
      </c>
      <c r="U68" s="108">
        <f>IF('Employee Master'!B68="","",3)</f>
        <v>3</v>
      </c>
      <c r="V68" s="104">
        <f>IF('Employee Master'!B68="","",MIN(U68*2,10))</f>
        <v>6</v>
      </c>
      <c r="W68" s="108">
        <f>IF('Employee Master'!B68="","",3)</f>
        <v>3</v>
      </c>
      <c r="X68" s="104">
        <f>IF('Employee Master'!B68="","",MIN(W68*2,10))</f>
        <v>6</v>
      </c>
      <c r="Y68" s="108">
        <f>IF('Employee Master'!B68="","",3)</f>
        <v>3</v>
      </c>
      <c r="Z68" s="104">
        <f>IF('Employee Master'!B68="","",MIN(Y68*2,10))</f>
        <v>6</v>
      </c>
      <c r="AA68" s="109">
        <f>IF('Employee Master'!B68="","",T68+V68+X68+Z68)</f>
        <v>24</v>
      </c>
      <c r="AB68" s="110">
        <f>IF('Employee Master'!B68="","",R68+AA68)</f>
        <v>44</v>
      </c>
      <c r="AC68" s="27" t="str">
        <f>IF('Employee Master'!B68="","",IF(AB68&gt;=85,"Exceptional",IF(AB68&gt;=70,"High Performer",IF(AB68&gt;=50,"Meets Expectations",IF(AB68&gt;=30,"Below Expectations","Underperformer")))))</f>
        <v>Below Expectations</v>
      </c>
      <c r="AD68" s="51">
        <f>IF('Employee Master'!B68="","",'Employee Master'!M68)</f>
        <v>35000</v>
      </c>
      <c r="AE68" s="52">
        <f>IF('Employee Master'!B68="","",IF(AB68&gt;=85,Settings!B31,IF(AB68&gt;=70,Settings!B32,IF(AB68&gt;=50,Settings!B33,IF(AB68&gt;=30,Settings!B34,Settings!B35)))))</f>
        <v>0.03</v>
      </c>
      <c r="AF68" s="51">
        <f>IF('Employee Master'!B68="","",AD68*(1+AE68))</f>
        <v>36050</v>
      </c>
      <c r="AG68" s="51">
        <f>IF('Employee Master'!B68="","",AF68-AD68)</f>
        <v>1050</v>
      </c>
      <c r="AH68" s="51">
        <f>IF('Employee Master'!B68="","",AG68*12)</f>
        <v>12600</v>
      </c>
    </row>
    <row r="69" spans="1:34" ht="23.25" customHeight="1" x14ac:dyDescent="0.2">
      <c r="A69" s="27">
        <f>IF('Employee Master'!B69="","",ROW()-3)</f>
        <v>66</v>
      </c>
      <c r="B69" s="27" t="str">
        <f>IF('Employee Master'!B69="","",'Employee Master'!C69)</f>
        <v>Teja.R</v>
      </c>
      <c r="C69" s="27" t="str">
        <f>IF('Employee Master'!B69="","",'Employee Master'!D69)</f>
        <v>Remote</v>
      </c>
      <c r="D69" s="27" t="str">
        <f>IF('Employee Master'!B69="","",'Employee Master'!E69)</f>
        <v>Associate</v>
      </c>
      <c r="E69" s="27" t="str">
        <f>IF('Employee Master'!B69="","",'Employee Master'!G69)</f>
        <v>Nikita Shah</v>
      </c>
      <c r="F69" s="51">
        <f>IF('Employee Master'!B69="","",'⑥ Annual Performance'!R69)</f>
        <v>12</v>
      </c>
      <c r="G69" s="103">
        <f>IF('Employee Master'!B69="","",'⑥ Annual Performance'!J69)</f>
        <v>2.9166666666666667E-2</v>
      </c>
      <c r="H69" s="104">
        <f>IF('Employee Master'!B69="","",IF(G69&gt;=0.85,15,IF(G69&gt;=0.7,12,IF(G69&gt;=0.55,9,IF(G69&gt;=0.4,6,3)))))</f>
        <v>3</v>
      </c>
      <c r="I69" s="103">
        <f>IF('Employee Master'!B69="","",'⑥ Annual Performance'!Q69)</f>
        <v>0</v>
      </c>
      <c r="J69" s="104">
        <f>IF('Employee Master'!B69="","",IF(I69&gt;=0.98,10,IF(I69&gt;=0.95,8,IF(I69&gt;=0.9,6,IF(I69&gt;=0.85,4,2)))))</f>
        <v>2</v>
      </c>
      <c r="K69" s="105">
        <f>IF('Employee Master'!B69="","",'⑥ Annual Performance'!N69)</f>
        <v>0</v>
      </c>
      <c r="L69" s="104">
        <f>IF('Employee Master'!B69="","",IF(K69&gt;=1000,10,IF(K69&gt;=750,8,IF(K69&gt;=500,6,IF(K69&gt;=250,4,2)))))</f>
        <v>2</v>
      </c>
      <c r="M69" s="105">
        <f>IF('Employee Master'!B69="","",'⑥ Annual Performance'!K69)</f>
        <v>1</v>
      </c>
      <c r="N69" s="106">
        <f>IF('Employee Master'!B69="","",'⑥ Annual Performance'!L69)</f>
        <v>3.5</v>
      </c>
      <c r="O69" s="104">
        <f>IF('Employee Master'!B69="","",MIN(N69*2,10))</f>
        <v>7</v>
      </c>
      <c r="P69" s="104">
        <f>IF('Employee Master'!B69="","",IF(F69&gt;=36,5,IF(F69&gt;=24,4,IF(F69&gt;=12,3,IF(F69&gt;=6,2,1)))))</f>
        <v>3</v>
      </c>
      <c r="Q69" s="104">
        <f>IF('Employee Master'!B69="","",IF(D69="Sr. Controller",10,IF(D69="Coo",10,IF(D69="Controller",9,IF(D69="Asst. Controller",8,IF(D69="Sr. Manager",8,IF(D69="Manager",7,IF(D69="Asst. Manager",6,IF(D69="Team Lead",7,IF(D69="Asst. Team Lead",5,IF(D69="Sr. Associate",4,IF(D69="Associate",3,IF(D69="Full Stack Developer",5,IF(D69="Project Manager (S/W)",6,IF(D69="Marketing",4,4)))))))))))))))</f>
        <v>3</v>
      </c>
      <c r="R69" s="107">
        <f>IF('Employee Master'!B69="","",H69+J69+L69+O69+P69+Q69)</f>
        <v>20</v>
      </c>
      <c r="S69" s="108">
        <f>IF('Employee Master'!B69="","",3)</f>
        <v>3</v>
      </c>
      <c r="T69" s="104">
        <f>IF('Employee Master'!B69="","",MIN(S69*2,10))</f>
        <v>6</v>
      </c>
      <c r="U69" s="108">
        <f>IF('Employee Master'!B69="","",3)</f>
        <v>3</v>
      </c>
      <c r="V69" s="104">
        <f>IF('Employee Master'!B69="","",MIN(U69*2,10))</f>
        <v>6</v>
      </c>
      <c r="W69" s="108">
        <f>IF('Employee Master'!B69="","",3)</f>
        <v>3</v>
      </c>
      <c r="X69" s="104">
        <f>IF('Employee Master'!B69="","",MIN(W69*2,10))</f>
        <v>6</v>
      </c>
      <c r="Y69" s="108">
        <f>IF('Employee Master'!B69="","",3)</f>
        <v>3</v>
      </c>
      <c r="Z69" s="104">
        <f>IF('Employee Master'!B69="","",MIN(Y69*2,10))</f>
        <v>6</v>
      </c>
      <c r="AA69" s="109">
        <f>IF('Employee Master'!B69="","",T69+V69+X69+Z69)</f>
        <v>24</v>
      </c>
      <c r="AB69" s="110">
        <f>IF('Employee Master'!B69="","",R69+AA69)</f>
        <v>44</v>
      </c>
      <c r="AC69" s="27" t="str">
        <f>IF('Employee Master'!B69="","",IF(AB69&gt;=85,"Exceptional",IF(AB69&gt;=70,"High Performer",IF(AB69&gt;=50,"Meets Expectations",IF(AB69&gt;=30,"Below Expectations","Underperformer")))))</f>
        <v>Below Expectations</v>
      </c>
      <c r="AD69" s="51">
        <f>IF('Employee Master'!B69="","",'Employee Master'!M69)</f>
        <v>39483</v>
      </c>
      <c r="AE69" s="52">
        <f>IF('Employee Master'!B69="","",IF(AB69&gt;=85,Settings!B31,IF(AB69&gt;=70,Settings!B32,IF(AB69&gt;=50,Settings!B33,IF(AB69&gt;=30,Settings!B34,Settings!B35)))))</f>
        <v>0.03</v>
      </c>
      <c r="AF69" s="51">
        <f>IF('Employee Master'!B69="","",AD69*(1+AE69))</f>
        <v>40667.49</v>
      </c>
      <c r="AG69" s="51">
        <f>IF('Employee Master'!B69="","",AF69-AD69)</f>
        <v>1184.489999999998</v>
      </c>
      <c r="AH69" s="51">
        <f>IF('Employee Master'!B69="","",AG69*12)</f>
        <v>14213.879999999976</v>
      </c>
    </row>
    <row r="70" spans="1:34" ht="23.25" customHeight="1" x14ac:dyDescent="0.2">
      <c r="A70" s="27">
        <f>IF('Employee Master'!B70="","",ROW()-3)</f>
        <v>67</v>
      </c>
      <c r="B70" s="27" t="str">
        <f>IF('Employee Master'!B70="","",'Employee Master'!C70)</f>
        <v>Upasana</v>
      </c>
      <c r="C70" s="27" t="str">
        <f>IF('Employee Master'!B70="","",'Employee Master'!D70)</f>
        <v>Remote</v>
      </c>
      <c r="D70" s="27" t="str">
        <f>IF('Employee Master'!B70="","",'Employee Master'!E70)</f>
        <v>Sr. Associate</v>
      </c>
      <c r="E70" s="27" t="str">
        <f>IF('Employee Master'!B70="","",'Employee Master'!G70)</f>
        <v>Jyoti</v>
      </c>
      <c r="F70" s="51">
        <f>IF('Employee Master'!B70="","",'⑥ Annual Performance'!R70)</f>
        <v>12</v>
      </c>
      <c r="G70" s="103">
        <f>IF('Employee Master'!B70="","",'⑥ Annual Performance'!J70)</f>
        <v>8.2239583333333338E-2</v>
      </c>
      <c r="H70" s="104">
        <f>IF('Employee Master'!B70="","",IF(G70&gt;=0.85,15,IF(G70&gt;=0.7,12,IF(G70&gt;=0.55,9,IF(G70&gt;=0.4,6,3)))))</f>
        <v>3</v>
      </c>
      <c r="I70" s="103">
        <f>IF('Employee Master'!B70="","",'⑥ Annual Performance'!Q70)</f>
        <v>0</v>
      </c>
      <c r="J70" s="104">
        <f>IF('Employee Master'!B70="","",IF(I70&gt;=0.98,10,IF(I70&gt;=0.95,8,IF(I70&gt;=0.9,6,IF(I70&gt;=0.85,4,2)))))</f>
        <v>2</v>
      </c>
      <c r="K70" s="105">
        <f>IF('Employee Master'!B70="","",'⑥ Annual Performance'!N70)</f>
        <v>0</v>
      </c>
      <c r="L70" s="104">
        <f>IF('Employee Master'!B70="","",IF(K70&gt;=1000,10,IF(K70&gt;=750,8,IF(K70&gt;=500,6,IF(K70&gt;=250,4,2)))))</f>
        <v>2</v>
      </c>
      <c r="M70" s="105">
        <f>IF('Employee Master'!B70="","",'⑥ Annual Performance'!K70)</f>
        <v>2</v>
      </c>
      <c r="N70" s="106">
        <f>IF('Employee Master'!B70="","",'⑥ Annual Performance'!L70)</f>
        <v>3.5</v>
      </c>
      <c r="O70" s="104">
        <f>IF('Employee Master'!B70="","",MIN(N70*2,10))</f>
        <v>7</v>
      </c>
      <c r="P70" s="104">
        <f>IF('Employee Master'!B70="","",IF(F70&gt;=36,5,IF(F70&gt;=24,4,IF(F70&gt;=12,3,IF(F70&gt;=6,2,1)))))</f>
        <v>3</v>
      </c>
      <c r="Q70" s="104">
        <f>IF('Employee Master'!B70="","",IF(D70="Sr. Controller",10,IF(D70="Coo",10,IF(D70="Controller",9,IF(D70="Asst. Controller",8,IF(D70="Sr. Manager",8,IF(D70="Manager",7,IF(D70="Asst. Manager",6,IF(D70="Team Lead",7,IF(D70="Asst. Team Lead",5,IF(D70="Sr. Associate",4,IF(D70="Associate",3,IF(D70="Full Stack Developer",5,IF(D70="Project Manager (S/W)",6,IF(D70="Marketing",4,4)))))))))))))))</f>
        <v>4</v>
      </c>
      <c r="R70" s="107">
        <f>IF('Employee Master'!B70="","",H70+J70+L70+O70+P70+Q70)</f>
        <v>21</v>
      </c>
      <c r="S70" s="108">
        <f>IF('Employee Master'!B70="","",3)</f>
        <v>3</v>
      </c>
      <c r="T70" s="104">
        <f>IF('Employee Master'!B70="","",MIN(S70*2,10))</f>
        <v>6</v>
      </c>
      <c r="U70" s="108">
        <f>IF('Employee Master'!B70="","",3)</f>
        <v>3</v>
      </c>
      <c r="V70" s="104">
        <f>IF('Employee Master'!B70="","",MIN(U70*2,10))</f>
        <v>6</v>
      </c>
      <c r="W70" s="108">
        <f>IF('Employee Master'!B70="","",3)</f>
        <v>3</v>
      </c>
      <c r="X70" s="104">
        <f>IF('Employee Master'!B70="","",MIN(W70*2,10))</f>
        <v>6</v>
      </c>
      <c r="Y70" s="108">
        <f>IF('Employee Master'!B70="","",3)</f>
        <v>3</v>
      </c>
      <c r="Z70" s="104">
        <f>IF('Employee Master'!B70="","",MIN(Y70*2,10))</f>
        <v>6</v>
      </c>
      <c r="AA70" s="109">
        <f>IF('Employee Master'!B70="","",T70+V70+X70+Z70)</f>
        <v>24</v>
      </c>
      <c r="AB70" s="110">
        <f>IF('Employee Master'!B70="","",R70+AA70)</f>
        <v>45</v>
      </c>
      <c r="AC70" s="27" t="str">
        <f>IF('Employee Master'!B70="","",IF(AB70&gt;=85,"Exceptional",IF(AB70&gt;=70,"High Performer",IF(AB70&gt;=50,"Meets Expectations",IF(AB70&gt;=30,"Below Expectations","Underperformer")))))</f>
        <v>Below Expectations</v>
      </c>
      <c r="AD70" s="51">
        <f>IF('Employee Master'!B70="","",'Employee Master'!M70)</f>
        <v>24275</v>
      </c>
      <c r="AE70" s="52">
        <f>IF('Employee Master'!B70="","",IF(AB70&gt;=85,Settings!B31,IF(AB70&gt;=70,Settings!B32,IF(AB70&gt;=50,Settings!B33,IF(AB70&gt;=30,Settings!B34,Settings!B35)))))</f>
        <v>0.03</v>
      </c>
      <c r="AF70" s="51">
        <f>IF('Employee Master'!B70="","",AD70*(1+AE70))</f>
        <v>25003.25</v>
      </c>
      <c r="AG70" s="51">
        <f>IF('Employee Master'!B70="","",AF70-AD70)</f>
        <v>728.25</v>
      </c>
      <c r="AH70" s="51">
        <f>IF('Employee Master'!B70="","",AG70*12)</f>
        <v>8739</v>
      </c>
    </row>
    <row r="71" spans="1:34" ht="23.25" customHeight="1" x14ac:dyDescent="0.2">
      <c r="A71" s="27">
        <f>IF('Employee Master'!B71="","",ROW()-3)</f>
        <v>68</v>
      </c>
      <c r="B71" s="27" t="str">
        <f>IF('Employee Master'!B71="","",'Employee Master'!C71)</f>
        <v>Scarlett.C</v>
      </c>
      <c r="C71" s="27" t="str">
        <f>IF('Employee Master'!B71="","",'Employee Master'!D71)</f>
        <v>Remote</v>
      </c>
      <c r="D71" s="27" t="str">
        <f>IF('Employee Master'!B71="","",'Employee Master'!E71)</f>
        <v>Sr. Associate</v>
      </c>
      <c r="E71" s="27" t="str">
        <f>IF('Employee Master'!B71="","",'Employee Master'!G71)</f>
        <v>Jasleen.D</v>
      </c>
      <c r="F71" s="51">
        <f>IF('Employee Master'!B71="","",'⑥ Annual Performance'!R71)</f>
        <v>12</v>
      </c>
      <c r="G71" s="103">
        <f>IF('Employee Master'!B71="","",'⑥ Annual Performance'!J71)</f>
        <v>4.2135416666666668E-2</v>
      </c>
      <c r="H71" s="104">
        <f>IF('Employee Master'!B71="","",IF(G71&gt;=0.85,15,IF(G71&gt;=0.7,12,IF(G71&gt;=0.55,9,IF(G71&gt;=0.4,6,3)))))</f>
        <v>3</v>
      </c>
      <c r="I71" s="103">
        <f>IF('Employee Master'!B71="","",'⑥ Annual Performance'!Q71)</f>
        <v>0</v>
      </c>
      <c r="J71" s="104">
        <f>IF('Employee Master'!B71="","",IF(I71&gt;=0.98,10,IF(I71&gt;=0.95,8,IF(I71&gt;=0.9,6,IF(I71&gt;=0.85,4,2)))))</f>
        <v>2</v>
      </c>
      <c r="K71" s="105">
        <f>IF('Employee Master'!B71="","",'⑥ Annual Performance'!N71)</f>
        <v>0</v>
      </c>
      <c r="L71" s="104">
        <f>IF('Employee Master'!B71="","",IF(K71&gt;=1000,10,IF(K71&gt;=750,8,IF(K71&gt;=500,6,IF(K71&gt;=250,4,2)))))</f>
        <v>2</v>
      </c>
      <c r="M71" s="105">
        <f>IF('Employee Master'!B71="","",'⑥ Annual Performance'!K71)</f>
        <v>3</v>
      </c>
      <c r="N71" s="106">
        <f>IF('Employee Master'!B71="","",'⑥ Annual Performance'!L71)</f>
        <v>3.5</v>
      </c>
      <c r="O71" s="104">
        <f>IF('Employee Master'!B71="","",MIN(N71*2,10))</f>
        <v>7</v>
      </c>
      <c r="P71" s="104">
        <f>IF('Employee Master'!B71="","",IF(F71&gt;=36,5,IF(F71&gt;=24,4,IF(F71&gt;=12,3,IF(F71&gt;=6,2,1)))))</f>
        <v>3</v>
      </c>
      <c r="Q71" s="104">
        <f>IF('Employee Master'!B71="","",IF(D71="Sr. Controller",10,IF(D71="Coo",10,IF(D71="Controller",9,IF(D71="Asst. Controller",8,IF(D71="Sr. Manager",8,IF(D71="Manager",7,IF(D71="Asst. Manager",6,IF(D71="Team Lead",7,IF(D71="Asst. Team Lead",5,IF(D71="Sr. Associate",4,IF(D71="Associate",3,IF(D71="Full Stack Developer",5,IF(D71="Project Manager (S/W)",6,IF(D71="Marketing",4,4)))))))))))))))</f>
        <v>4</v>
      </c>
      <c r="R71" s="107">
        <f>IF('Employee Master'!B71="","",H71+J71+L71+O71+P71+Q71)</f>
        <v>21</v>
      </c>
      <c r="S71" s="108">
        <f>IF('Employee Master'!B71="","",3)</f>
        <v>3</v>
      </c>
      <c r="T71" s="104">
        <f>IF('Employee Master'!B71="","",MIN(S71*2,10))</f>
        <v>6</v>
      </c>
      <c r="U71" s="108">
        <f>IF('Employee Master'!B71="","",3)</f>
        <v>3</v>
      </c>
      <c r="V71" s="104">
        <f>IF('Employee Master'!B71="","",MIN(U71*2,10))</f>
        <v>6</v>
      </c>
      <c r="W71" s="108">
        <f>IF('Employee Master'!B71="","",3)</f>
        <v>3</v>
      </c>
      <c r="X71" s="104">
        <f>IF('Employee Master'!B71="","",MIN(W71*2,10))</f>
        <v>6</v>
      </c>
      <c r="Y71" s="108">
        <f>IF('Employee Master'!B71="","",3)</f>
        <v>3</v>
      </c>
      <c r="Z71" s="104">
        <f>IF('Employee Master'!B71="","",MIN(Y71*2,10))</f>
        <v>6</v>
      </c>
      <c r="AA71" s="109">
        <f>IF('Employee Master'!B71="","",T71+V71+X71+Z71)</f>
        <v>24</v>
      </c>
      <c r="AB71" s="110">
        <f>IF('Employee Master'!B71="","",R71+AA71)</f>
        <v>45</v>
      </c>
      <c r="AC71" s="27" t="str">
        <f>IF('Employee Master'!B71="","",IF(AB71&gt;=85,"Exceptional",IF(AB71&gt;=70,"High Performer",IF(AB71&gt;=50,"Meets Expectations",IF(AB71&gt;=30,"Below Expectations","Underperformer")))))</f>
        <v>Below Expectations</v>
      </c>
      <c r="AD71" s="51">
        <f>IF('Employee Master'!B71="","",'Employee Master'!M71)</f>
        <v>45050</v>
      </c>
      <c r="AE71" s="52">
        <f>IF('Employee Master'!B71="","",IF(AB71&gt;=85,Settings!B31,IF(AB71&gt;=70,Settings!B32,IF(AB71&gt;=50,Settings!B33,IF(AB71&gt;=30,Settings!B34,Settings!B35)))))</f>
        <v>0.03</v>
      </c>
      <c r="AF71" s="51">
        <f>IF('Employee Master'!B71="","",AD71*(1+AE71))</f>
        <v>46401.5</v>
      </c>
      <c r="AG71" s="51">
        <f>IF('Employee Master'!B71="","",AF71-AD71)</f>
        <v>1351.5</v>
      </c>
      <c r="AH71" s="51">
        <f>IF('Employee Master'!B71="","",AG71*12)</f>
        <v>16218</v>
      </c>
    </row>
    <row r="72" spans="1:34" ht="23.25" customHeight="1" x14ac:dyDescent="0.2">
      <c r="A72" s="27">
        <f>IF('Employee Master'!B72="","",ROW()-3)</f>
        <v>69</v>
      </c>
      <c r="B72" s="27" t="str">
        <f>IF('Employee Master'!B72="","",'Employee Master'!C72)</f>
        <v>Alan</v>
      </c>
      <c r="C72" s="27" t="str">
        <f>IF('Employee Master'!B72="","",'Employee Master'!D72)</f>
        <v>In-house</v>
      </c>
      <c r="D72" s="27" t="str">
        <f>IF('Employee Master'!B72="","",'Employee Master'!E72)</f>
        <v>Project Manager (S/W)</v>
      </c>
      <c r="E72" s="27" t="str">
        <f>IF('Employee Master'!B72="","",'Employee Master'!G72)</f>
        <v>--</v>
      </c>
      <c r="F72" s="51">
        <f>IF('Employee Master'!B72="","",'⑥ Annual Performance'!R72)</f>
        <v>12</v>
      </c>
      <c r="G72" s="103">
        <f>IF('Employee Master'!B72="","",'⑥ Annual Performance'!J72)</f>
        <v>9.3854166666666655E-2</v>
      </c>
      <c r="H72" s="104">
        <f>IF('Employee Master'!B72="","",IF(G72&gt;=0.85,15,IF(G72&gt;=0.7,12,IF(G72&gt;=0.55,9,IF(G72&gt;=0.4,6,3)))))</f>
        <v>3</v>
      </c>
      <c r="I72" s="103">
        <f>IF('Employee Master'!B72="","",'⑥ Annual Performance'!Q72)</f>
        <v>0</v>
      </c>
      <c r="J72" s="104">
        <f>IF('Employee Master'!B72="","",IF(I72&gt;=0.98,10,IF(I72&gt;=0.95,8,IF(I72&gt;=0.9,6,IF(I72&gt;=0.85,4,2)))))</f>
        <v>2</v>
      </c>
      <c r="K72" s="105">
        <f>IF('Employee Master'!B72="","",'⑥ Annual Performance'!N72)</f>
        <v>0</v>
      </c>
      <c r="L72" s="104">
        <f>IF('Employee Master'!B72="","",IF(K72&gt;=1000,10,IF(K72&gt;=750,8,IF(K72&gt;=500,6,IF(K72&gt;=250,4,2)))))</f>
        <v>2</v>
      </c>
      <c r="M72" s="105">
        <f>IF('Employee Master'!B72="","",'⑥ Annual Performance'!K72)</f>
        <v>2</v>
      </c>
      <c r="N72" s="106">
        <f>IF('Employee Master'!B72="","",'⑥ Annual Performance'!L72)</f>
        <v>3.5</v>
      </c>
      <c r="O72" s="104">
        <f>IF('Employee Master'!B72="","",MIN(N72*2,10))</f>
        <v>7</v>
      </c>
      <c r="P72" s="104">
        <f>IF('Employee Master'!B72="","",IF(F72&gt;=36,5,IF(F72&gt;=24,4,IF(F72&gt;=12,3,IF(F72&gt;=6,2,1)))))</f>
        <v>3</v>
      </c>
      <c r="Q72" s="104">
        <f>IF('Employee Master'!B72="","",IF(D72="Sr. Controller",10,IF(D72="Coo",10,IF(D72="Controller",9,IF(D72="Asst. Controller",8,IF(D72="Sr. Manager",8,IF(D72="Manager",7,IF(D72="Asst. Manager",6,IF(D72="Team Lead",7,IF(D72="Asst. Team Lead",5,IF(D72="Sr. Associate",4,IF(D72="Associate",3,IF(D72="Full Stack Developer",5,IF(D72="Project Manager (S/W)",6,IF(D72="Marketing",4,4)))))))))))))))</f>
        <v>6</v>
      </c>
      <c r="R72" s="107">
        <f>IF('Employee Master'!B72="","",H72+J72+L72+O72+P72+Q72)</f>
        <v>23</v>
      </c>
      <c r="S72" s="108">
        <f>IF('Employee Master'!B72="","",3)</f>
        <v>3</v>
      </c>
      <c r="T72" s="104">
        <f>IF('Employee Master'!B72="","",MIN(S72*2,10))</f>
        <v>6</v>
      </c>
      <c r="U72" s="108">
        <f>IF('Employee Master'!B72="","",3)</f>
        <v>3</v>
      </c>
      <c r="V72" s="104">
        <f>IF('Employee Master'!B72="","",MIN(U72*2,10))</f>
        <v>6</v>
      </c>
      <c r="W72" s="108">
        <f>IF('Employee Master'!B72="","",3)</f>
        <v>3</v>
      </c>
      <c r="X72" s="104">
        <f>IF('Employee Master'!B72="","",MIN(W72*2,10))</f>
        <v>6</v>
      </c>
      <c r="Y72" s="108">
        <f>IF('Employee Master'!B72="","",3)</f>
        <v>3</v>
      </c>
      <c r="Z72" s="104">
        <f>IF('Employee Master'!B72="","",MIN(Y72*2,10))</f>
        <v>6</v>
      </c>
      <c r="AA72" s="109">
        <f>IF('Employee Master'!B72="","",T72+V72+X72+Z72)</f>
        <v>24</v>
      </c>
      <c r="AB72" s="110">
        <f>IF('Employee Master'!B72="","",R72+AA72)</f>
        <v>47</v>
      </c>
      <c r="AC72" s="27" t="str">
        <f>IF('Employee Master'!B72="","",IF(AB72&gt;=85,"Exceptional",IF(AB72&gt;=70,"High Performer",IF(AB72&gt;=50,"Meets Expectations",IF(AB72&gt;=30,"Below Expectations","Underperformer")))))</f>
        <v>Below Expectations</v>
      </c>
      <c r="AD72" s="51">
        <f>IF('Employee Master'!B72="","",'Employee Master'!M72)</f>
        <v>125000</v>
      </c>
      <c r="AE72" s="52">
        <f>IF('Employee Master'!B72="","",IF(AB72&gt;=85,Settings!B31,IF(AB72&gt;=70,Settings!B32,IF(AB72&gt;=50,Settings!B33,IF(AB72&gt;=30,Settings!B34,Settings!B35)))))</f>
        <v>0.03</v>
      </c>
      <c r="AF72" s="51">
        <f>IF('Employee Master'!B72="","",AD72*(1+AE72))</f>
        <v>128750</v>
      </c>
      <c r="AG72" s="51">
        <f>IF('Employee Master'!B72="","",AF72-AD72)</f>
        <v>3750</v>
      </c>
      <c r="AH72" s="51">
        <f>IF('Employee Master'!B72="","",AG72*12)</f>
        <v>45000</v>
      </c>
    </row>
    <row r="73" spans="1:34" ht="23.25" customHeight="1" x14ac:dyDescent="0.2">
      <c r="A73" s="27">
        <f>IF('Employee Master'!B73="","",ROW()-3)</f>
        <v>70</v>
      </c>
      <c r="B73" s="27" t="str">
        <f>IF('Employee Master'!B73="","",'Employee Master'!C73)</f>
        <v>Farheen.F</v>
      </c>
      <c r="C73" s="27" t="str">
        <f>IF('Employee Master'!B73="","",'Employee Master'!D73)</f>
        <v>Remote</v>
      </c>
      <c r="D73" s="27" t="str">
        <f>IF('Employee Master'!B73="","",'Employee Master'!E73)</f>
        <v>Associate</v>
      </c>
      <c r="E73" s="27" t="str">
        <f>IF('Employee Master'!B73="","",'Employee Master'!G73)</f>
        <v>Jasleen.D</v>
      </c>
      <c r="F73" s="51">
        <f>IF('Employee Master'!B73="","",'⑥ Annual Performance'!R73)</f>
        <v>12</v>
      </c>
      <c r="G73" s="103">
        <f>IF('Employee Master'!B73="","",'⑥ Annual Performance'!J73)</f>
        <v>0</v>
      </c>
      <c r="H73" s="104">
        <f>IF('Employee Master'!B73="","",IF(G73&gt;=0.85,15,IF(G73&gt;=0.7,12,IF(G73&gt;=0.55,9,IF(G73&gt;=0.4,6,3)))))</f>
        <v>3</v>
      </c>
      <c r="I73" s="103">
        <f>IF('Employee Master'!B73="","",'⑥ Annual Performance'!Q73)</f>
        <v>0</v>
      </c>
      <c r="J73" s="104">
        <f>IF('Employee Master'!B73="","",IF(I73&gt;=0.98,10,IF(I73&gt;=0.95,8,IF(I73&gt;=0.9,6,IF(I73&gt;=0.85,4,2)))))</f>
        <v>2</v>
      </c>
      <c r="K73" s="105">
        <f>IF('Employee Master'!B73="","",'⑥ Annual Performance'!N73)</f>
        <v>0</v>
      </c>
      <c r="L73" s="104">
        <f>IF('Employee Master'!B73="","",IF(K73&gt;=1000,10,IF(K73&gt;=750,8,IF(K73&gt;=500,6,IF(K73&gt;=250,4,2)))))</f>
        <v>2</v>
      </c>
      <c r="M73" s="105">
        <f>IF('Employee Master'!B73="","",'⑥ Annual Performance'!K73)</f>
        <v>0</v>
      </c>
      <c r="N73" s="106">
        <f>IF('Employee Master'!B73="","",'⑥ Annual Performance'!L73)</f>
        <v>3.5</v>
      </c>
      <c r="O73" s="104">
        <f>IF('Employee Master'!B73="","",MIN(N73*2,10))</f>
        <v>7</v>
      </c>
      <c r="P73" s="104">
        <f>IF('Employee Master'!B73="","",IF(F73&gt;=36,5,IF(F73&gt;=24,4,IF(F73&gt;=12,3,IF(F73&gt;=6,2,1)))))</f>
        <v>3</v>
      </c>
      <c r="Q73" s="104">
        <f>IF('Employee Master'!B73="","",IF(D73="Sr. Controller",10,IF(D73="Coo",10,IF(D73="Controller",9,IF(D73="Asst. Controller",8,IF(D73="Sr. Manager",8,IF(D73="Manager",7,IF(D73="Asst. Manager",6,IF(D73="Team Lead",7,IF(D73="Asst. Team Lead",5,IF(D73="Sr. Associate",4,IF(D73="Associate",3,IF(D73="Full Stack Developer",5,IF(D73="Project Manager (S/W)",6,IF(D73="Marketing",4,4)))))))))))))))</f>
        <v>3</v>
      </c>
      <c r="R73" s="107">
        <f>IF('Employee Master'!B73="","",H73+J73+L73+O73+P73+Q73)</f>
        <v>20</v>
      </c>
      <c r="S73" s="108">
        <f>IF('Employee Master'!B73="","",3)</f>
        <v>3</v>
      </c>
      <c r="T73" s="104">
        <f>IF('Employee Master'!B73="","",MIN(S73*2,10))</f>
        <v>6</v>
      </c>
      <c r="U73" s="108">
        <f>IF('Employee Master'!B73="","",3)</f>
        <v>3</v>
      </c>
      <c r="V73" s="104">
        <f>IF('Employee Master'!B73="","",MIN(U73*2,10))</f>
        <v>6</v>
      </c>
      <c r="W73" s="108">
        <f>IF('Employee Master'!B73="","",3)</f>
        <v>3</v>
      </c>
      <c r="X73" s="104">
        <f>IF('Employee Master'!B73="","",MIN(W73*2,10))</f>
        <v>6</v>
      </c>
      <c r="Y73" s="108">
        <f>IF('Employee Master'!B73="","",3)</f>
        <v>3</v>
      </c>
      <c r="Z73" s="104">
        <f>IF('Employee Master'!B73="","",MIN(Y73*2,10))</f>
        <v>6</v>
      </c>
      <c r="AA73" s="109">
        <f>IF('Employee Master'!B73="","",T73+V73+X73+Z73)</f>
        <v>24</v>
      </c>
      <c r="AB73" s="110">
        <f>IF('Employee Master'!B73="","",R73+AA73)</f>
        <v>44</v>
      </c>
      <c r="AC73" s="27" t="str">
        <f>IF('Employee Master'!B73="","",IF(AB73&gt;=85,"Exceptional",IF(AB73&gt;=70,"High Performer",IF(AB73&gt;=50,"Meets Expectations",IF(AB73&gt;=30,"Below Expectations","Underperformer")))))</f>
        <v>Below Expectations</v>
      </c>
      <c r="AD73" s="51">
        <f>IF('Employee Master'!B73="","",'Employee Master'!M73)</f>
        <v>39500</v>
      </c>
      <c r="AE73" s="52">
        <f>IF('Employee Master'!B73="","",IF(AB73&gt;=85,Settings!B31,IF(AB73&gt;=70,Settings!B32,IF(AB73&gt;=50,Settings!B33,IF(AB73&gt;=30,Settings!B34,Settings!B35)))))</f>
        <v>0.03</v>
      </c>
      <c r="AF73" s="51">
        <f>IF('Employee Master'!B73="","",AD73*(1+AE73))</f>
        <v>40685</v>
      </c>
      <c r="AG73" s="51">
        <f>IF('Employee Master'!B73="","",AF73-AD73)</f>
        <v>1185</v>
      </c>
      <c r="AH73" s="51">
        <f>IF('Employee Master'!B73="","",AG73*12)</f>
        <v>14220</v>
      </c>
    </row>
    <row r="74" spans="1:34" ht="23.25" customHeight="1" x14ac:dyDescent="0.2">
      <c r="A74" s="27">
        <f>IF('Employee Master'!B74="","",ROW()-3)</f>
        <v>71</v>
      </c>
      <c r="B74" s="27" t="str">
        <f>IF('Employee Master'!B74="","",'Employee Master'!C74)</f>
        <v>Megha.J</v>
      </c>
      <c r="C74" s="27" t="str">
        <f>IF('Employee Master'!B74="","",'Employee Master'!D74)</f>
        <v>Remote</v>
      </c>
      <c r="D74" s="27" t="str">
        <f>IF('Employee Master'!B74="","",'Employee Master'!E74)</f>
        <v>Associate</v>
      </c>
      <c r="E74" s="27" t="str">
        <f>IF('Employee Master'!B74="","",'Employee Master'!G74)</f>
        <v>Jasleen.D</v>
      </c>
      <c r="F74" s="51">
        <f>IF('Employee Master'!B74="","",'⑥ Annual Performance'!R74)</f>
        <v>12</v>
      </c>
      <c r="G74" s="103">
        <f>IF('Employee Master'!B74="","",'⑥ Annual Performance'!J74)</f>
        <v>8.2291666666666666E-2</v>
      </c>
      <c r="H74" s="104">
        <f>IF('Employee Master'!B74="","",IF(G74&gt;=0.85,15,IF(G74&gt;=0.7,12,IF(G74&gt;=0.55,9,IF(G74&gt;=0.4,6,3)))))</f>
        <v>3</v>
      </c>
      <c r="I74" s="103">
        <f>IF('Employee Master'!B74="","",'⑥ Annual Performance'!Q74)</f>
        <v>0</v>
      </c>
      <c r="J74" s="104">
        <f>IF('Employee Master'!B74="","",IF(I74&gt;=0.98,10,IF(I74&gt;=0.95,8,IF(I74&gt;=0.9,6,IF(I74&gt;=0.85,4,2)))))</f>
        <v>2</v>
      </c>
      <c r="K74" s="105">
        <f>IF('Employee Master'!B74="","",'⑥ Annual Performance'!N74)</f>
        <v>0</v>
      </c>
      <c r="L74" s="104">
        <f>IF('Employee Master'!B74="","",IF(K74&gt;=1000,10,IF(K74&gt;=750,8,IF(K74&gt;=500,6,IF(K74&gt;=250,4,2)))))</f>
        <v>2</v>
      </c>
      <c r="M74" s="105">
        <f>IF('Employee Master'!B74="","",'⑥ Annual Performance'!K74)</f>
        <v>2</v>
      </c>
      <c r="N74" s="106">
        <f>IF('Employee Master'!B74="","",'⑥ Annual Performance'!L74)</f>
        <v>3.5</v>
      </c>
      <c r="O74" s="104">
        <f>IF('Employee Master'!B74="","",MIN(N74*2,10))</f>
        <v>7</v>
      </c>
      <c r="P74" s="104">
        <f>IF('Employee Master'!B74="","",IF(F74&gt;=36,5,IF(F74&gt;=24,4,IF(F74&gt;=12,3,IF(F74&gt;=6,2,1)))))</f>
        <v>3</v>
      </c>
      <c r="Q74" s="104">
        <f>IF('Employee Master'!B74="","",IF(D74="Sr. Controller",10,IF(D74="Coo",10,IF(D74="Controller",9,IF(D74="Asst. Controller",8,IF(D74="Sr. Manager",8,IF(D74="Manager",7,IF(D74="Asst. Manager",6,IF(D74="Team Lead",7,IF(D74="Asst. Team Lead",5,IF(D74="Sr. Associate",4,IF(D74="Associate",3,IF(D74="Full Stack Developer",5,IF(D74="Project Manager (S/W)",6,IF(D74="Marketing",4,4)))))))))))))))</f>
        <v>3</v>
      </c>
      <c r="R74" s="107">
        <f>IF('Employee Master'!B74="","",H74+J74+L74+O74+P74+Q74)</f>
        <v>20</v>
      </c>
      <c r="S74" s="108">
        <f>IF('Employee Master'!B74="","",3)</f>
        <v>3</v>
      </c>
      <c r="T74" s="104">
        <f>IF('Employee Master'!B74="","",MIN(S74*2,10))</f>
        <v>6</v>
      </c>
      <c r="U74" s="108">
        <f>IF('Employee Master'!B74="","",3)</f>
        <v>3</v>
      </c>
      <c r="V74" s="104">
        <f>IF('Employee Master'!B74="","",MIN(U74*2,10))</f>
        <v>6</v>
      </c>
      <c r="W74" s="108">
        <f>IF('Employee Master'!B74="","",3)</f>
        <v>3</v>
      </c>
      <c r="X74" s="104">
        <f>IF('Employee Master'!B74="","",MIN(W74*2,10))</f>
        <v>6</v>
      </c>
      <c r="Y74" s="108">
        <f>IF('Employee Master'!B74="","",3)</f>
        <v>3</v>
      </c>
      <c r="Z74" s="104">
        <f>IF('Employee Master'!B74="","",MIN(Y74*2,10))</f>
        <v>6</v>
      </c>
      <c r="AA74" s="109">
        <f>IF('Employee Master'!B74="","",T74+V74+X74+Z74)</f>
        <v>24</v>
      </c>
      <c r="AB74" s="110">
        <f>IF('Employee Master'!B74="","",R74+AA74)</f>
        <v>44</v>
      </c>
      <c r="AC74" s="27" t="str">
        <f>IF('Employee Master'!B74="","",IF(AB74&gt;=85,"Exceptional",IF(AB74&gt;=70,"High Performer",IF(AB74&gt;=50,"Meets Expectations",IF(AB74&gt;=30,"Below Expectations","Underperformer")))))</f>
        <v>Below Expectations</v>
      </c>
      <c r="AD74" s="51">
        <f>IF('Employee Master'!B74="","",'Employee Master'!M74)</f>
        <v>45288</v>
      </c>
      <c r="AE74" s="52">
        <f>IF('Employee Master'!B74="","",IF(AB74&gt;=85,Settings!B31,IF(AB74&gt;=70,Settings!B32,IF(AB74&gt;=50,Settings!B33,IF(AB74&gt;=30,Settings!B34,Settings!B35)))))</f>
        <v>0.03</v>
      </c>
      <c r="AF74" s="51">
        <f>IF('Employee Master'!B74="","",AD74*(1+AE74))</f>
        <v>46646.64</v>
      </c>
      <c r="AG74" s="51">
        <f>IF('Employee Master'!B74="","",AF74-AD74)</f>
        <v>1358.6399999999994</v>
      </c>
      <c r="AH74" s="51">
        <f>IF('Employee Master'!B74="","",AG74*12)</f>
        <v>16303.679999999993</v>
      </c>
    </row>
    <row r="75" spans="1:34" ht="23.25" customHeight="1" x14ac:dyDescent="0.2">
      <c r="A75" s="27">
        <f>IF('Employee Master'!B75="","",ROW()-3)</f>
        <v>72</v>
      </c>
      <c r="B75" s="27" t="str">
        <f>IF('Employee Master'!B75="","",'Employee Master'!C75)</f>
        <v>Prachi.G</v>
      </c>
      <c r="C75" s="27" t="str">
        <f>IF('Employee Master'!B75="","",'Employee Master'!D75)</f>
        <v>In-house</v>
      </c>
      <c r="D75" s="27" t="str">
        <f>IF('Employee Master'!B75="","",'Employee Master'!E75)</f>
        <v>Sr. Manager</v>
      </c>
      <c r="E75" s="27" t="str">
        <f>IF('Employee Master'!B75="","",'Employee Master'!G75)</f>
        <v>Sachi Mazumdar</v>
      </c>
      <c r="F75" s="51">
        <f>IF('Employee Master'!B75="","",'⑥ Annual Performance'!R75)</f>
        <v>12</v>
      </c>
      <c r="G75" s="103">
        <f>IF('Employee Master'!B75="","",'⑥ Annual Performance'!J75)</f>
        <v>8.3958333333333329E-2</v>
      </c>
      <c r="H75" s="104">
        <f>IF('Employee Master'!B75="","",IF(G75&gt;=0.85,15,IF(G75&gt;=0.7,12,IF(G75&gt;=0.55,9,IF(G75&gt;=0.4,6,3)))))</f>
        <v>3</v>
      </c>
      <c r="I75" s="103">
        <f>IF('Employee Master'!B75="","",'⑥ Annual Performance'!Q75)</f>
        <v>0</v>
      </c>
      <c r="J75" s="104">
        <f>IF('Employee Master'!B75="","",IF(I75&gt;=0.98,10,IF(I75&gt;=0.95,8,IF(I75&gt;=0.9,6,IF(I75&gt;=0.85,4,2)))))</f>
        <v>2</v>
      </c>
      <c r="K75" s="105">
        <f>IF('Employee Master'!B75="","",'⑥ Annual Performance'!N75)</f>
        <v>0</v>
      </c>
      <c r="L75" s="104">
        <f>IF('Employee Master'!B75="","",IF(K75&gt;=1000,10,IF(K75&gt;=750,8,IF(K75&gt;=500,6,IF(K75&gt;=250,4,2)))))</f>
        <v>2</v>
      </c>
      <c r="M75" s="105">
        <f>IF('Employee Master'!B75="","",'⑥ Annual Performance'!K75)</f>
        <v>2</v>
      </c>
      <c r="N75" s="106">
        <f>IF('Employee Master'!B75="","",'⑥ Annual Performance'!L75)</f>
        <v>3.5</v>
      </c>
      <c r="O75" s="104">
        <f>IF('Employee Master'!B75="","",MIN(N75*2,10))</f>
        <v>7</v>
      </c>
      <c r="P75" s="104">
        <f>IF('Employee Master'!B75="","",IF(F75&gt;=36,5,IF(F75&gt;=24,4,IF(F75&gt;=12,3,IF(F75&gt;=6,2,1)))))</f>
        <v>3</v>
      </c>
      <c r="Q75" s="104">
        <f>IF('Employee Master'!B75="","",IF(D75="Sr. Controller",10,IF(D75="Coo",10,IF(D75="Controller",9,IF(D75="Asst. Controller",8,IF(D75="Sr. Manager",8,IF(D75="Manager",7,IF(D75="Asst. Manager",6,IF(D75="Team Lead",7,IF(D75="Asst. Team Lead",5,IF(D75="Sr. Associate",4,IF(D75="Associate",3,IF(D75="Full Stack Developer",5,IF(D75="Project Manager (S/W)",6,IF(D75="Marketing",4,4)))))))))))))))</f>
        <v>8</v>
      </c>
      <c r="R75" s="107">
        <f>IF('Employee Master'!B75="","",H75+J75+L75+O75+P75+Q75)</f>
        <v>25</v>
      </c>
      <c r="S75" s="108">
        <f>IF('Employee Master'!B75="","",3)</f>
        <v>3</v>
      </c>
      <c r="T75" s="104">
        <f>IF('Employee Master'!B75="","",MIN(S75*2,10))</f>
        <v>6</v>
      </c>
      <c r="U75" s="108">
        <f>IF('Employee Master'!B75="","",3)</f>
        <v>3</v>
      </c>
      <c r="V75" s="104">
        <f>IF('Employee Master'!B75="","",MIN(U75*2,10))</f>
        <v>6</v>
      </c>
      <c r="W75" s="108">
        <f>IF('Employee Master'!B75="","",3)</f>
        <v>3</v>
      </c>
      <c r="X75" s="104">
        <f>IF('Employee Master'!B75="","",MIN(W75*2,10))</f>
        <v>6</v>
      </c>
      <c r="Y75" s="108">
        <f>IF('Employee Master'!B75="","",3)</f>
        <v>3</v>
      </c>
      <c r="Z75" s="104">
        <f>IF('Employee Master'!B75="","",MIN(Y75*2,10))</f>
        <v>6</v>
      </c>
      <c r="AA75" s="109">
        <f>IF('Employee Master'!B75="","",T75+V75+X75+Z75)</f>
        <v>24</v>
      </c>
      <c r="AB75" s="110">
        <f>IF('Employee Master'!B75="","",R75+AA75)</f>
        <v>49</v>
      </c>
      <c r="AC75" s="27" t="str">
        <f>IF('Employee Master'!B75="","",IF(AB75&gt;=85,"Exceptional",IF(AB75&gt;=70,"High Performer",IF(AB75&gt;=50,"Meets Expectations",IF(AB75&gt;=30,"Below Expectations","Underperformer")))))</f>
        <v>Below Expectations</v>
      </c>
      <c r="AD75" s="51">
        <f>IF('Employee Master'!B75="","",'Employee Master'!M75)</f>
        <v>316667</v>
      </c>
      <c r="AE75" s="52">
        <f>IF('Employee Master'!B75="","",IF(AB75&gt;=85,Settings!B31,IF(AB75&gt;=70,Settings!B32,IF(AB75&gt;=50,Settings!B33,IF(AB75&gt;=30,Settings!B34,Settings!B35)))))</f>
        <v>0.03</v>
      </c>
      <c r="AF75" s="51">
        <f>IF('Employee Master'!B75="","",AD75*(1+AE75))</f>
        <v>326167.01</v>
      </c>
      <c r="AG75" s="51">
        <f>IF('Employee Master'!B75="","",AF75-AD75)</f>
        <v>9500.0100000000093</v>
      </c>
      <c r="AH75" s="51">
        <f>IF('Employee Master'!B75="","",AG75*12)</f>
        <v>114000.12000000011</v>
      </c>
    </row>
    <row r="76" spans="1:34" ht="23.25" customHeight="1" x14ac:dyDescent="0.2">
      <c r="A76" s="27">
        <f>IF('Employee Master'!B76="","",ROW()-3)</f>
        <v>73</v>
      </c>
      <c r="B76" s="27" t="str">
        <f>IF('Employee Master'!B76="","",'Employee Master'!C76)</f>
        <v>Itee.S</v>
      </c>
      <c r="C76" s="27" t="str">
        <f>IF('Employee Master'!B76="","",'Employee Master'!D76)</f>
        <v>Remote</v>
      </c>
      <c r="D76" s="27" t="str">
        <f>IF('Employee Master'!B76="","",'Employee Master'!E76)</f>
        <v>Associate</v>
      </c>
      <c r="E76" s="27" t="str">
        <f>IF('Employee Master'!B76="","",'Employee Master'!G76)</f>
        <v>Ayushi</v>
      </c>
      <c r="F76" s="51">
        <f>IF('Employee Master'!B76="","",'⑥ Annual Performance'!R76)</f>
        <v>12</v>
      </c>
      <c r="G76" s="103">
        <f>IF('Employee Master'!B76="","",'⑥ Annual Performance'!J76)</f>
        <v>0.10312499999999999</v>
      </c>
      <c r="H76" s="104">
        <f>IF('Employee Master'!B76="","",IF(G76&gt;=0.85,15,IF(G76&gt;=0.7,12,IF(G76&gt;=0.55,9,IF(G76&gt;=0.4,6,3)))))</f>
        <v>3</v>
      </c>
      <c r="I76" s="103">
        <f>IF('Employee Master'!B76="","",'⑥ Annual Performance'!Q76)</f>
        <v>0</v>
      </c>
      <c r="J76" s="104">
        <f>IF('Employee Master'!B76="","",IF(I76&gt;=0.98,10,IF(I76&gt;=0.95,8,IF(I76&gt;=0.9,6,IF(I76&gt;=0.85,4,2)))))</f>
        <v>2</v>
      </c>
      <c r="K76" s="105">
        <f>IF('Employee Master'!B76="","",'⑥ Annual Performance'!N76)</f>
        <v>0</v>
      </c>
      <c r="L76" s="104">
        <f>IF('Employee Master'!B76="","",IF(K76&gt;=1000,10,IF(K76&gt;=750,8,IF(K76&gt;=500,6,IF(K76&gt;=250,4,2)))))</f>
        <v>2</v>
      </c>
      <c r="M76" s="105">
        <f>IF('Employee Master'!B76="","",'⑥ Annual Performance'!K76)</f>
        <v>1</v>
      </c>
      <c r="N76" s="106">
        <f>IF('Employee Master'!B76="","",'⑥ Annual Performance'!L76)</f>
        <v>3.5</v>
      </c>
      <c r="O76" s="104">
        <f>IF('Employee Master'!B76="","",MIN(N76*2,10))</f>
        <v>7</v>
      </c>
      <c r="P76" s="104">
        <f>IF('Employee Master'!B76="","",IF(F76&gt;=36,5,IF(F76&gt;=24,4,IF(F76&gt;=12,3,IF(F76&gt;=6,2,1)))))</f>
        <v>3</v>
      </c>
      <c r="Q76" s="104">
        <f>IF('Employee Master'!B76="","",IF(D76="Sr. Controller",10,IF(D76="Coo",10,IF(D76="Controller",9,IF(D76="Asst. Controller",8,IF(D76="Sr. Manager",8,IF(D76="Manager",7,IF(D76="Asst. Manager",6,IF(D76="Team Lead",7,IF(D76="Asst. Team Lead",5,IF(D76="Sr. Associate",4,IF(D76="Associate",3,IF(D76="Full Stack Developer",5,IF(D76="Project Manager (S/W)",6,IF(D76="Marketing",4,4)))))))))))))))</f>
        <v>3</v>
      </c>
      <c r="R76" s="107">
        <f>IF('Employee Master'!B76="","",H76+J76+L76+O76+P76+Q76)</f>
        <v>20</v>
      </c>
      <c r="S76" s="108">
        <f>IF('Employee Master'!B76="","",3)</f>
        <v>3</v>
      </c>
      <c r="T76" s="104">
        <f>IF('Employee Master'!B76="","",MIN(S76*2,10))</f>
        <v>6</v>
      </c>
      <c r="U76" s="108">
        <f>IF('Employee Master'!B76="","",3)</f>
        <v>3</v>
      </c>
      <c r="V76" s="104">
        <f>IF('Employee Master'!B76="","",MIN(U76*2,10))</f>
        <v>6</v>
      </c>
      <c r="W76" s="108">
        <f>IF('Employee Master'!B76="","",3)</f>
        <v>3</v>
      </c>
      <c r="X76" s="104">
        <f>IF('Employee Master'!B76="","",MIN(W76*2,10))</f>
        <v>6</v>
      </c>
      <c r="Y76" s="108">
        <f>IF('Employee Master'!B76="","",3)</f>
        <v>3</v>
      </c>
      <c r="Z76" s="104">
        <f>IF('Employee Master'!B76="","",MIN(Y76*2,10))</f>
        <v>6</v>
      </c>
      <c r="AA76" s="109">
        <f>IF('Employee Master'!B76="","",T76+V76+X76+Z76)</f>
        <v>24</v>
      </c>
      <c r="AB76" s="110">
        <f>IF('Employee Master'!B76="","",R76+AA76)</f>
        <v>44</v>
      </c>
      <c r="AC76" s="27" t="str">
        <f>IF('Employee Master'!B76="","",IF(AB76&gt;=85,"Exceptional",IF(AB76&gt;=70,"High Performer",IF(AB76&gt;=50,"Meets Expectations",IF(AB76&gt;=30,"Below Expectations","Underperformer")))))</f>
        <v>Below Expectations</v>
      </c>
      <c r="AD76" s="51">
        <f>IF('Employee Master'!B76="","",'Employee Master'!M76)</f>
        <v>33363</v>
      </c>
      <c r="AE76" s="52">
        <f>IF('Employee Master'!B76="","",IF(AB76&gt;=85,Settings!B31,IF(AB76&gt;=70,Settings!B32,IF(AB76&gt;=50,Settings!B33,IF(AB76&gt;=30,Settings!B34,Settings!B35)))))</f>
        <v>0.03</v>
      </c>
      <c r="AF76" s="51">
        <f>IF('Employee Master'!B76="","",AD76*(1+AE76))</f>
        <v>34363.89</v>
      </c>
      <c r="AG76" s="51">
        <f>IF('Employee Master'!B76="","",AF76-AD76)</f>
        <v>1000.8899999999994</v>
      </c>
      <c r="AH76" s="51">
        <f>IF('Employee Master'!B76="","",AG76*12)</f>
        <v>12010.679999999993</v>
      </c>
    </row>
    <row r="77" spans="1:34" ht="23.25" customHeight="1" x14ac:dyDescent="0.2">
      <c r="A77" s="27">
        <f>IF('Employee Master'!B77="","",ROW()-3)</f>
        <v>74</v>
      </c>
      <c r="B77" s="27" t="str">
        <f>IF('Employee Master'!B77="","",'Employee Master'!C77)</f>
        <v>Anushka.G</v>
      </c>
      <c r="C77" s="27" t="str">
        <f>IF('Employee Master'!B77="","",'Employee Master'!D77)</f>
        <v>Remote</v>
      </c>
      <c r="D77" s="27" t="str">
        <f>IF('Employee Master'!B77="","",'Employee Master'!E77)</f>
        <v>Associate</v>
      </c>
      <c r="E77" s="27" t="str">
        <f>IF('Employee Master'!B77="","",'Employee Master'!G77)</f>
        <v>Nikita Shah</v>
      </c>
      <c r="F77" s="51">
        <f>IF('Employee Master'!B77="","",'⑥ Annual Performance'!R77)</f>
        <v>12</v>
      </c>
      <c r="G77" s="103">
        <f>IF('Employee Master'!B77="","",'⑥ Annual Performance'!J77)</f>
        <v>8.6875000000000008E-2</v>
      </c>
      <c r="H77" s="104">
        <f>IF('Employee Master'!B77="","",IF(G77&gt;=0.85,15,IF(G77&gt;=0.7,12,IF(G77&gt;=0.55,9,IF(G77&gt;=0.4,6,3)))))</f>
        <v>3</v>
      </c>
      <c r="I77" s="103">
        <f>IF('Employee Master'!B77="","",'⑥ Annual Performance'!Q77)</f>
        <v>0</v>
      </c>
      <c r="J77" s="104">
        <f>IF('Employee Master'!B77="","",IF(I77&gt;=0.98,10,IF(I77&gt;=0.95,8,IF(I77&gt;=0.9,6,IF(I77&gt;=0.85,4,2)))))</f>
        <v>2</v>
      </c>
      <c r="K77" s="105">
        <f>IF('Employee Master'!B77="","",'⑥ Annual Performance'!N77)</f>
        <v>0</v>
      </c>
      <c r="L77" s="104">
        <f>IF('Employee Master'!B77="","",IF(K77&gt;=1000,10,IF(K77&gt;=750,8,IF(K77&gt;=500,6,IF(K77&gt;=250,4,2)))))</f>
        <v>2</v>
      </c>
      <c r="M77" s="105">
        <f>IF('Employee Master'!B77="","",'⑥ Annual Performance'!K77)</f>
        <v>5</v>
      </c>
      <c r="N77" s="106">
        <f>IF('Employee Master'!B77="","",'⑥ Annual Performance'!L77)</f>
        <v>3.5</v>
      </c>
      <c r="O77" s="104">
        <f>IF('Employee Master'!B77="","",MIN(N77*2,10))</f>
        <v>7</v>
      </c>
      <c r="P77" s="104">
        <f>IF('Employee Master'!B77="","",IF(F77&gt;=36,5,IF(F77&gt;=24,4,IF(F77&gt;=12,3,IF(F77&gt;=6,2,1)))))</f>
        <v>3</v>
      </c>
      <c r="Q77" s="104">
        <f>IF('Employee Master'!B77="","",IF(D77="Sr. Controller",10,IF(D77="Coo",10,IF(D77="Controller",9,IF(D77="Asst. Controller",8,IF(D77="Sr. Manager",8,IF(D77="Manager",7,IF(D77="Asst. Manager",6,IF(D77="Team Lead",7,IF(D77="Asst. Team Lead",5,IF(D77="Sr. Associate",4,IF(D77="Associate",3,IF(D77="Full Stack Developer",5,IF(D77="Project Manager (S/W)",6,IF(D77="Marketing",4,4)))))))))))))))</f>
        <v>3</v>
      </c>
      <c r="R77" s="107">
        <f>IF('Employee Master'!B77="","",H77+J77+L77+O77+P77+Q77)</f>
        <v>20</v>
      </c>
      <c r="S77" s="108">
        <f>IF('Employee Master'!B77="","",3)</f>
        <v>3</v>
      </c>
      <c r="T77" s="104">
        <f>IF('Employee Master'!B77="","",MIN(S77*2,10))</f>
        <v>6</v>
      </c>
      <c r="U77" s="108">
        <f>IF('Employee Master'!B77="","",3)</f>
        <v>3</v>
      </c>
      <c r="V77" s="104">
        <f>IF('Employee Master'!B77="","",MIN(U77*2,10))</f>
        <v>6</v>
      </c>
      <c r="W77" s="108">
        <f>IF('Employee Master'!B77="","",3)</f>
        <v>3</v>
      </c>
      <c r="X77" s="104">
        <f>IF('Employee Master'!B77="","",MIN(W77*2,10))</f>
        <v>6</v>
      </c>
      <c r="Y77" s="108">
        <f>IF('Employee Master'!B77="","",3)</f>
        <v>3</v>
      </c>
      <c r="Z77" s="104">
        <f>IF('Employee Master'!B77="","",MIN(Y77*2,10))</f>
        <v>6</v>
      </c>
      <c r="AA77" s="109">
        <f>IF('Employee Master'!B77="","",T77+V77+X77+Z77)</f>
        <v>24</v>
      </c>
      <c r="AB77" s="110">
        <f>IF('Employee Master'!B77="","",R77+AA77)</f>
        <v>44</v>
      </c>
      <c r="AC77" s="27" t="str">
        <f>IF('Employee Master'!B77="","",IF(AB77&gt;=85,"Exceptional",IF(AB77&gt;=70,"High Performer",IF(AB77&gt;=50,"Meets Expectations",IF(AB77&gt;=30,"Below Expectations","Underperformer")))))</f>
        <v>Below Expectations</v>
      </c>
      <c r="AD77" s="51">
        <f>IF('Employee Master'!B77="","",'Employee Master'!M77)</f>
        <v>33200</v>
      </c>
      <c r="AE77" s="52">
        <f>IF('Employee Master'!B77="","",IF(AB77&gt;=85,Settings!B31,IF(AB77&gt;=70,Settings!B32,IF(AB77&gt;=50,Settings!B33,IF(AB77&gt;=30,Settings!B34,Settings!B35)))))</f>
        <v>0.03</v>
      </c>
      <c r="AF77" s="51">
        <f>IF('Employee Master'!B77="","",AD77*(1+AE77))</f>
        <v>34196</v>
      </c>
      <c r="AG77" s="51">
        <f>IF('Employee Master'!B77="","",AF77-AD77)</f>
        <v>996</v>
      </c>
      <c r="AH77" s="51">
        <f>IF('Employee Master'!B77="","",AG77*12)</f>
        <v>11952</v>
      </c>
    </row>
    <row r="78" spans="1:34" ht="23.25" customHeight="1" x14ac:dyDescent="0.2">
      <c r="A78" s="27">
        <f>IF('Employee Master'!B78="","",ROW()-3)</f>
        <v>75</v>
      </c>
      <c r="B78" s="27" t="str">
        <f>IF('Employee Master'!B78="","",'Employee Master'!C78)</f>
        <v>Priyanka.M</v>
      </c>
      <c r="C78" s="27" t="str">
        <f>IF('Employee Master'!B78="","",'Employee Master'!D78)</f>
        <v>Remote</v>
      </c>
      <c r="D78" s="27" t="str">
        <f>IF('Employee Master'!B78="","",'Employee Master'!E78)</f>
        <v>Asst. Team Lead</v>
      </c>
      <c r="E78" s="27" t="str">
        <f>IF('Employee Master'!B78="","",'Employee Master'!G78)</f>
        <v>Ayushi</v>
      </c>
      <c r="F78" s="51">
        <f>IF('Employee Master'!B78="","",'⑥ Annual Performance'!R78)</f>
        <v>12</v>
      </c>
      <c r="G78" s="103">
        <f>IF('Employee Master'!B78="","",'⑥ Annual Performance'!J78)</f>
        <v>8.6458333333333331E-2</v>
      </c>
      <c r="H78" s="104">
        <f>IF('Employee Master'!B78="","",IF(G78&gt;=0.85,15,IF(G78&gt;=0.7,12,IF(G78&gt;=0.55,9,IF(G78&gt;=0.4,6,3)))))</f>
        <v>3</v>
      </c>
      <c r="I78" s="103">
        <f>IF('Employee Master'!B78="","",'⑥ Annual Performance'!Q78)</f>
        <v>0</v>
      </c>
      <c r="J78" s="104">
        <f>IF('Employee Master'!B78="","",IF(I78&gt;=0.98,10,IF(I78&gt;=0.95,8,IF(I78&gt;=0.9,6,IF(I78&gt;=0.85,4,2)))))</f>
        <v>2</v>
      </c>
      <c r="K78" s="105">
        <f>IF('Employee Master'!B78="","",'⑥ Annual Performance'!N78)</f>
        <v>0</v>
      </c>
      <c r="L78" s="104">
        <f>IF('Employee Master'!B78="","",IF(K78&gt;=1000,10,IF(K78&gt;=750,8,IF(K78&gt;=500,6,IF(K78&gt;=250,4,2)))))</f>
        <v>2</v>
      </c>
      <c r="M78" s="105">
        <f>IF('Employee Master'!B78="","",'⑥ Annual Performance'!K78)</f>
        <v>1</v>
      </c>
      <c r="N78" s="106">
        <f>IF('Employee Master'!B78="","",'⑥ Annual Performance'!L78)</f>
        <v>3.5</v>
      </c>
      <c r="O78" s="104">
        <f>IF('Employee Master'!B78="","",MIN(N78*2,10))</f>
        <v>7</v>
      </c>
      <c r="P78" s="104">
        <f>IF('Employee Master'!B78="","",IF(F78&gt;=36,5,IF(F78&gt;=24,4,IF(F78&gt;=12,3,IF(F78&gt;=6,2,1)))))</f>
        <v>3</v>
      </c>
      <c r="Q78" s="104">
        <f>IF('Employee Master'!B78="","",IF(D78="Sr. Controller",10,IF(D78="Coo",10,IF(D78="Controller",9,IF(D78="Asst. Controller",8,IF(D78="Sr. Manager",8,IF(D78="Manager",7,IF(D78="Asst. Manager",6,IF(D78="Team Lead",7,IF(D78="Asst. Team Lead",5,IF(D78="Sr. Associate",4,IF(D78="Associate",3,IF(D78="Full Stack Developer",5,IF(D78="Project Manager (S/W)",6,IF(D78="Marketing",4,4)))))))))))))))</f>
        <v>5</v>
      </c>
      <c r="R78" s="107">
        <f>IF('Employee Master'!B78="","",H78+J78+L78+O78+P78+Q78)</f>
        <v>22</v>
      </c>
      <c r="S78" s="108">
        <f>IF('Employee Master'!B78="","",3)</f>
        <v>3</v>
      </c>
      <c r="T78" s="104">
        <f>IF('Employee Master'!B78="","",MIN(S78*2,10))</f>
        <v>6</v>
      </c>
      <c r="U78" s="108">
        <f>IF('Employee Master'!B78="","",3)</f>
        <v>3</v>
      </c>
      <c r="V78" s="104">
        <f>IF('Employee Master'!B78="","",MIN(U78*2,10))</f>
        <v>6</v>
      </c>
      <c r="W78" s="108">
        <f>IF('Employee Master'!B78="","",3)</f>
        <v>3</v>
      </c>
      <c r="X78" s="104">
        <f>IF('Employee Master'!B78="","",MIN(W78*2,10))</f>
        <v>6</v>
      </c>
      <c r="Y78" s="108">
        <f>IF('Employee Master'!B78="","",3)</f>
        <v>3</v>
      </c>
      <c r="Z78" s="104">
        <f>IF('Employee Master'!B78="","",MIN(Y78*2,10))</f>
        <v>6</v>
      </c>
      <c r="AA78" s="109">
        <f>IF('Employee Master'!B78="","",T78+V78+X78+Z78)</f>
        <v>24</v>
      </c>
      <c r="AB78" s="110">
        <f>IF('Employee Master'!B78="","",R78+AA78)</f>
        <v>46</v>
      </c>
      <c r="AC78" s="27" t="str">
        <f>IF('Employee Master'!B78="","",IF(AB78&gt;=85,"Exceptional",IF(AB78&gt;=70,"High Performer",IF(AB78&gt;=50,"Meets Expectations",IF(AB78&gt;=30,"Below Expectations","Underperformer")))))</f>
        <v>Below Expectations</v>
      </c>
      <c r="AD78" s="51">
        <f>IF('Employee Master'!B78="","",'Employee Master'!M78)</f>
        <v>63280</v>
      </c>
      <c r="AE78" s="52">
        <f>IF('Employee Master'!B78="","",IF(AB78&gt;=85,Settings!B31,IF(AB78&gt;=70,Settings!B32,IF(AB78&gt;=50,Settings!B33,IF(AB78&gt;=30,Settings!B34,Settings!B35)))))</f>
        <v>0.03</v>
      </c>
      <c r="AF78" s="51">
        <f>IF('Employee Master'!B78="","",AD78*(1+AE78))</f>
        <v>65178.400000000001</v>
      </c>
      <c r="AG78" s="51">
        <f>IF('Employee Master'!B78="","",AF78-AD78)</f>
        <v>1898.4000000000015</v>
      </c>
      <c r="AH78" s="51">
        <f>IF('Employee Master'!B78="","",AG78*12)</f>
        <v>22780.800000000017</v>
      </c>
    </row>
    <row r="79" spans="1:34" ht="23.25" customHeight="1" x14ac:dyDescent="0.2">
      <c r="A79" s="27">
        <f>IF('Employee Master'!B79="","",ROW()-3)</f>
        <v>76</v>
      </c>
      <c r="B79" s="27" t="str">
        <f>IF('Employee Master'!B79="","",'Employee Master'!C79)</f>
        <v>Raj.B</v>
      </c>
      <c r="C79" s="27" t="str">
        <f>IF('Employee Master'!B79="","",'Employee Master'!D79)</f>
        <v>Remote</v>
      </c>
      <c r="D79" s="27" t="str">
        <f>IF('Employee Master'!B79="","",'Employee Master'!E79)</f>
        <v>Sr. Associate</v>
      </c>
      <c r="E79" s="27" t="str">
        <f>IF('Employee Master'!B79="","",'Employee Master'!G79)</f>
        <v>Nikita Shah</v>
      </c>
      <c r="F79" s="51">
        <f>IF('Employee Master'!B79="","",'⑥ Annual Performance'!R79)</f>
        <v>12</v>
      </c>
      <c r="G79" s="103">
        <f>IF('Employee Master'!B79="","",'⑥ Annual Performance'!J79)</f>
        <v>8.2395833333333321E-2</v>
      </c>
      <c r="H79" s="104">
        <f>IF('Employee Master'!B79="","",IF(G79&gt;=0.85,15,IF(G79&gt;=0.7,12,IF(G79&gt;=0.55,9,IF(G79&gt;=0.4,6,3)))))</f>
        <v>3</v>
      </c>
      <c r="I79" s="103">
        <f>IF('Employee Master'!B79="","",'⑥ Annual Performance'!Q79)</f>
        <v>0</v>
      </c>
      <c r="J79" s="104">
        <f>IF('Employee Master'!B79="","",IF(I79&gt;=0.98,10,IF(I79&gt;=0.95,8,IF(I79&gt;=0.9,6,IF(I79&gt;=0.85,4,2)))))</f>
        <v>2</v>
      </c>
      <c r="K79" s="105">
        <f>IF('Employee Master'!B79="","",'⑥ Annual Performance'!N79)</f>
        <v>0</v>
      </c>
      <c r="L79" s="104">
        <f>IF('Employee Master'!B79="","",IF(K79&gt;=1000,10,IF(K79&gt;=750,8,IF(K79&gt;=500,6,IF(K79&gt;=250,4,2)))))</f>
        <v>2</v>
      </c>
      <c r="M79" s="105">
        <f>IF('Employee Master'!B79="","",'⑥ Annual Performance'!K79)</f>
        <v>3</v>
      </c>
      <c r="N79" s="106">
        <f>IF('Employee Master'!B79="","",'⑥ Annual Performance'!L79)</f>
        <v>3.5</v>
      </c>
      <c r="O79" s="104">
        <f>IF('Employee Master'!B79="","",MIN(N79*2,10))</f>
        <v>7</v>
      </c>
      <c r="P79" s="104">
        <f>IF('Employee Master'!B79="","",IF(F79&gt;=36,5,IF(F79&gt;=24,4,IF(F79&gt;=12,3,IF(F79&gt;=6,2,1)))))</f>
        <v>3</v>
      </c>
      <c r="Q79" s="104">
        <f>IF('Employee Master'!B79="","",IF(D79="Sr. Controller",10,IF(D79="Coo",10,IF(D79="Controller",9,IF(D79="Asst. Controller",8,IF(D79="Sr. Manager",8,IF(D79="Manager",7,IF(D79="Asst. Manager",6,IF(D79="Team Lead",7,IF(D79="Asst. Team Lead",5,IF(D79="Sr. Associate",4,IF(D79="Associate",3,IF(D79="Full Stack Developer",5,IF(D79="Project Manager (S/W)",6,IF(D79="Marketing",4,4)))))))))))))))</f>
        <v>4</v>
      </c>
      <c r="R79" s="107">
        <f>IF('Employee Master'!B79="","",H79+J79+L79+O79+P79+Q79)</f>
        <v>21</v>
      </c>
      <c r="S79" s="108">
        <f>IF('Employee Master'!B79="","",3)</f>
        <v>3</v>
      </c>
      <c r="T79" s="104">
        <f>IF('Employee Master'!B79="","",MIN(S79*2,10))</f>
        <v>6</v>
      </c>
      <c r="U79" s="108">
        <f>IF('Employee Master'!B79="","",3)</f>
        <v>3</v>
      </c>
      <c r="V79" s="104">
        <f>IF('Employee Master'!B79="","",MIN(U79*2,10))</f>
        <v>6</v>
      </c>
      <c r="W79" s="108">
        <f>IF('Employee Master'!B79="","",3)</f>
        <v>3</v>
      </c>
      <c r="X79" s="104">
        <f>IF('Employee Master'!B79="","",MIN(W79*2,10))</f>
        <v>6</v>
      </c>
      <c r="Y79" s="108">
        <f>IF('Employee Master'!B79="","",3)</f>
        <v>3</v>
      </c>
      <c r="Z79" s="104">
        <f>IF('Employee Master'!B79="","",MIN(Y79*2,10))</f>
        <v>6</v>
      </c>
      <c r="AA79" s="109">
        <f>IF('Employee Master'!B79="","",T79+V79+X79+Z79)</f>
        <v>24</v>
      </c>
      <c r="AB79" s="110">
        <f>IF('Employee Master'!B79="","",R79+AA79)</f>
        <v>45</v>
      </c>
      <c r="AC79" s="27" t="str">
        <f>IF('Employee Master'!B79="","",IF(AB79&gt;=85,"Exceptional",IF(AB79&gt;=70,"High Performer",IF(AB79&gt;=50,"Meets Expectations",IF(AB79&gt;=30,"Below Expectations","Underperformer")))))</f>
        <v>Below Expectations</v>
      </c>
      <c r="AD79" s="51">
        <f>IF('Employee Master'!B79="","",'Employee Master'!M79)</f>
        <v>41083</v>
      </c>
      <c r="AE79" s="52">
        <f>IF('Employee Master'!B79="","",IF(AB79&gt;=85,Settings!B31,IF(AB79&gt;=70,Settings!B32,IF(AB79&gt;=50,Settings!B33,IF(AB79&gt;=30,Settings!B34,Settings!B35)))))</f>
        <v>0.03</v>
      </c>
      <c r="AF79" s="51">
        <f>IF('Employee Master'!B79="","",AD79*(1+AE79))</f>
        <v>42315.49</v>
      </c>
      <c r="AG79" s="51">
        <f>IF('Employee Master'!B79="","",AF79-AD79)</f>
        <v>1232.489999999998</v>
      </c>
      <c r="AH79" s="51">
        <f>IF('Employee Master'!B79="","",AG79*12)</f>
        <v>14789.879999999976</v>
      </c>
    </row>
    <row r="80" spans="1:34" ht="23.25" customHeight="1" x14ac:dyDescent="0.2">
      <c r="A80" s="27">
        <f>IF('Employee Master'!B80="","",ROW()-3)</f>
        <v>77</v>
      </c>
      <c r="B80" s="27" t="str">
        <f>IF('Employee Master'!B80="","",'Employee Master'!C80)</f>
        <v>Chhavi.S</v>
      </c>
      <c r="C80" s="27" t="str">
        <f>IF('Employee Master'!B80="","",'Employee Master'!D80)</f>
        <v>Remote</v>
      </c>
      <c r="D80" s="27" t="str">
        <f>IF('Employee Master'!B80="","",'Employee Master'!E80)</f>
        <v>Sr. Associate</v>
      </c>
      <c r="E80" s="27" t="str">
        <f>IF('Employee Master'!B80="","",'Employee Master'!G80)</f>
        <v>Nikita Shah</v>
      </c>
      <c r="F80" s="51">
        <f>IF('Employee Master'!B80="","",'⑥ Annual Performance'!R80)</f>
        <v>12</v>
      </c>
      <c r="G80" s="103">
        <f>IF('Employee Master'!B80="","",'⑥ Annual Performance'!J80)</f>
        <v>8.5572916666666679E-2</v>
      </c>
      <c r="H80" s="104">
        <f>IF('Employee Master'!B80="","",IF(G80&gt;=0.85,15,IF(G80&gt;=0.7,12,IF(G80&gt;=0.55,9,IF(G80&gt;=0.4,6,3)))))</f>
        <v>3</v>
      </c>
      <c r="I80" s="103">
        <f>IF('Employee Master'!B80="","",'⑥ Annual Performance'!Q80)</f>
        <v>0</v>
      </c>
      <c r="J80" s="104">
        <f>IF('Employee Master'!B80="","",IF(I80&gt;=0.98,10,IF(I80&gt;=0.95,8,IF(I80&gt;=0.9,6,IF(I80&gt;=0.85,4,2)))))</f>
        <v>2</v>
      </c>
      <c r="K80" s="105">
        <f>IF('Employee Master'!B80="","",'⑥ Annual Performance'!N80)</f>
        <v>0</v>
      </c>
      <c r="L80" s="104">
        <f>IF('Employee Master'!B80="","",IF(K80&gt;=1000,10,IF(K80&gt;=750,8,IF(K80&gt;=500,6,IF(K80&gt;=250,4,2)))))</f>
        <v>2</v>
      </c>
      <c r="M80" s="105">
        <f>IF('Employee Master'!B80="","",'⑥ Annual Performance'!K80)</f>
        <v>4</v>
      </c>
      <c r="N80" s="106">
        <f>IF('Employee Master'!B80="","",'⑥ Annual Performance'!L80)</f>
        <v>3.5</v>
      </c>
      <c r="O80" s="104">
        <f>IF('Employee Master'!B80="","",MIN(N80*2,10))</f>
        <v>7</v>
      </c>
      <c r="P80" s="104">
        <f>IF('Employee Master'!B80="","",IF(F80&gt;=36,5,IF(F80&gt;=24,4,IF(F80&gt;=12,3,IF(F80&gt;=6,2,1)))))</f>
        <v>3</v>
      </c>
      <c r="Q80" s="104">
        <f>IF('Employee Master'!B80="","",IF(D80="Sr. Controller",10,IF(D80="Coo",10,IF(D80="Controller",9,IF(D80="Asst. Controller",8,IF(D80="Sr. Manager",8,IF(D80="Manager",7,IF(D80="Asst. Manager",6,IF(D80="Team Lead",7,IF(D80="Asst. Team Lead",5,IF(D80="Sr. Associate",4,IF(D80="Associate",3,IF(D80="Full Stack Developer",5,IF(D80="Project Manager (S/W)",6,IF(D80="Marketing",4,4)))))))))))))))</f>
        <v>4</v>
      </c>
      <c r="R80" s="107">
        <f>IF('Employee Master'!B80="","",H80+J80+L80+O80+P80+Q80)</f>
        <v>21</v>
      </c>
      <c r="S80" s="108">
        <f>IF('Employee Master'!B80="","",3)</f>
        <v>3</v>
      </c>
      <c r="T80" s="104">
        <f>IF('Employee Master'!B80="","",MIN(S80*2,10))</f>
        <v>6</v>
      </c>
      <c r="U80" s="108">
        <f>IF('Employee Master'!B80="","",3)</f>
        <v>3</v>
      </c>
      <c r="V80" s="104">
        <f>IF('Employee Master'!B80="","",MIN(U80*2,10))</f>
        <v>6</v>
      </c>
      <c r="W80" s="108">
        <f>IF('Employee Master'!B80="","",3)</f>
        <v>3</v>
      </c>
      <c r="X80" s="104">
        <f>IF('Employee Master'!B80="","",MIN(W80*2,10))</f>
        <v>6</v>
      </c>
      <c r="Y80" s="108">
        <f>IF('Employee Master'!B80="","",3)</f>
        <v>3</v>
      </c>
      <c r="Z80" s="104">
        <f>IF('Employee Master'!B80="","",MIN(Y80*2,10))</f>
        <v>6</v>
      </c>
      <c r="AA80" s="109">
        <f>IF('Employee Master'!B80="","",T80+V80+X80+Z80)</f>
        <v>24</v>
      </c>
      <c r="AB80" s="110">
        <f>IF('Employee Master'!B80="","",R80+AA80)</f>
        <v>45</v>
      </c>
      <c r="AC80" s="27" t="str">
        <f>IF('Employee Master'!B80="","",IF(AB80&gt;=85,"Exceptional",IF(AB80&gt;=70,"High Performer",IF(AB80&gt;=50,"Meets Expectations",IF(AB80&gt;=30,"Below Expectations","Underperformer")))))</f>
        <v>Below Expectations</v>
      </c>
      <c r="AD80" s="51">
        <f>IF('Employee Master'!B80="","",'Employee Master'!M80)</f>
        <v>28783</v>
      </c>
      <c r="AE80" s="52">
        <f>IF('Employee Master'!B80="","",IF(AB80&gt;=85,Settings!B31,IF(AB80&gt;=70,Settings!B32,IF(AB80&gt;=50,Settings!B33,IF(AB80&gt;=30,Settings!B34,Settings!B35)))))</f>
        <v>0.03</v>
      </c>
      <c r="AF80" s="51">
        <f>IF('Employee Master'!B80="","",AD80*(1+AE80))</f>
        <v>29646.49</v>
      </c>
      <c r="AG80" s="51">
        <f>IF('Employee Master'!B80="","",AF80-AD80)</f>
        <v>863.4900000000016</v>
      </c>
      <c r="AH80" s="51">
        <f>IF('Employee Master'!B80="","",AG80*12)</f>
        <v>10361.880000000019</v>
      </c>
    </row>
    <row r="81" spans="1:34" ht="23.25" customHeight="1" x14ac:dyDescent="0.2">
      <c r="A81" s="27">
        <f>IF('Employee Master'!B81="","",ROW()-3)</f>
        <v>78</v>
      </c>
      <c r="B81" s="27" t="str">
        <f>IF('Employee Master'!B81="","",'Employee Master'!C81)</f>
        <v>Surbhi.A</v>
      </c>
      <c r="C81" s="27" t="str">
        <f>IF('Employee Master'!B81="","",'Employee Master'!D81)</f>
        <v>Remote</v>
      </c>
      <c r="D81" s="27" t="str">
        <f>IF('Employee Master'!B81="","",'Employee Master'!E81)</f>
        <v>Asst. Team Lead</v>
      </c>
      <c r="E81" s="27" t="str">
        <f>IF('Employee Master'!B81="","",'Employee Master'!G81)</f>
        <v>Jasleen.D</v>
      </c>
      <c r="F81" s="51">
        <f>IF('Employee Master'!B81="","",'⑥ Annual Performance'!R81)</f>
        <v>12</v>
      </c>
      <c r="G81" s="103">
        <f>IF('Employee Master'!B81="","",'⑥ Annual Performance'!J81)</f>
        <v>5.9947916666666663E-2</v>
      </c>
      <c r="H81" s="104">
        <f>IF('Employee Master'!B81="","",IF(G81&gt;=0.85,15,IF(G81&gt;=0.7,12,IF(G81&gt;=0.55,9,IF(G81&gt;=0.4,6,3)))))</f>
        <v>3</v>
      </c>
      <c r="I81" s="103">
        <f>IF('Employee Master'!B81="","",'⑥ Annual Performance'!Q81)</f>
        <v>0</v>
      </c>
      <c r="J81" s="104">
        <f>IF('Employee Master'!B81="","",IF(I81&gt;=0.98,10,IF(I81&gt;=0.95,8,IF(I81&gt;=0.9,6,IF(I81&gt;=0.85,4,2)))))</f>
        <v>2</v>
      </c>
      <c r="K81" s="105">
        <f>IF('Employee Master'!B81="","",'⑥ Annual Performance'!N81)</f>
        <v>0</v>
      </c>
      <c r="L81" s="104">
        <f>IF('Employee Master'!B81="","",IF(K81&gt;=1000,10,IF(K81&gt;=750,8,IF(K81&gt;=500,6,IF(K81&gt;=250,4,2)))))</f>
        <v>2</v>
      </c>
      <c r="M81" s="105">
        <f>IF('Employee Master'!B81="","",'⑥ Annual Performance'!K81)</f>
        <v>4</v>
      </c>
      <c r="N81" s="106">
        <f>IF('Employee Master'!B81="","",'⑥ Annual Performance'!L81)</f>
        <v>3.5</v>
      </c>
      <c r="O81" s="104">
        <f>IF('Employee Master'!B81="","",MIN(N81*2,10))</f>
        <v>7</v>
      </c>
      <c r="P81" s="104">
        <f>IF('Employee Master'!B81="","",IF(F81&gt;=36,5,IF(F81&gt;=24,4,IF(F81&gt;=12,3,IF(F81&gt;=6,2,1)))))</f>
        <v>3</v>
      </c>
      <c r="Q81" s="104">
        <f>IF('Employee Master'!B81="","",IF(D81="Sr. Controller",10,IF(D81="Coo",10,IF(D81="Controller",9,IF(D81="Asst. Controller",8,IF(D81="Sr. Manager",8,IF(D81="Manager",7,IF(D81="Asst. Manager",6,IF(D81="Team Lead",7,IF(D81="Asst. Team Lead",5,IF(D81="Sr. Associate",4,IF(D81="Associate",3,IF(D81="Full Stack Developer",5,IF(D81="Project Manager (S/W)",6,IF(D81="Marketing",4,4)))))))))))))))</f>
        <v>5</v>
      </c>
      <c r="R81" s="107">
        <f>IF('Employee Master'!B81="","",H81+J81+L81+O81+P81+Q81)</f>
        <v>22</v>
      </c>
      <c r="S81" s="108">
        <f>IF('Employee Master'!B81="","",3)</f>
        <v>3</v>
      </c>
      <c r="T81" s="104">
        <f>IF('Employee Master'!B81="","",MIN(S81*2,10))</f>
        <v>6</v>
      </c>
      <c r="U81" s="108">
        <f>IF('Employee Master'!B81="","",3)</f>
        <v>3</v>
      </c>
      <c r="V81" s="104">
        <f>IF('Employee Master'!B81="","",MIN(U81*2,10))</f>
        <v>6</v>
      </c>
      <c r="W81" s="108">
        <f>IF('Employee Master'!B81="","",3)</f>
        <v>3</v>
      </c>
      <c r="X81" s="104">
        <f>IF('Employee Master'!B81="","",MIN(W81*2,10))</f>
        <v>6</v>
      </c>
      <c r="Y81" s="108">
        <f>IF('Employee Master'!B81="","",3)</f>
        <v>3</v>
      </c>
      <c r="Z81" s="104">
        <f>IF('Employee Master'!B81="","",MIN(Y81*2,10))</f>
        <v>6</v>
      </c>
      <c r="AA81" s="109">
        <f>IF('Employee Master'!B81="","",T81+V81+X81+Z81)</f>
        <v>24</v>
      </c>
      <c r="AB81" s="110">
        <f>IF('Employee Master'!B81="","",R81+AA81)</f>
        <v>46</v>
      </c>
      <c r="AC81" s="27" t="str">
        <f>IF('Employee Master'!B81="","",IF(AB81&gt;=85,"Exceptional",IF(AB81&gt;=70,"High Performer",IF(AB81&gt;=50,"Meets Expectations",IF(AB81&gt;=30,"Below Expectations","Underperformer")))))</f>
        <v>Below Expectations</v>
      </c>
      <c r="AD81" s="51">
        <f>IF('Employee Master'!B81="","",'Employee Master'!M81)</f>
        <v>55475</v>
      </c>
      <c r="AE81" s="52">
        <f>IF('Employee Master'!B81="","",IF(AB81&gt;=85,Settings!B31,IF(AB81&gt;=70,Settings!B32,IF(AB81&gt;=50,Settings!B33,IF(AB81&gt;=30,Settings!B34,Settings!B35)))))</f>
        <v>0.03</v>
      </c>
      <c r="AF81" s="51">
        <f>IF('Employee Master'!B81="","",AD81*(1+AE81))</f>
        <v>57139.25</v>
      </c>
      <c r="AG81" s="51">
        <f>IF('Employee Master'!B81="","",AF81-AD81)</f>
        <v>1664.25</v>
      </c>
      <c r="AH81" s="51">
        <f>IF('Employee Master'!B81="","",AG81*12)</f>
        <v>19971</v>
      </c>
    </row>
    <row r="82" spans="1:34" ht="23.25" customHeight="1" x14ac:dyDescent="0.2">
      <c r="A82" s="27">
        <f>IF('Employee Master'!B82="","",ROW()-3)</f>
        <v>79</v>
      </c>
      <c r="B82" s="27" t="str">
        <f>IF('Employee Master'!B82="","",'Employee Master'!C82)</f>
        <v>Jatin.S</v>
      </c>
      <c r="C82" s="27" t="str">
        <f>IF('Employee Master'!B82="","",'Employee Master'!D82)</f>
        <v>In-house</v>
      </c>
      <c r="D82" s="27" t="str">
        <f>IF('Employee Master'!B82="","",'Employee Master'!E82)</f>
        <v>Sr. Manager</v>
      </c>
      <c r="E82" s="27" t="str">
        <f>IF('Employee Master'!B82="","",'Employee Master'!G82)</f>
        <v>Sachi Mazumdar</v>
      </c>
      <c r="F82" s="51">
        <f>IF('Employee Master'!B82="","",'⑥ Annual Performance'!R82)</f>
        <v>12</v>
      </c>
      <c r="G82" s="103">
        <f>IF('Employee Master'!B82="","",'⑥ Annual Performance'!J82)</f>
        <v>8.2552083333333331E-2</v>
      </c>
      <c r="H82" s="104">
        <f>IF('Employee Master'!B82="","",IF(G82&gt;=0.85,15,IF(G82&gt;=0.7,12,IF(G82&gt;=0.55,9,IF(G82&gt;=0.4,6,3)))))</f>
        <v>3</v>
      </c>
      <c r="I82" s="103">
        <f>IF('Employee Master'!B82="","",'⑥ Annual Performance'!Q82)</f>
        <v>0</v>
      </c>
      <c r="J82" s="104">
        <f>IF('Employee Master'!B82="","",IF(I82&gt;=0.98,10,IF(I82&gt;=0.95,8,IF(I82&gt;=0.9,6,IF(I82&gt;=0.85,4,2)))))</f>
        <v>2</v>
      </c>
      <c r="K82" s="105">
        <f>IF('Employee Master'!B82="","",'⑥ Annual Performance'!N82)</f>
        <v>0</v>
      </c>
      <c r="L82" s="104">
        <f>IF('Employee Master'!B82="","",IF(K82&gt;=1000,10,IF(K82&gt;=750,8,IF(K82&gt;=500,6,IF(K82&gt;=250,4,2)))))</f>
        <v>2</v>
      </c>
      <c r="M82" s="105">
        <f>IF('Employee Master'!B82="","",'⑥ Annual Performance'!K82)</f>
        <v>6</v>
      </c>
      <c r="N82" s="106">
        <f>IF('Employee Master'!B82="","",'⑥ Annual Performance'!L82)</f>
        <v>3.5</v>
      </c>
      <c r="O82" s="104">
        <f>IF('Employee Master'!B82="","",MIN(N82*2,10))</f>
        <v>7</v>
      </c>
      <c r="P82" s="104">
        <f>IF('Employee Master'!B82="","",IF(F82&gt;=36,5,IF(F82&gt;=24,4,IF(F82&gt;=12,3,IF(F82&gt;=6,2,1)))))</f>
        <v>3</v>
      </c>
      <c r="Q82" s="104">
        <f>IF('Employee Master'!B82="","",IF(D82="Sr. Controller",10,IF(D82="Coo",10,IF(D82="Controller",9,IF(D82="Asst. Controller",8,IF(D82="Sr. Manager",8,IF(D82="Manager",7,IF(D82="Asst. Manager",6,IF(D82="Team Lead",7,IF(D82="Asst. Team Lead",5,IF(D82="Sr. Associate",4,IF(D82="Associate",3,IF(D82="Full Stack Developer",5,IF(D82="Project Manager (S/W)",6,IF(D82="Marketing",4,4)))))))))))))))</f>
        <v>8</v>
      </c>
      <c r="R82" s="107">
        <f>IF('Employee Master'!B82="","",H82+J82+L82+O82+P82+Q82)</f>
        <v>25</v>
      </c>
      <c r="S82" s="108">
        <f>IF('Employee Master'!B82="","",3)</f>
        <v>3</v>
      </c>
      <c r="T82" s="104">
        <f>IF('Employee Master'!B82="","",MIN(S82*2,10))</f>
        <v>6</v>
      </c>
      <c r="U82" s="108">
        <f>IF('Employee Master'!B82="","",3)</f>
        <v>3</v>
      </c>
      <c r="V82" s="104">
        <f>IF('Employee Master'!B82="","",MIN(U82*2,10))</f>
        <v>6</v>
      </c>
      <c r="W82" s="108">
        <f>IF('Employee Master'!B82="","",3)</f>
        <v>3</v>
      </c>
      <c r="X82" s="104">
        <f>IF('Employee Master'!B82="","",MIN(W82*2,10))</f>
        <v>6</v>
      </c>
      <c r="Y82" s="108">
        <f>IF('Employee Master'!B82="","",3)</f>
        <v>3</v>
      </c>
      <c r="Z82" s="104">
        <f>IF('Employee Master'!B82="","",MIN(Y82*2,10))</f>
        <v>6</v>
      </c>
      <c r="AA82" s="109">
        <f>IF('Employee Master'!B82="","",T82+V82+X82+Z82)</f>
        <v>24</v>
      </c>
      <c r="AB82" s="110">
        <f>IF('Employee Master'!B82="","",R82+AA82)</f>
        <v>49</v>
      </c>
      <c r="AC82" s="27" t="str">
        <f>IF('Employee Master'!B82="","",IF(AB82&gt;=85,"Exceptional",IF(AB82&gt;=70,"High Performer",IF(AB82&gt;=50,"Meets Expectations",IF(AB82&gt;=30,"Below Expectations","Underperformer")))))</f>
        <v>Below Expectations</v>
      </c>
      <c r="AD82" s="51">
        <f>IF('Employee Master'!B82="","",'Employee Master'!M82)</f>
        <v>208334</v>
      </c>
      <c r="AE82" s="52">
        <f>IF('Employee Master'!B82="","",IF(AB82&gt;=85,Settings!B31,IF(AB82&gt;=70,Settings!B32,IF(AB82&gt;=50,Settings!B33,IF(AB82&gt;=30,Settings!B34,Settings!B35)))))</f>
        <v>0.03</v>
      </c>
      <c r="AF82" s="51">
        <f>IF('Employee Master'!B82="","",AD82*(1+AE82))</f>
        <v>214584.02000000002</v>
      </c>
      <c r="AG82" s="51">
        <f>IF('Employee Master'!B82="","",AF82-AD82)</f>
        <v>6250.0200000000186</v>
      </c>
      <c r="AH82" s="51">
        <f>IF('Employee Master'!B82="","",AG82*12)</f>
        <v>75000.240000000224</v>
      </c>
    </row>
    <row r="83" spans="1:34" ht="23.25" customHeight="1" x14ac:dyDescent="0.2">
      <c r="A83" s="27">
        <f>IF('Employee Master'!B83="","",ROW()-3)</f>
        <v>80</v>
      </c>
      <c r="B83" s="27" t="str">
        <f>IF('Employee Master'!B83="","",'Employee Master'!C83)</f>
        <v>Angela</v>
      </c>
      <c r="C83" s="27" t="str">
        <f>IF('Employee Master'!B83="","",'Employee Master'!D83)</f>
        <v>In-house</v>
      </c>
      <c r="D83" s="27" t="str">
        <f>IF('Employee Master'!B83="","",'Employee Master'!E83)</f>
        <v>Controller</v>
      </c>
      <c r="E83" s="27" t="str">
        <f>IF('Employee Master'!B83="","",'Employee Master'!G83)</f>
        <v>--</v>
      </c>
      <c r="F83" s="51">
        <f>IF('Employee Master'!B83="","",'⑥ Annual Performance'!R83)</f>
        <v>12</v>
      </c>
      <c r="G83" s="103">
        <f>IF('Employee Master'!B83="","",'⑥ Annual Performance'!J83)</f>
        <v>9.2187500000000006E-2</v>
      </c>
      <c r="H83" s="104">
        <f>IF('Employee Master'!B83="","",IF(G83&gt;=0.85,15,IF(G83&gt;=0.7,12,IF(G83&gt;=0.55,9,IF(G83&gt;=0.4,6,3)))))</f>
        <v>3</v>
      </c>
      <c r="I83" s="103">
        <f>IF('Employee Master'!B83="","",'⑥ Annual Performance'!Q83)</f>
        <v>0</v>
      </c>
      <c r="J83" s="104">
        <f>IF('Employee Master'!B83="","",IF(I83&gt;=0.98,10,IF(I83&gt;=0.95,8,IF(I83&gt;=0.9,6,IF(I83&gt;=0.85,4,2)))))</f>
        <v>2</v>
      </c>
      <c r="K83" s="105">
        <f>IF('Employee Master'!B83="","",'⑥ Annual Performance'!N83)</f>
        <v>0</v>
      </c>
      <c r="L83" s="104">
        <f>IF('Employee Master'!B83="","",IF(K83&gt;=1000,10,IF(K83&gt;=750,8,IF(K83&gt;=500,6,IF(K83&gt;=250,4,2)))))</f>
        <v>2</v>
      </c>
      <c r="M83" s="105">
        <f>IF('Employee Master'!B83="","",'⑥ Annual Performance'!K83)</f>
        <v>1</v>
      </c>
      <c r="N83" s="106">
        <f>IF('Employee Master'!B83="","",'⑥ Annual Performance'!L83)</f>
        <v>3.5</v>
      </c>
      <c r="O83" s="104">
        <f>IF('Employee Master'!B83="","",MIN(N83*2,10))</f>
        <v>7</v>
      </c>
      <c r="P83" s="104">
        <f>IF('Employee Master'!B83="","",IF(F83&gt;=36,5,IF(F83&gt;=24,4,IF(F83&gt;=12,3,IF(F83&gt;=6,2,1)))))</f>
        <v>3</v>
      </c>
      <c r="Q83" s="104">
        <f>IF('Employee Master'!B83="","",IF(D83="Sr. Controller",10,IF(D83="Coo",10,IF(D83="Controller",9,IF(D83="Asst. Controller",8,IF(D83="Sr. Manager",8,IF(D83="Manager",7,IF(D83="Asst. Manager",6,IF(D83="Team Lead",7,IF(D83="Asst. Team Lead",5,IF(D83="Sr. Associate",4,IF(D83="Associate",3,IF(D83="Full Stack Developer",5,IF(D83="Project Manager (S/W)",6,IF(D83="Marketing",4,4)))))))))))))))</f>
        <v>9</v>
      </c>
      <c r="R83" s="107">
        <f>IF('Employee Master'!B83="","",H83+J83+L83+O83+P83+Q83)</f>
        <v>26</v>
      </c>
      <c r="S83" s="108">
        <f>IF('Employee Master'!B83="","",3)</f>
        <v>3</v>
      </c>
      <c r="T83" s="104">
        <f>IF('Employee Master'!B83="","",MIN(S83*2,10))</f>
        <v>6</v>
      </c>
      <c r="U83" s="108">
        <f>IF('Employee Master'!B83="","",3)</f>
        <v>3</v>
      </c>
      <c r="V83" s="104">
        <f>IF('Employee Master'!B83="","",MIN(U83*2,10))</f>
        <v>6</v>
      </c>
      <c r="W83" s="108">
        <f>IF('Employee Master'!B83="","",3)</f>
        <v>3</v>
      </c>
      <c r="X83" s="104">
        <f>IF('Employee Master'!B83="","",MIN(W83*2,10))</f>
        <v>6</v>
      </c>
      <c r="Y83" s="108">
        <f>IF('Employee Master'!B83="","",3)</f>
        <v>3</v>
      </c>
      <c r="Z83" s="104">
        <f>IF('Employee Master'!B83="","",MIN(Y83*2,10))</f>
        <v>6</v>
      </c>
      <c r="AA83" s="109">
        <f>IF('Employee Master'!B83="","",T83+V83+X83+Z83)</f>
        <v>24</v>
      </c>
      <c r="AB83" s="110">
        <f>IF('Employee Master'!B83="","",R83+AA83)</f>
        <v>50</v>
      </c>
      <c r="AC83" s="27" t="str">
        <f>IF('Employee Master'!B83="","",IF(AB83&gt;=85,"Exceptional",IF(AB83&gt;=70,"High Performer",IF(AB83&gt;=50,"Meets Expectations",IF(AB83&gt;=30,"Below Expectations","Underperformer")))))</f>
        <v>Meets Expectations</v>
      </c>
      <c r="AD83" s="51">
        <f>IF('Employee Master'!B83="","",'Employee Master'!M83)</f>
        <v>0</v>
      </c>
      <c r="AE83" s="52">
        <f>IF('Employee Master'!B83="","",IF(AB83&gt;=85,Settings!B31,IF(AB83&gt;=70,Settings!B32,IF(AB83&gt;=50,Settings!B33,IF(AB83&gt;=30,Settings!B34,Settings!B35)))))</f>
        <v>7.4999999999999997E-2</v>
      </c>
      <c r="AF83" s="51">
        <f>IF('Employee Master'!B83="","",AD83*(1+AE83))</f>
        <v>0</v>
      </c>
      <c r="AG83" s="51">
        <f>IF('Employee Master'!B83="","",AF83-AD83)</f>
        <v>0</v>
      </c>
      <c r="AH83" s="51">
        <f>IF('Employee Master'!B83="","",AG83*12)</f>
        <v>0</v>
      </c>
    </row>
    <row r="84" spans="1:34" ht="23.25" customHeight="1" x14ac:dyDescent="0.2">
      <c r="A84" s="27">
        <f>IF('Employee Master'!B84="","",ROW()-3)</f>
        <v>81</v>
      </c>
      <c r="B84" s="27" t="str">
        <f>IF('Employee Master'!B84="","",'Employee Master'!C84)</f>
        <v>Harsh.G</v>
      </c>
      <c r="C84" s="27" t="str">
        <f>IF('Employee Master'!B84="","",'Employee Master'!D84)</f>
        <v>Remote</v>
      </c>
      <c r="D84" s="27" t="str">
        <f>IF('Employee Master'!B84="","",'Employee Master'!E84)</f>
        <v>Sr. Associate</v>
      </c>
      <c r="E84" s="27" t="str">
        <f>IF('Employee Master'!B84="","",'Employee Master'!G84)</f>
        <v>Ayushi</v>
      </c>
      <c r="F84" s="51">
        <f>IF('Employee Master'!B84="","",'⑥ Annual Performance'!R84)</f>
        <v>12</v>
      </c>
      <c r="G84" s="103">
        <f>IF('Employee Master'!B84="","",'⑥ Annual Performance'!J84)</f>
        <v>0</v>
      </c>
      <c r="H84" s="104">
        <f>IF('Employee Master'!B84="","",IF(G84&gt;=0.85,15,IF(G84&gt;=0.7,12,IF(G84&gt;=0.55,9,IF(G84&gt;=0.4,6,3)))))</f>
        <v>3</v>
      </c>
      <c r="I84" s="103">
        <f>IF('Employee Master'!B84="","",'⑥ Annual Performance'!Q84)</f>
        <v>0</v>
      </c>
      <c r="J84" s="104">
        <f>IF('Employee Master'!B84="","",IF(I84&gt;=0.98,10,IF(I84&gt;=0.95,8,IF(I84&gt;=0.9,6,IF(I84&gt;=0.85,4,2)))))</f>
        <v>2</v>
      </c>
      <c r="K84" s="105">
        <f>IF('Employee Master'!B84="","",'⑥ Annual Performance'!N84)</f>
        <v>0</v>
      </c>
      <c r="L84" s="104">
        <f>IF('Employee Master'!B84="","",IF(K84&gt;=1000,10,IF(K84&gt;=750,8,IF(K84&gt;=500,6,IF(K84&gt;=250,4,2)))))</f>
        <v>2</v>
      </c>
      <c r="M84" s="105">
        <f>IF('Employee Master'!B84="","",'⑥ Annual Performance'!K84)</f>
        <v>0</v>
      </c>
      <c r="N84" s="106">
        <f>IF('Employee Master'!B84="","",'⑥ Annual Performance'!L84)</f>
        <v>3.5</v>
      </c>
      <c r="O84" s="104">
        <f>IF('Employee Master'!B84="","",MIN(N84*2,10))</f>
        <v>7</v>
      </c>
      <c r="P84" s="104">
        <f>IF('Employee Master'!B84="","",IF(F84&gt;=36,5,IF(F84&gt;=24,4,IF(F84&gt;=12,3,IF(F84&gt;=6,2,1)))))</f>
        <v>3</v>
      </c>
      <c r="Q84" s="104">
        <f>IF('Employee Master'!B84="","",IF(D84="Sr. Controller",10,IF(D84="Coo",10,IF(D84="Controller",9,IF(D84="Asst. Controller",8,IF(D84="Sr. Manager",8,IF(D84="Manager",7,IF(D84="Asst. Manager",6,IF(D84="Team Lead",7,IF(D84="Asst. Team Lead",5,IF(D84="Sr. Associate",4,IF(D84="Associate",3,IF(D84="Full Stack Developer",5,IF(D84="Project Manager (S/W)",6,IF(D84="Marketing",4,4)))))))))))))))</f>
        <v>4</v>
      </c>
      <c r="R84" s="107">
        <f>IF('Employee Master'!B84="","",H84+J84+L84+O84+P84+Q84)</f>
        <v>21</v>
      </c>
      <c r="S84" s="108">
        <f>IF('Employee Master'!B84="","",3)</f>
        <v>3</v>
      </c>
      <c r="T84" s="104">
        <f>IF('Employee Master'!B84="","",MIN(S84*2,10))</f>
        <v>6</v>
      </c>
      <c r="U84" s="108">
        <f>IF('Employee Master'!B84="","",3)</f>
        <v>3</v>
      </c>
      <c r="V84" s="104">
        <f>IF('Employee Master'!B84="","",MIN(U84*2,10))</f>
        <v>6</v>
      </c>
      <c r="W84" s="108">
        <f>IF('Employee Master'!B84="","",3)</f>
        <v>3</v>
      </c>
      <c r="X84" s="104">
        <f>IF('Employee Master'!B84="","",MIN(W84*2,10))</f>
        <v>6</v>
      </c>
      <c r="Y84" s="108">
        <f>IF('Employee Master'!B84="","",3)</f>
        <v>3</v>
      </c>
      <c r="Z84" s="104">
        <f>IF('Employee Master'!B84="","",MIN(Y84*2,10))</f>
        <v>6</v>
      </c>
      <c r="AA84" s="109">
        <f>IF('Employee Master'!B84="","",T84+V84+X84+Z84)</f>
        <v>24</v>
      </c>
      <c r="AB84" s="110">
        <f>IF('Employee Master'!B84="","",R84+AA84)</f>
        <v>45</v>
      </c>
      <c r="AC84" s="27" t="str">
        <f>IF('Employee Master'!B84="","",IF(AB84&gt;=85,"Exceptional",IF(AB84&gt;=70,"High Performer",IF(AB84&gt;=50,"Meets Expectations",IF(AB84&gt;=30,"Below Expectations","Underperformer")))))</f>
        <v>Below Expectations</v>
      </c>
      <c r="AD84" s="51">
        <f>IF('Employee Master'!B84="","",'Employee Master'!M84)</f>
        <v>14988</v>
      </c>
      <c r="AE84" s="52">
        <f>IF('Employee Master'!B84="","",IF(AB84&gt;=85,Settings!B31,IF(AB84&gt;=70,Settings!B32,IF(AB84&gt;=50,Settings!B33,IF(AB84&gt;=30,Settings!B34,Settings!B35)))))</f>
        <v>0.03</v>
      </c>
      <c r="AF84" s="51">
        <f>IF('Employee Master'!B84="","",AD84*(1+AE84))</f>
        <v>15437.640000000001</v>
      </c>
      <c r="AG84" s="51">
        <f>IF('Employee Master'!B84="","",AF84-AD84)</f>
        <v>449.64000000000124</v>
      </c>
      <c r="AH84" s="51">
        <f>IF('Employee Master'!B84="","",AG84*12)</f>
        <v>5395.6800000000148</v>
      </c>
    </row>
    <row r="85" spans="1:34" ht="23.25" customHeight="1" x14ac:dyDescent="0.2">
      <c r="A85" s="27">
        <f>IF('Employee Master'!B85="","",ROW()-3)</f>
        <v>82</v>
      </c>
      <c r="B85" s="27" t="str">
        <f>IF('Employee Master'!B85="","",'Employee Master'!C85)</f>
        <v>Namya.S</v>
      </c>
      <c r="C85" s="27" t="str">
        <f>IF('Employee Master'!B85="","",'Employee Master'!D85)</f>
        <v>In-house</v>
      </c>
      <c r="D85" s="27" t="str">
        <f>IF('Employee Master'!B85="","",'Employee Master'!E85)</f>
        <v>Asst. Team Lead</v>
      </c>
      <c r="E85" s="27" t="str">
        <f>IF('Employee Master'!B85="","",'Employee Master'!G85)</f>
        <v>Jasleen.D</v>
      </c>
      <c r="F85" s="51">
        <f>IF('Employee Master'!B85="","",'⑥ Annual Performance'!R85)</f>
        <v>12</v>
      </c>
      <c r="G85" s="103">
        <f>IF('Employee Master'!B85="","",'⑥ Annual Performance'!J85)</f>
        <v>3.125E-2</v>
      </c>
      <c r="H85" s="104">
        <f>IF('Employee Master'!B85="","",IF(G85&gt;=0.85,15,IF(G85&gt;=0.7,12,IF(G85&gt;=0.55,9,IF(G85&gt;=0.4,6,3)))))</f>
        <v>3</v>
      </c>
      <c r="I85" s="103">
        <f>IF('Employee Master'!B85="","",'⑥ Annual Performance'!Q85)</f>
        <v>0</v>
      </c>
      <c r="J85" s="104">
        <f>IF('Employee Master'!B85="","",IF(I85&gt;=0.98,10,IF(I85&gt;=0.95,8,IF(I85&gt;=0.9,6,IF(I85&gt;=0.85,4,2)))))</f>
        <v>2</v>
      </c>
      <c r="K85" s="105">
        <f>IF('Employee Master'!B85="","",'⑥ Annual Performance'!N85)</f>
        <v>0</v>
      </c>
      <c r="L85" s="104">
        <f>IF('Employee Master'!B85="","",IF(K85&gt;=1000,10,IF(K85&gt;=750,8,IF(K85&gt;=500,6,IF(K85&gt;=250,4,2)))))</f>
        <v>2</v>
      </c>
      <c r="M85" s="105">
        <f>IF('Employee Master'!B85="","",'⑥ Annual Performance'!K85)</f>
        <v>4</v>
      </c>
      <c r="N85" s="106">
        <f>IF('Employee Master'!B85="","",'⑥ Annual Performance'!L85)</f>
        <v>3.5</v>
      </c>
      <c r="O85" s="104">
        <f>IF('Employee Master'!B85="","",MIN(N85*2,10))</f>
        <v>7</v>
      </c>
      <c r="P85" s="104">
        <f>IF('Employee Master'!B85="","",IF(F85&gt;=36,5,IF(F85&gt;=24,4,IF(F85&gt;=12,3,IF(F85&gt;=6,2,1)))))</f>
        <v>3</v>
      </c>
      <c r="Q85" s="104">
        <f>IF('Employee Master'!B85="","",IF(D85="Sr. Controller",10,IF(D85="Coo",10,IF(D85="Controller",9,IF(D85="Asst. Controller",8,IF(D85="Sr. Manager",8,IF(D85="Manager",7,IF(D85="Asst. Manager",6,IF(D85="Team Lead",7,IF(D85="Asst. Team Lead",5,IF(D85="Sr. Associate",4,IF(D85="Associate",3,IF(D85="Full Stack Developer",5,IF(D85="Project Manager (S/W)",6,IF(D85="Marketing",4,4)))))))))))))))</f>
        <v>5</v>
      </c>
      <c r="R85" s="107">
        <f>IF('Employee Master'!B85="","",H85+J85+L85+O85+P85+Q85)</f>
        <v>22</v>
      </c>
      <c r="S85" s="108">
        <f>IF('Employee Master'!B85="","",3)</f>
        <v>3</v>
      </c>
      <c r="T85" s="104">
        <f>IF('Employee Master'!B85="","",MIN(S85*2,10))</f>
        <v>6</v>
      </c>
      <c r="U85" s="108">
        <f>IF('Employee Master'!B85="","",3)</f>
        <v>3</v>
      </c>
      <c r="V85" s="104">
        <f>IF('Employee Master'!B85="","",MIN(U85*2,10))</f>
        <v>6</v>
      </c>
      <c r="W85" s="108">
        <f>IF('Employee Master'!B85="","",3)</f>
        <v>3</v>
      </c>
      <c r="X85" s="104">
        <f>IF('Employee Master'!B85="","",MIN(W85*2,10))</f>
        <v>6</v>
      </c>
      <c r="Y85" s="108">
        <f>IF('Employee Master'!B85="","",3)</f>
        <v>3</v>
      </c>
      <c r="Z85" s="104">
        <f>IF('Employee Master'!B85="","",MIN(Y85*2,10))</f>
        <v>6</v>
      </c>
      <c r="AA85" s="109">
        <f>IF('Employee Master'!B85="","",T85+V85+X85+Z85)</f>
        <v>24</v>
      </c>
      <c r="AB85" s="110">
        <f>IF('Employee Master'!B85="","",R85+AA85)</f>
        <v>46</v>
      </c>
      <c r="AC85" s="27" t="str">
        <f>IF('Employee Master'!B85="","",IF(AB85&gt;=85,"Exceptional",IF(AB85&gt;=70,"High Performer",IF(AB85&gt;=50,"Meets Expectations",IF(AB85&gt;=30,"Below Expectations","Underperformer")))))</f>
        <v>Below Expectations</v>
      </c>
      <c r="AD85" s="51">
        <f>IF('Employee Master'!B85="","",'Employee Master'!M85)</f>
        <v>80000</v>
      </c>
      <c r="AE85" s="52">
        <f>IF('Employee Master'!B85="","",IF(AB85&gt;=85,Settings!B31,IF(AB85&gt;=70,Settings!B32,IF(AB85&gt;=50,Settings!B33,IF(AB85&gt;=30,Settings!B34,Settings!B35)))))</f>
        <v>0.03</v>
      </c>
      <c r="AF85" s="51">
        <f>IF('Employee Master'!B85="","",AD85*(1+AE85))</f>
        <v>82400</v>
      </c>
      <c r="AG85" s="51">
        <f>IF('Employee Master'!B85="","",AF85-AD85)</f>
        <v>2400</v>
      </c>
      <c r="AH85" s="51">
        <f>IF('Employee Master'!B85="","",AG85*12)</f>
        <v>28800</v>
      </c>
    </row>
    <row r="86" spans="1:34" ht="23.25" customHeight="1" x14ac:dyDescent="0.2">
      <c r="A86" s="27">
        <f>IF('Employee Master'!B86="","",ROW()-3)</f>
        <v>83</v>
      </c>
      <c r="B86" s="27" t="str">
        <f>IF('Employee Master'!B86="","",'Employee Master'!C86)</f>
        <v>Kashish.B</v>
      </c>
      <c r="C86" s="27" t="str">
        <f>IF('Employee Master'!B86="","",'Employee Master'!D86)</f>
        <v>Remote</v>
      </c>
      <c r="D86" s="27" t="str">
        <f>IF('Employee Master'!B86="","",'Employee Master'!E86)</f>
        <v>Sr. Associate</v>
      </c>
      <c r="E86" s="27" t="str">
        <f>IF('Employee Master'!B86="","",'Employee Master'!G86)</f>
        <v>Nikita Shah</v>
      </c>
      <c r="F86" s="51">
        <f>IF('Employee Master'!B86="","",'⑥ Annual Performance'!R86)</f>
        <v>12</v>
      </c>
      <c r="G86" s="103">
        <f>IF('Employee Master'!B86="","",'⑥ Annual Performance'!J86)</f>
        <v>8.3906250000000002E-2</v>
      </c>
      <c r="H86" s="104">
        <f>IF('Employee Master'!B86="","",IF(G86&gt;=0.85,15,IF(G86&gt;=0.7,12,IF(G86&gt;=0.55,9,IF(G86&gt;=0.4,6,3)))))</f>
        <v>3</v>
      </c>
      <c r="I86" s="103">
        <f>IF('Employee Master'!B86="","",'⑥ Annual Performance'!Q86)</f>
        <v>0</v>
      </c>
      <c r="J86" s="104">
        <f>IF('Employee Master'!B86="","",IF(I86&gt;=0.98,10,IF(I86&gt;=0.95,8,IF(I86&gt;=0.9,6,IF(I86&gt;=0.85,4,2)))))</f>
        <v>2</v>
      </c>
      <c r="K86" s="105">
        <f>IF('Employee Master'!B86="","",'⑥ Annual Performance'!N86)</f>
        <v>0</v>
      </c>
      <c r="L86" s="104">
        <f>IF('Employee Master'!B86="","",IF(K86&gt;=1000,10,IF(K86&gt;=750,8,IF(K86&gt;=500,6,IF(K86&gt;=250,4,2)))))</f>
        <v>2</v>
      </c>
      <c r="M86" s="105">
        <f>IF('Employee Master'!B86="","",'⑥ Annual Performance'!K86)</f>
        <v>5</v>
      </c>
      <c r="N86" s="106">
        <f>IF('Employee Master'!B86="","",'⑥ Annual Performance'!L86)</f>
        <v>3.5</v>
      </c>
      <c r="O86" s="104">
        <f>IF('Employee Master'!B86="","",MIN(N86*2,10))</f>
        <v>7</v>
      </c>
      <c r="P86" s="104">
        <f>IF('Employee Master'!B86="","",IF(F86&gt;=36,5,IF(F86&gt;=24,4,IF(F86&gt;=12,3,IF(F86&gt;=6,2,1)))))</f>
        <v>3</v>
      </c>
      <c r="Q86" s="104">
        <f>IF('Employee Master'!B86="","",IF(D86="Sr. Controller",10,IF(D86="Coo",10,IF(D86="Controller",9,IF(D86="Asst. Controller",8,IF(D86="Sr. Manager",8,IF(D86="Manager",7,IF(D86="Asst. Manager",6,IF(D86="Team Lead",7,IF(D86="Asst. Team Lead",5,IF(D86="Sr. Associate",4,IF(D86="Associate",3,IF(D86="Full Stack Developer",5,IF(D86="Project Manager (S/W)",6,IF(D86="Marketing",4,4)))))))))))))))</f>
        <v>4</v>
      </c>
      <c r="R86" s="107">
        <f>IF('Employee Master'!B86="","",H86+J86+L86+O86+P86+Q86)</f>
        <v>21</v>
      </c>
      <c r="S86" s="108">
        <f>IF('Employee Master'!B86="","",3)</f>
        <v>3</v>
      </c>
      <c r="T86" s="104">
        <f>IF('Employee Master'!B86="","",MIN(S86*2,10))</f>
        <v>6</v>
      </c>
      <c r="U86" s="108">
        <f>IF('Employee Master'!B86="","",3)</f>
        <v>3</v>
      </c>
      <c r="V86" s="104">
        <f>IF('Employee Master'!B86="","",MIN(U86*2,10))</f>
        <v>6</v>
      </c>
      <c r="W86" s="108">
        <f>IF('Employee Master'!B86="","",3)</f>
        <v>3</v>
      </c>
      <c r="X86" s="104">
        <f>IF('Employee Master'!B86="","",MIN(W86*2,10))</f>
        <v>6</v>
      </c>
      <c r="Y86" s="108">
        <f>IF('Employee Master'!B86="","",3)</f>
        <v>3</v>
      </c>
      <c r="Z86" s="104">
        <f>IF('Employee Master'!B86="","",MIN(Y86*2,10))</f>
        <v>6</v>
      </c>
      <c r="AA86" s="109">
        <f>IF('Employee Master'!B86="","",T86+V86+X86+Z86)</f>
        <v>24</v>
      </c>
      <c r="AB86" s="110">
        <f>IF('Employee Master'!B86="","",R86+AA86)</f>
        <v>45</v>
      </c>
      <c r="AC86" s="27" t="str">
        <f>IF('Employee Master'!B86="","",IF(AB86&gt;=85,"Exceptional",IF(AB86&gt;=70,"High Performer",IF(AB86&gt;=50,"Meets Expectations",IF(AB86&gt;=30,"Below Expectations","Underperformer")))))</f>
        <v>Below Expectations</v>
      </c>
      <c r="AD86" s="51">
        <f>IF('Employee Master'!B86="","",'Employee Master'!M86)</f>
        <v>40813</v>
      </c>
      <c r="AE86" s="52">
        <f>IF('Employee Master'!B86="","",IF(AB86&gt;=85,Settings!B31,IF(AB86&gt;=70,Settings!B32,IF(AB86&gt;=50,Settings!B33,IF(AB86&gt;=30,Settings!B34,Settings!B35)))))</f>
        <v>0.03</v>
      </c>
      <c r="AF86" s="51">
        <f>IF('Employee Master'!B86="","",AD86*(1+AE86))</f>
        <v>42037.39</v>
      </c>
      <c r="AG86" s="51">
        <f>IF('Employee Master'!B86="","",AF86-AD86)</f>
        <v>1224.3899999999994</v>
      </c>
      <c r="AH86" s="51">
        <f>IF('Employee Master'!B86="","",AG86*12)</f>
        <v>14692.679999999993</v>
      </c>
    </row>
    <row r="87" spans="1:34" ht="23.25" customHeight="1" x14ac:dyDescent="0.2">
      <c r="A87" s="27">
        <f>IF('Employee Master'!B87="","",ROW()-3)</f>
        <v>84</v>
      </c>
      <c r="B87" s="27" t="str">
        <f>IF('Employee Master'!B87="","",'Employee Master'!C87)</f>
        <v>Amishi.S</v>
      </c>
      <c r="C87" s="27" t="str">
        <f>IF('Employee Master'!B87="","",'Employee Master'!D87)</f>
        <v>Remote</v>
      </c>
      <c r="D87" s="27" t="str">
        <f>IF('Employee Master'!B87="","",'Employee Master'!E87)</f>
        <v>Sr. Associate</v>
      </c>
      <c r="E87" s="27" t="str">
        <f>IF('Employee Master'!B87="","",'Employee Master'!G87)</f>
        <v>Jasleen.D</v>
      </c>
      <c r="F87" s="51">
        <f>IF('Employee Master'!B87="","",'⑥ Annual Performance'!R87)</f>
        <v>12</v>
      </c>
      <c r="G87" s="103">
        <f>IF('Employee Master'!B87="","",'⑥ Annual Performance'!J87)</f>
        <v>8.4999999999999992E-2</v>
      </c>
      <c r="H87" s="104">
        <f>IF('Employee Master'!B87="","",IF(G87&gt;=0.85,15,IF(G87&gt;=0.7,12,IF(G87&gt;=0.55,9,IF(G87&gt;=0.4,6,3)))))</f>
        <v>3</v>
      </c>
      <c r="I87" s="103">
        <f>IF('Employee Master'!B87="","",'⑥ Annual Performance'!Q87)</f>
        <v>0</v>
      </c>
      <c r="J87" s="104">
        <f>IF('Employee Master'!B87="","",IF(I87&gt;=0.98,10,IF(I87&gt;=0.95,8,IF(I87&gt;=0.9,6,IF(I87&gt;=0.85,4,2)))))</f>
        <v>2</v>
      </c>
      <c r="K87" s="105">
        <f>IF('Employee Master'!B87="","",'⑥ Annual Performance'!N87)</f>
        <v>0</v>
      </c>
      <c r="L87" s="104">
        <f>IF('Employee Master'!B87="","",IF(K87&gt;=1000,10,IF(K87&gt;=750,8,IF(K87&gt;=500,6,IF(K87&gt;=250,4,2)))))</f>
        <v>2</v>
      </c>
      <c r="M87" s="105">
        <f>IF('Employee Master'!B87="","",'⑥ Annual Performance'!K87)</f>
        <v>3</v>
      </c>
      <c r="N87" s="106">
        <f>IF('Employee Master'!B87="","",'⑥ Annual Performance'!L87)</f>
        <v>3.5</v>
      </c>
      <c r="O87" s="104">
        <f>IF('Employee Master'!B87="","",MIN(N87*2,10))</f>
        <v>7</v>
      </c>
      <c r="P87" s="104">
        <f>IF('Employee Master'!B87="","",IF(F87&gt;=36,5,IF(F87&gt;=24,4,IF(F87&gt;=12,3,IF(F87&gt;=6,2,1)))))</f>
        <v>3</v>
      </c>
      <c r="Q87" s="104">
        <f>IF('Employee Master'!B87="","",IF(D87="Sr. Controller",10,IF(D87="Coo",10,IF(D87="Controller",9,IF(D87="Asst. Controller",8,IF(D87="Sr. Manager",8,IF(D87="Manager",7,IF(D87="Asst. Manager",6,IF(D87="Team Lead",7,IF(D87="Asst. Team Lead",5,IF(D87="Sr. Associate",4,IF(D87="Associate",3,IF(D87="Full Stack Developer",5,IF(D87="Project Manager (S/W)",6,IF(D87="Marketing",4,4)))))))))))))))</f>
        <v>4</v>
      </c>
      <c r="R87" s="107">
        <f>IF('Employee Master'!B87="","",H87+J87+L87+O87+P87+Q87)</f>
        <v>21</v>
      </c>
      <c r="S87" s="108">
        <f>IF('Employee Master'!B87="","",3)</f>
        <v>3</v>
      </c>
      <c r="T87" s="104">
        <f>IF('Employee Master'!B87="","",MIN(S87*2,10))</f>
        <v>6</v>
      </c>
      <c r="U87" s="108">
        <f>IF('Employee Master'!B87="","",3)</f>
        <v>3</v>
      </c>
      <c r="V87" s="104">
        <f>IF('Employee Master'!B87="","",MIN(U87*2,10))</f>
        <v>6</v>
      </c>
      <c r="W87" s="108">
        <f>IF('Employee Master'!B87="","",3)</f>
        <v>3</v>
      </c>
      <c r="X87" s="104">
        <f>IF('Employee Master'!B87="","",MIN(W87*2,10))</f>
        <v>6</v>
      </c>
      <c r="Y87" s="108">
        <f>IF('Employee Master'!B87="","",3)</f>
        <v>3</v>
      </c>
      <c r="Z87" s="104">
        <f>IF('Employee Master'!B87="","",MIN(Y87*2,10))</f>
        <v>6</v>
      </c>
      <c r="AA87" s="109">
        <f>IF('Employee Master'!B87="","",T87+V87+X87+Z87)</f>
        <v>24</v>
      </c>
      <c r="AB87" s="110">
        <f>IF('Employee Master'!B87="","",R87+AA87)</f>
        <v>45</v>
      </c>
      <c r="AC87" s="27" t="str">
        <f>IF('Employee Master'!B87="","",IF(AB87&gt;=85,"Exceptional",IF(AB87&gt;=70,"High Performer",IF(AB87&gt;=50,"Meets Expectations",IF(AB87&gt;=30,"Below Expectations","Underperformer")))))</f>
        <v>Below Expectations</v>
      </c>
      <c r="AD87" s="51">
        <f>IF('Employee Master'!B87="","",'Employee Master'!M87)</f>
        <v>47300</v>
      </c>
      <c r="AE87" s="52">
        <f>IF('Employee Master'!B87="","",IF(AB87&gt;=85,Settings!B31,IF(AB87&gt;=70,Settings!B32,IF(AB87&gt;=50,Settings!B33,IF(AB87&gt;=30,Settings!B34,Settings!B35)))))</f>
        <v>0.03</v>
      </c>
      <c r="AF87" s="51">
        <f>IF('Employee Master'!B87="","",AD87*(1+AE87))</f>
        <v>48719</v>
      </c>
      <c r="AG87" s="51">
        <f>IF('Employee Master'!B87="","",AF87-AD87)</f>
        <v>1419</v>
      </c>
      <c r="AH87" s="51">
        <f>IF('Employee Master'!B87="","",AG87*12)</f>
        <v>17028</v>
      </c>
    </row>
    <row r="88" spans="1:34" ht="23.25" customHeight="1" x14ac:dyDescent="0.2">
      <c r="A88" s="27">
        <f>IF('Employee Master'!B88="","",ROW()-3)</f>
        <v>85</v>
      </c>
      <c r="B88" s="27" t="str">
        <f>IF('Employee Master'!B88="","",'Employee Master'!C88)</f>
        <v>Harsh.V</v>
      </c>
      <c r="C88" s="27" t="str">
        <f>IF('Employee Master'!B88="","",'Employee Master'!D88)</f>
        <v>Remote</v>
      </c>
      <c r="D88" s="27" t="str">
        <f>IF('Employee Master'!B88="","",'Employee Master'!E88)</f>
        <v>Associate</v>
      </c>
      <c r="E88" s="27" t="str">
        <f>IF('Employee Master'!B88="","",'Employee Master'!G88)</f>
        <v>Jyoti</v>
      </c>
      <c r="F88" s="51">
        <f>IF('Employee Master'!B88="","",'⑥ Annual Performance'!R88)</f>
        <v>12</v>
      </c>
      <c r="G88" s="103">
        <f>IF('Employee Master'!B88="","",'⑥ Annual Performance'!J88)</f>
        <v>4.0989583333333336E-2</v>
      </c>
      <c r="H88" s="104">
        <f>IF('Employee Master'!B88="","",IF(G88&gt;=0.85,15,IF(G88&gt;=0.7,12,IF(G88&gt;=0.55,9,IF(G88&gt;=0.4,6,3)))))</f>
        <v>3</v>
      </c>
      <c r="I88" s="103">
        <f>IF('Employee Master'!B88="","",'⑥ Annual Performance'!Q88)</f>
        <v>0</v>
      </c>
      <c r="J88" s="104">
        <f>IF('Employee Master'!B88="","",IF(I88&gt;=0.98,10,IF(I88&gt;=0.95,8,IF(I88&gt;=0.9,6,IF(I88&gt;=0.85,4,2)))))</f>
        <v>2</v>
      </c>
      <c r="K88" s="105">
        <f>IF('Employee Master'!B88="","",'⑥ Annual Performance'!N88)</f>
        <v>0</v>
      </c>
      <c r="L88" s="104">
        <f>IF('Employee Master'!B88="","",IF(K88&gt;=1000,10,IF(K88&gt;=750,8,IF(K88&gt;=500,6,IF(K88&gt;=250,4,2)))))</f>
        <v>2</v>
      </c>
      <c r="M88" s="105">
        <f>IF('Employee Master'!B88="","",'⑥ Annual Performance'!K88)</f>
        <v>3</v>
      </c>
      <c r="N88" s="106">
        <f>IF('Employee Master'!B88="","",'⑥ Annual Performance'!L88)</f>
        <v>3.5</v>
      </c>
      <c r="O88" s="104">
        <f>IF('Employee Master'!B88="","",MIN(N88*2,10))</f>
        <v>7</v>
      </c>
      <c r="P88" s="104">
        <f>IF('Employee Master'!B88="","",IF(F88&gt;=36,5,IF(F88&gt;=24,4,IF(F88&gt;=12,3,IF(F88&gt;=6,2,1)))))</f>
        <v>3</v>
      </c>
      <c r="Q88" s="104">
        <f>IF('Employee Master'!B88="","",IF(D88="Sr. Controller",10,IF(D88="Coo",10,IF(D88="Controller",9,IF(D88="Asst. Controller",8,IF(D88="Sr. Manager",8,IF(D88="Manager",7,IF(D88="Asst. Manager",6,IF(D88="Team Lead",7,IF(D88="Asst. Team Lead",5,IF(D88="Sr. Associate",4,IF(D88="Associate",3,IF(D88="Full Stack Developer",5,IF(D88="Project Manager (S/W)",6,IF(D88="Marketing",4,4)))))))))))))))</f>
        <v>3</v>
      </c>
      <c r="R88" s="107">
        <f>IF('Employee Master'!B88="","",H88+J88+L88+O88+P88+Q88)</f>
        <v>20</v>
      </c>
      <c r="S88" s="108">
        <f>IF('Employee Master'!B88="","",3)</f>
        <v>3</v>
      </c>
      <c r="T88" s="104">
        <f>IF('Employee Master'!B88="","",MIN(S88*2,10))</f>
        <v>6</v>
      </c>
      <c r="U88" s="108">
        <f>IF('Employee Master'!B88="","",3)</f>
        <v>3</v>
      </c>
      <c r="V88" s="104">
        <f>IF('Employee Master'!B88="","",MIN(U88*2,10))</f>
        <v>6</v>
      </c>
      <c r="W88" s="108">
        <f>IF('Employee Master'!B88="","",3)</f>
        <v>3</v>
      </c>
      <c r="X88" s="104">
        <f>IF('Employee Master'!B88="","",MIN(W88*2,10))</f>
        <v>6</v>
      </c>
      <c r="Y88" s="108">
        <f>IF('Employee Master'!B88="","",3)</f>
        <v>3</v>
      </c>
      <c r="Z88" s="104">
        <f>IF('Employee Master'!B88="","",MIN(Y88*2,10))</f>
        <v>6</v>
      </c>
      <c r="AA88" s="109">
        <f>IF('Employee Master'!B88="","",T88+V88+X88+Z88)</f>
        <v>24</v>
      </c>
      <c r="AB88" s="110">
        <f>IF('Employee Master'!B88="","",R88+AA88)</f>
        <v>44</v>
      </c>
      <c r="AC88" s="27" t="str">
        <f>IF('Employee Master'!B88="","",IF(AB88&gt;=85,"Exceptional",IF(AB88&gt;=70,"High Performer",IF(AB88&gt;=50,"Meets Expectations",IF(AB88&gt;=30,"Below Expectations","Underperformer")))))</f>
        <v>Below Expectations</v>
      </c>
      <c r="AD88" s="51">
        <f>IF('Employee Master'!B88="","",'Employee Master'!M88)</f>
        <v>28065</v>
      </c>
      <c r="AE88" s="52">
        <f>IF('Employee Master'!B88="","",IF(AB88&gt;=85,Settings!B31,IF(AB88&gt;=70,Settings!B32,IF(AB88&gt;=50,Settings!B33,IF(AB88&gt;=30,Settings!B34,Settings!B35)))))</f>
        <v>0.03</v>
      </c>
      <c r="AF88" s="51">
        <f>IF('Employee Master'!B88="","",AD88*(1+AE88))</f>
        <v>28906.95</v>
      </c>
      <c r="AG88" s="51">
        <f>IF('Employee Master'!B88="","",AF88-AD88)</f>
        <v>841.95000000000073</v>
      </c>
      <c r="AH88" s="51">
        <f>IF('Employee Master'!B88="","",AG88*12)</f>
        <v>10103.400000000009</v>
      </c>
    </row>
    <row r="89" spans="1:34" ht="23.25" customHeight="1" x14ac:dyDescent="0.2">
      <c r="A89" s="27">
        <f>IF('Employee Master'!B89="","",ROW()-3)</f>
        <v>86</v>
      </c>
      <c r="B89" s="27" t="str">
        <f>IF('Employee Master'!B89="","",'Employee Master'!C89)</f>
        <v>Ash</v>
      </c>
      <c r="C89" s="27" t="str">
        <f>IF('Employee Master'!B89="","",'Employee Master'!D89)</f>
        <v>Remote</v>
      </c>
      <c r="D89" s="27" t="str">
        <f>IF('Employee Master'!B89="","",'Employee Master'!E89)</f>
        <v>Controller</v>
      </c>
      <c r="E89" s="27" t="str">
        <f>IF('Employee Master'!B89="","",'Employee Master'!G89)</f>
        <v>--</v>
      </c>
      <c r="F89" s="51">
        <f>IF('Employee Master'!B89="","",'⑥ Annual Performance'!R89)</f>
        <v>12</v>
      </c>
      <c r="G89" s="103">
        <f>IF('Employee Master'!B89="","",'⑥ Annual Performance'!J89)</f>
        <v>8.8124999999999995E-2</v>
      </c>
      <c r="H89" s="104">
        <f>IF('Employee Master'!B89="","",IF(G89&gt;=0.85,15,IF(G89&gt;=0.7,12,IF(G89&gt;=0.55,9,IF(G89&gt;=0.4,6,3)))))</f>
        <v>3</v>
      </c>
      <c r="I89" s="103">
        <f>IF('Employee Master'!B89="","",'⑥ Annual Performance'!Q89)</f>
        <v>0</v>
      </c>
      <c r="J89" s="104">
        <f>IF('Employee Master'!B89="","",IF(I89&gt;=0.98,10,IF(I89&gt;=0.95,8,IF(I89&gt;=0.9,6,IF(I89&gt;=0.85,4,2)))))</f>
        <v>2</v>
      </c>
      <c r="K89" s="105">
        <f>IF('Employee Master'!B89="","",'⑥ Annual Performance'!N89)</f>
        <v>0</v>
      </c>
      <c r="L89" s="104">
        <f>IF('Employee Master'!B89="","",IF(K89&gt;=1000,10,IF(K89&gt;=750,8,IF(K89&gt;=500,6,IF(K89&gt;=250,4,2)))))</f>
        <v>2</v>
      </c>
      <c r="M89" s="105">
        <f>IF('Employee Master'!B89="","",'⑥ Annual Performance'!K89)</f>
        <v>2</v>
      </c>
      <c r="N89" s="106">
        <f>IF('Employee Master'!B89="","",'⑥ Annual Performance'!L89)</f>
        <v>3.5</v>
      </c>
      <c r="O89" s="104">
        <f>IF('Employee Master'!B89="","",MIN(N89*2,10))</f>
        <v>7</v>
      </c>
      <c r="P89" s="104">
        <f>IF('Employee Master'!B89="","",IF(F89&gt;=36,5,IF(F89&gt;=24,4,IF(F89&gt;=12,3,IF(F89&gt;=6,2,1)))))</f>
        <v>3</v>
      </c>
      <c r="Q89" s="104">
        <f>IF('Employee Master'!B89="","",IF(D89="Sr. Controller",10,IF(D89="Coo",10,IF(D89="Controller",9,IF(D89="Asst. Controller",8,IF(D89="Sr. Manager",8,IF(D89="Manager",7,IF(D89="Asst. Manager",6,IF(D89="Team Lead",7,IF(D89="Asst. Team Lead",5,IF(D89="Sr. Associate",4,IF(D89="Associate",3,IF(D89="Full Stack Developer",5,IF(D89="Project Manager (S/W)",6,IF(D89="Marketing",4,4)))))))))))))))</f>
        <v>9</v>
      </c>
      <c r="R89" s="107">
        <f>IF('Employee Master'!B89="","",H89+J89+L89+O89+P89+Q89)</f>
        <v>26</v>
      </c>
      <c r="S89" s="108">
        <f>IF('Employee Master'!B89="","",3)</f>
        <v>3</v>
      </c>
      <c r="T89" s="104">
        <f>IF('Employee Master'!B89="","",MIN(S89*2,10))</f>
        <v>6</v>
      </c>
      <c r="U89" s="108">
        <f>IF('Employee Master'!B89="","",3)</f>
        <v>3</v>
      </c>
      <c r="V89" s="104">
        <f>IF('Employee Master'!B89="","",MIN(U89*2,10))</f>
        <v>6</v>
      </c>
      <c r="W89" s="108">
        <f>IF('Employee Master'!B89="","",3)</f>
        <v>3</v>
      </c>
      <c r="X89" s="104">
        <f>IF('Employee Master'!B89="","",MIN(W89*2,10))</f>
        <v>6</v>
      </c>
      <c r="Y89" s="108">
        <f>IF('Employee Master'!B89="","",3)</f>
        <v>3</v>
      </c>
      <c r="Z89" s="104">
        <f>IF('Employee Master'!B89="","",MIN(Y89*2,10))</f>
        <v>6</v>
      </c>
      <c r="AA89" s="109">
        <f>IF('Employee Master'!B89="","",T89+V89+X89+Z89)</f>
        <v>24</v>
      </c>
      <c r="AB89" s="110">
        <f>IF('Employee Master'!B89="","",R89+AA89)</f>
        <v>50</v>
      </c>
      <c r="AC89" s="27" t="str">
        <f>IF('Employee Master'!B89="","",IF(AB89&gt;=85,"Exceptional",IF(AB89&gt;=70,"High Performer",IF(AB89&gt;=50,"Meets Expectations",IF(AB89&gt;=30,"Below Expectations","Underperformer")))))</f>
        <v>Meets Expectations</v>
      </c>
      <c r="AD89" s="51">
        <f>IF('Employee Master'!B89="","",'Employee Master'!M89)</f>
        <v>0</v>
      </c>
      <c r="AE89" s="52">
        <f>IF('Employee Master'!B89="","",IF(AB89&gt;=85,Settings!B31,IF(AB89&gt;=70,Settings!B32,IF(AB89&gt;=50,Settings!B33,IF(AB89&gt;=30,Settings!B34,Settings!B35)))))</f>
        <v>7.4999999999999997E-2</v>
      </c>
      <c r="AF89" s="51">
        <f>IF('Employee Master'!B89="","",AD89*(1+AE89))</f>
        <v>0</v>
      </c>
      <c r="AG89" s="51">
        <f>IF('Employee Master'!B89="","",AF89-AD89)</f>
        <v>0</v>
      </c>
      <c r="AH89" s="51">
        <f>IF('Employee Master'!B89="","",AG89*12)</f>
        <v>0</v>
      </c>
    </row>
    <row r="90" spans="1:34" ht="23.25" customHeight="1" x14ac:dyDescent="0.2">
      <c r="A90" s="27">
        <f>IF('Employee Master'!B90="","",ROW()-3)</f>
        <v>87</v>
      </c>
      <c r="B90" s="27" t="str">
        <f>IF('Employee Master'!B90="","",'Employee Master'!C90)</f>
        <v>Anshika.B</v>
      </c>
      <c r="C90" s="27" t="str">
        <f>IF('Employee Master'!B90="","",'Employee Master'!D90)</f>
        <v>In-house</v>
      </c>
      <c r="D90" s="27" t="str">
        <f>IF('Employee Master'!B90="","",'Employee Master'!E90)</f>
        <v>Associate</v>
      </c>
      <c r="E90" s="27" t="str">
        <f>IF('Employee Master'!B90="","",'Employee Master'!G90)</f>
        <v>Vinita Dagar</v>
      </c>
      <c r="F90" s="51">
        <f>IF('Employee Master'!B90="","",'⑥ Annual Performance'!R90)</f>
        <v>12</v>
      </c>
      <c r="G90" s="103">
        <f>IF('Employee Master'!B90="","",'⑥ Annual Performance'!J90)</f>
        <v>5.3385416666666664E-2</v>
      </c>
      <c r="H90" s="104">
        <f>IF('Employee Master'!B90="","",IF(G90&gt;=0.85,15,IF(G90&gt;=0.7,12,IF(G90&gt;=0.55,9,IF(G90&gt;=0.4,6,3)))))</f>
        <v>3</v>
      </c>
      <c r="I90" s="103">
        <f>IF('Employee Master'!B90="","",'⑥ Annual Performance'!Q90)</f>
        <v>0</v>
      </c>
      <c r="J90" s="104">
        <f>IF('Employee Master'!B90="","",IF(I90&gt;=0.98,10,IF(I90&gt;=0.95,8,IF(I90&gt;=0.9,6,IF(I90&gt;=0.85,4,2)))))</f>
        <v>2</v>
      </c>
      <c r="K90" s="105">
        <f>IF('Employee Master'!B90="","",'⑥ Annual Performance'!N90)</f>
        <v>0</v>
      </c>
      <c r="L90" s="104">
        <f>IF('Employee Master'!B90="","",IF(K90&gt;=1000,10,IF(K90&gt;=750,8,IF(K90&gt;=500,6,IF(K90&gt;=250,4,2)))))</f>
        <v>2</v>
      </c>
      <c r="M90" s="105">
        <f>IF('Employee Master'!B90="","",'⑥ Annual Performance'!K90)</f>
        <v>4</v>
      </c>
      <c r="N90" s="106">
        <f>IF('Employee Master'!B90="","",'⑥ Annual Performance'!L90)</f>
        <v>3.5</v>
      </c>
      <c r="O90" s="104">
        <f>IF('Employee Master'!B90="","",MIN(N90*2,10))</f>
        <v>7</v>
      </c>
      <c r="P90" s="104">
        <f>IF('Employee Master'!B90="","",IF(F90&gt;=36,5,IF(F90&gt;=24,4,IF(F90&gt;=12,3,IF(F90&gt;=6,2,1)))))</f>
        <v>3</v>
      </c>
      <c r="Q90" s="104">
        <f>IF('Employee Master'!B90="","",IF(D90="Sr. Controller",10,IF(D90="Coo",10,IF(D90="Controller",9,IF(D90="Asst. Controller",8,IF(D90="Sr. Manager",8,IF(D90="Manager",7,IF(D90="Asst. Manager",6,IF(D90="Team Lead",7,IF(D90="Asst. Team Lead",5,IF(D90="Sr. Associate",4,IF(D90="Associate",3,IF(D90="Full Stack Developer",5,IF(D90="Project Manager (S/W)",6,IF(D90="Marketing",4,4)))))))))))))))</f>
        <v>3</v>
      </c>
      <c r="R90" s="107">
        <f>IF('Employee Master'!B90="","",H90+J90+L90+O90+P90+Q90)</f>
        <v>20</v>
      </c>
      <c r="S90" s="108">
        <f>IF('Employee Master'!B90="","",3)</f>
        <v>3</v>
      </c>
      <c r="T90" s="104">
        <f>IF('Employee Master'!B90="","",MIN(S90*2,10))</f>
        <v>6</v>
      </c>
      <c r="U90" s="108">
        <f>IF('Employee Master'!B90="","",3)</f>
        <v>3</v>
      </c>
      <c r="V90" s="104">
        <f>IF('Employee Master'!B90="","",MIN(U90*2,10))</f>
        <v>6</v>
      </c>
      <c r="W90" s="108">
        <f>IF('Employee Master'!B90="","",3)</f>
        <v>3</v>
      </c>
      <c r="X90" s="104">
        <f>IF('Employee Master'!B90="","",MIN(W90*2,10))</f>
        <v>6</v>
      </c>
      <c r="Y90" s="108">
        <f>IF('Employee Master'!B90="","",3)</f>
        <v>3</v>
      </c>
      <c r="Z90" s="104">
        <f>IF('Employee Master'!B90="","",MIN(Y90*2,10))</f>
        <v>6</v>
      </c>
      <c r="AA90" s="109">
        <f>IF('Employee Master'!B90="","",T90+V90+X90+Z90)</f>
        <v>24</v>
      </c>
      <c r="AB90" s="110">
        <f>IF('Employee Master'!B90="","",R90+AA90)</f>
        <v>44</v>
      </c>
      <c r="AC90" s="27" t="str">
        <f>IF('Employee Master'!B90="","",IF(AB90&gt;=85,"Exceptional",IF(AB90&gt;=70,"High Performer",IF(AB90&gt;=50,"Meets Expectations",IF(AB90&gt;=30,"Below Expectations","Underperformer")))))</f>
        <v>Below Expectations</v>
      </c>
      <c r="AD90" s="51">
        <f>IF('Employee Master'!B90="","",'Employee Master'!M90)</f>
        <v>0</v>
      </c>
      <c r="AE90" s="52">
        <f>IF('Employee Master'!B90="","",IF(AB90&gt;=85,Settings!B31,IF(AB90&gt;=70,Settings!B32,IF(AB90&gt;=50,Settings!B33,IF(AB90&gt;=30,Settings!B34,Settings!B35)))))</f>
        <v>0.03</v>
      </c>
      <c r="AF90" s="51">
        <f>IF('Employee Master'!B90="","",AD90*(1+AE90))</f>
        <v>0</v>
      </c>
      <c r="AG90" s="51">
        <f>IF('Employee Master'!B90="","",AF90-AD90)</f>
        <v>0</v>
      </c>
      <c r="AH90" s="51">
        <f>IF('Employee Master'!B90="","",AG90*12)</f>
        <v>0</v>
      </c>
    </row>
    <row r="91" spans="1:34" ht="23.25" customHeight="1" x14ac:dyDescent="0.2">
      <c r="A91" s="27">
        <f>IF('Employee Master'!B91="","",ROW()-3)</f>
        <v>88</v>
      </c>
      <c r="B91" s="27" t="str">
        <f>IF('Employee Master'!B91="","",'Employee Master'!C91)</f>
        <v>Deepak</v>
      </c>
      <c r="C91" s="27" t="str">
        <f>IF('Employee Master'!B91="","",'Employee Master'!D91)</f>
        <v>In-house</v>
      </c>
      <c r="D91" s="27" t="str">
        <f>IF('Employee Master'!B91="","",'Employee Master'!E91)</f>
        <v>Sr. Associate</v>
      </c>
      <c r="E91" s="27" t="str">
        <f>IF('Employee Master'!B91="","",'Employee Master'!G91)</f>
        <v>Vinita Dagar</v>
      </c>
      <c r="F91" s="51">
        <f>IF('Employee Master'!B91="","",'⑥ Annual Performance'!R91)</f>
        <v>12</v>
      </c>
      <c r="G91" s="103">
        <f>IF('Employee Master'!B91="","",'⑥ Annual Performance'!J91)</f>
        <v>0</v>
      </c>
      <c r="H91" s="104">
        <f>IF('Employee Master'!B91="","",IF(G91&gt;=0.85,15,IF(G91&gt;=0.7,12,IF(G91&gt;=0.55,9,IF(G91&gt;=0.4,6,3)))))</f>
        <v>3</v>
      </c>
      <c r="I91" s="103">
        <f>IF('Employee Master'!B91="","",'⑥ Annual Performance'!Q91)</f>
        <v>0</v>
      </c>
      <c r="J91" s="104">
        <f>IF('Employee Master'!B91="","",IF(I91&gt;=0.98,10,IF(I91&gt;=0.95,8,IF(I91&gt;=0.9,6,IF(I91&gt;=0.85,4,2)))))</f>
        <v>2</v>
      </c>
      <c r="K91" s="105">
        <f>IF('Employee Master'!B91="","",'⑥ Annual Performance'!N91)</f>
        <v>0</v>
      </c>
      <c r="L91" s="104">
        <f>IF('Employee Master'!B91="","",IF(K91&gt;=1000,10,IF(K91&gt;=750,8,IF(K91&gt;=500,6,IF(K91&gt;=250,4,2)))))</f>
        <v>2</v>
      </c>
      <c r="M91" s="105">
        <f>IF('Employee Master'!B91="","",'⑥ Annual Performance'!K91)</f>
        <v>0</v>
      </c>
      <c r="N91" s="106">
        <f>IF('Employee Master'!B91="","",'⑥ Annual Performance'!L91)</f>
        <v>3.5</v>
      </c>
      <c r="O91" s="104">
        <f>IF('Employee Master'!B91="","",MIN(N91*2,10))</f>
        <v>7</v>
      </c>
      <c r="P91" s="104">
        <f>IF('Employee Master'!B91="","",IF(F91&gt;=36,5,IF(F91&gt;=24,4,IF(F91&gt;=12,3,IF(F91&gt;=6,2,1)))))</f>
        <v>3</v>
      </c>
      <c r="Q91" s="104">
        <f>IF('Employee Master'!B91="","",IF(D91="Sr. Controller",10,IF(D91="Coo",10,IF(D91="Controller",9,IF(D91="Asst. Controller",8,IF(D91="Sr. Manager",8,IF(D91="Manager",7,IF(D91="Asst. Manager",6,IF(D91="Team Lead",7,IF(D91="Asst. Team Lead",5,IF(D91="Sr. Associate",4,IF(D91="Associate",3,IF(D91="Full Stack Developer",5,IF(D91="Project Manager (S/W)",6,IF(D91="Marketing",4,4)))))))))))))))</f>
        <v>4</v>
      </c>
      <c r="R91" s="107">
        <f>IF('Employee Master'!B91="","",H91+J91+L91+O91+P91+Q91)</f>
        <v>21</v>
      </c>
      <c r="S91" s="108">
        <f>IF('Employee Master'!B91="","",3)</f>
        <v>3</v>
      </c>
      <c r="T91" s="104">
        <f>IF('Employee Master'!B91="","",MIN(S91*2,10))</f>
        <v>6</v>
      </c>
      <c r="U91" s="108">
        <f>IF('Employee Master'!B91="","",3)</f>
        <v>3</v>
      </c>
      <c r="V91" s="104">
        <f>IF('Employee Master'!B91="","",MIN(U91*2,10))</f>
        <v>6</v>
      </c>
      <c r="W91" s="108">
        <f>IF('Employee Master'!B91="","",3)</f>
        <v>3</v>
      </c>
      <c r="X91" s="104">
        <f>IF('Employee Master'!B91="","",MIN(W91*2,10))</f>
        <v>6</v>
      </c>
      <c r="Y91" s="108">
        <f>IF('Employee Master'!B91="","",3)</f>
        <v>3</v>
      </c>
      <c r="Z91" s="104">
        <f>IF('Employee Master'!B91="","",MIN(Y91*2,10))</f>
        <v>6</v>
      </c>
      <c r="AA91" s="109">
        <f>IF('Employee Master'!B91="","",T91+V91+X91+Z91)</f>
        <v>24</v>
      </c>
      <c r="AB91" s="110">
        <f>IF('Employee Master'!B91="","",R91+AA91)</f>
        <v>45</v>
      </c>
      <c r="AC91" s="27" t="str">
        <f>IF('Employee Master'!B91="","",IF(AB91&gt;=85,"Exceptional",IF(AB91&gt;=70,"High Performer",IF(AB91&gt;=50,"Meets Expectations",IF(AB91&gt;=30,"Below Expectations","Underperformer")))))</f>
        <v>Below Expectations</v>
      </c>
      <c r="AD91" s="51">
        <f>IF('Employee Master'!B91="","",'Employee Master'!M91)</f>
        <v>0</v>
      </c>
      <c r="AE91" s="52">
        <f>IF('Employee Master'!B91="","",IF(AB91&gt;=85,Settings!B31,IF(AB91&gt;=70,Settings!B32,IF(AB91&gt;=50,Settings!B33,IF(AB91&gt;=30,Settings!B34,Settings!B35)))))</f>
        <v>0.03</v>
      </c>
      <c r="AF91" s="51">
        <f>IF('Employee Master'!B91="","",AD91*(1+AE91))</f>
        <v>0</v>
      </c>
      <c r="AG91" s="51">
        <f>IF('Employee Master'!B91="","",AF91-AD91)</f>
        <v>0</v>
      </c>
      <c r="AH91" s="51">
        <f>IF('Employee Master'!B91="","",AG91*12)</f>
        <v>0</v>
      </c>
    </row>
    <row r="92" spans="1:34" ht="23.25" customHeight="1" x14ac:dyDescent="0.2">
      <c r="A92" s="27">
        <f>IF('Employee Master'!B92="","",ROW()-3)</f>
        <v>89</v>
      </c>
      <c r="B92" s="27" t="str">
        <f>IF('Employee Master'!B92="","",'Employee Master'!C92)</f>
        <v>Simran.</v>
      </c>
      <c r="C92" s="27" t="str">
        <f>IF('Employee Master'!B92="","",'Employee Master'!D92)</f>
        <v>Remote</v>
      </c>
      <c r="D92" s="27" t="str">
        <f>IF('Employee Master'!B92="","",'Employee Master'!E92)</f>
        <v>Sr. Associate</v>
      </c>
      <c r="E92" s="27" t="str">
        <f>IF('Employee Master'!B92="","",'Employee Master'!G92)</f>
        <v>Nikita Shah</v>
      </c>
      <c r="F92" s="51">
        <f>IF('Employee Master'!B92="","",'⑥ Annual Performance'!R92)</f>
        <v>12</v>
      </c>
      <c r="G92" s="103">
        <f>IF('Employee Master'!B92="","",'⑥ Annual Performance'!J92)</f>
        <v>7.8125E-2</v>
      </c>
      <c r="H92" s="104">
        <f>IF('Employee Master'!B92="","",IF(G92&gt;=0.85,15,IF(G92&gt;=0.7,12,IF(G92&gt;=0.55,9,IF(G92&gt;=0.4,6,3)))))</f>
        <v>3</v>
      </c>
      <c r="I92" s="103">
        <f>IF('Employee Master'!B92="","",'⑥ Annual Performance'!Q92)</f>
        <v>0</v>
      </c>
      <c r="J92" s="104">
        <f>IF('Employee Master'!B92="","",IF(I92&gt;=0.98,10,IF(I92&gt;=0.95,8,IF(I92&gt;=0.9,6,IF(I92&gt;=0.85,4,2)))))</f>
        <v>2</v>
      </c>
      <c r="K92" s="105">
        <f>IF('Employee Master'!B92="","",'⑥ Annual Performance'!N92)</f>
        <v>0</v>
      </c>
      <c r="L92" s="104">
        <f>IF('Employee Master'!B92="","",IF(K92&gt;=1000,10,IF(K92&gt;=750,8,IF(K92&gt;=500,6,IF(K92&gt;=250,4,2)))))</f>
        <v>2</v>
      </c>
      <c r="M92" s="105">
        <f>IF('Employee Master'!B92="","",'⑥ Annual Performance'!K92)</f>
        <v>1</v>
      </c>
      <c r="N92" s="106">
        <f>IF('Employee Master'!B92="","",'⑥ Annual Performance'!L92)</f>
        <v>3.5</v>
      </c>
      <c r="O92" s="104">
        <f>IF('Employee Master'!B92="","",MIN(N92*2,10))</f>
        <v>7</v>
      </c>
      <c r="P92" s="104">
        <f>IF('Employee Master'!B92="","",IF(F92&gt;=36,5,IF(F92&gt;=24,4,IF(F92&gt;=12,3,IF(F92&gt;=6,2,1)))))</f>
        <v>3</v>
      </c>
      <c r="Q92" s="104">
        <f>IF('Employee Master'!B92="","",IF(D92="Sr. Controller",10,IF(D92="Coo",10,IF(D92="Controller",9,IF(D92="Asst. Controller",8,IF(D92="Sr. Manager",8,IF(D92="Manager",7,IF(D92="Asst. Manager",6,IF(D92="Team Lead",7,IF(D92="Asst. Team Lead",5,IF(D92="Sr. Associate",4,IF(D92="Associate",3,IF(D92="Full Stack Developer",5,IF(D92="Project Manager (S/W)",6,IF(D92="Marketing",4,4)))))))))))))))</f>
        <v>4</v>
      </c>
      <c r="R92" s="107">
        <f>IF('Employee Master'!B92="","",H92+J92+L92+O92+P92+Q92)</f>
        <v>21</v>
      </c>
      <c r="S92" s="108">
        <f>IF('Employee Master'!B92="","",3)</f>
        <v>3</v>
      </c>
      <c r="T92" s="104">
        <f>IF('Employee Master'!B92="","",MIN(S92*2,10))</f>
        <v>6</v>
      </c>
      <c r="U92" s="108">
        <f>IF('Employee Master'!B92="","",3)</f>
        <v>3</v>
      </c>
      <c r="V92" s="104">
        <f>IF('Employee Master'!B92="","",MIN(U92*2,10))</f>
        <v>6</v>
      </c>
      <c r="W92" s="108">
        <f>IF('Employee Master'!B92="","",3)</f>
        <v>3</v>
      </c>
      <c r="X92" s="104">
        <f>IF('Employee Master'!B92="","",MIN(W92*2,10))</f>
        <v>6</v>
      </c>
      <c r="Y92" s="108">
        <f>IF('Employee Master'!B92="","",3)</f>
        <v>3</v>
      </c>
      <c r="Z92" s="104">
        <f>IF('Employee Master'!B92="","",MIN(Y92*2,10))</f>
        <v>6</v>
      </c>
      <c r="AA92" s="109">
        <f>IF('Employee Master'!B92="","",T92+V92+X92+Z92)</f>
        <v>24</v>
      </c>
      <c r="AB92" s="110">
        <f>IF('Employee Master'!B92="","",R92+AA92)</f>
        <v>45</v>
      </c>
      <c r="AC92" s="27" t="str">
        <f>IF('Employee Master'!B92="","",IF(AB92&gt;=85,"Exceptional",IF(AB92&gt;=70,"High Performer",IF(AB92&gt;=50,"Meets Expectations",IF(AB92&gt;=30,"Below Expectations","Underperformer")))))</f>
        <v>Below Expectations</v>
      </c>
      <c r="AD92" s="51">
        <f>IF('Employee Master'!B92="","",'Employee Master'!M92)</f>
        <v>43813</v>
      </c>
      <c r="AE92" s="52">
        <f>IF('Employee Master'!B92="","",IF(AB92&gt;=85,Settings!B31,IF(AB92&gt;=70,Settings!B32,IF(AB92&gt;=50,Settings!B33,IF(AB92&gt;=30,Settings!B34,Settings!B35)))))</f>
        <v>0.03</v>
      </c>
      <c r="AF92" s="51">
        <f>IF('Employee Master'!B92="","",AD92*(1+AE92))</f>
        <v>45127.39</v>
      </c>
      <c r="AG92" s="51">
        <f>IF('Employee Master'!B92="","",AF92-AD92)</f>
        <v>1314.3899999999994</v>
      </c>
      <c r="AH92" s="51">
        <f>IF('Employee Master'!B92="","",AG92*12)</f>
        <v>15772.679999999993</v>
      </c>
    </row>
    <row r="93" spans="1:34" ht="23.25" customHeight="1" x14ac:dyDescent="0.2">
      <c r="A93" s="27">
        <f>IF('Employee Master'!B93="","",ROW()-3)</f>
        <v>90</v>
      </c>
      <c r="B93" s="27" t="str">
        <f>IF('Employee Master'!B93="","",'Employee Master'!C93)</f>
        <v>Marta</v>
      </c>
      <c r="C93" s="27" t="str">
        <f>IF('Employee Master'!B93="","",'Employee Master'!D93)</f>
        <v>Remote</v>
      </c>
      <c r="D93" s="27" t="str">
        <f>IF('Employee Master'!B93="","",'Employee Master'!E93)</f>
        <v>Associate</v>
      </c>
      <c r="E93" s="27" t="str">
        <f>IF('Employee Master'!B93="","",'Employee Master'!G93)</f>
        <v>Angela</v>
      </c>
      <c r="F93" s="51">
        <f>IF('Employee Master'!B93="","",'⑥ Annual Performance'!R93)</f>
        <v>12</v>
      </c>
      <c r="G93" s="103">
        <f>IF('Employee Master'!B93="","",'⑥ Annual Performance'!J93)</f>
        <v>0</v>
      </c>
      <c r="H93" s="104">
        <f>IF('Employee Master'!B93="","",IF(G93&gt;=0.85,15,IF(G93&gt;=0.7,12,IF(G93&gt;=0.55,9,IF(G93&gt;=0.4,6,3)))))</f>
        <v>3</v>
      </c>
      <c r="I93" s="103">
        <f>IF('Employee Master'!B93="","",'⑥ Annual Performance'!Q93)</f>
        <v>0</v>
      </c>
      <c r="J93" s="104">
        <f>IF('Employee Master'!B93="","",IF(I93&gt;=0.98,10,IF(I93&gt;=0.95,8,IF(I93&gt;=0.9,6,IF(I93&gt;=0.85,4,2)))))</f>
        <v>2</v>
      </c>
      <c r="K93" s="105">
        <f>IF('Employee Master'!B93="","",'⑥ Annual Performance'!N93)</f>
        <v>0</v>
      </c>
      <c r="L93" s="104">
        <f>IF('Employee Master'!B93="","",IF(K93&gt;=1000,10,IF(K93&gt;=750,8,IF(K93&gt;=500,6,IF(K93&gt;=250,4,2)))))</f>
        <v>2</v>
      </c>
      <c r="M93" s="105">
        <f>IF('Employee Master'!B93="","",'⑥ Annual Performance'!K93)</f>
        <v>0</v>
      </c>
      <c r="N93" s="106">
        <f>IF('Employee Master'!B93="","",'⑥ Annual Performance'!L93)</f>
        <v>3.5</v>
      </c>
      <c r="O93" s="104">
        <f>IF('Employee Master'!B93="","",MIN(N93*2,10))</f>
        <v>7</v>
      </c>
      <c r="P93" s="104">
        <f>IF('Employee Master'!B93="","",IF(F93&gt;=36,5,IF(F93&gt;=24,4,IF(F93&gt;=12,3,IF(F93&gt;=6,2,1)))))</f>
        <v>3</v>
      </c>
      <c r="Q93" s="104">
        <f>IF('Employee Master'!B93="","",IF(D93="Sr. Controller",10,IF(D93="Coo",10,IF(D93="Controller",9,IF(D93="Asst. Controller",8,IF(D93="Sr. Manager",8,IF(D93="Manager",7,IF(D93="Asst. Manager",6,IF(D93="Team Lead",7,IF(D93="Asst. Team Lead",5,IF(D93="Sr. Associate",4,IF(D93="Associate",3,IF(D93="Full Stack Developer",5,IF(D93="Project Manager (S/W)",6,IF(D93="Marketing",4,4)))))))))))))))</f>
        <v>3</v>
      </c>
      <c r="R93" s="107">
        <f>IF('Employee Master'!B93="","",H93+J93+L93+O93+P93+Q93)</f>
        <v>20</v>
      </c>
      <c r="S93" s="108">
        <f>IF('Employee Master'!B93="","",3)</f>
        <v>3</v>
      </c>
      <c r="T93" s="104">
        <f>IF('Employee Master'!B93="","",MIN(S93*2,10))</f>
        <v>6</v>
      </c>
      <c r="U93" s="108">
        <f>IF('Employee Master'!B93="","",3)</f>
        <v>3</v>
      </c>
      <c r="V93" s="104">
        <f>IF('Employee Master'!B93="","",MIN(U93*2,10))</f>
        <v>6</v>
      </c>
      <c r="W93" s="108">
        <f>IF('Employee Master'!B93="","",3)</f>
        <v>3</v>
      </c>
      <c r="X93" s="104">
        <f>IF('Employee Master'!B93="","",MIN(W93*2,10))</f>
        <v>6</v>
      </c>
      <c r="Y93" s="108">
        <f>IF('Employee Master'!B93="","",3)</f>
        <v>3</v>
      </c>
      <c r="Z93" s="104">
        <f>IF('Employee Master'!B93="","",MIN(Y93*2,10))</f>
        <v>6</v>
      </c>
      <c r="AA93" s="109">
        <f>IF('Employee Master'!B93="","",T93+V93+X93+Z93)</f>
        <v>24</v>
      </c>
      <c r="AB93" s="110">
        <f>IF('Employee Master'!B93="","",R93+AA93)</f>
        <v>44</v>
      </c>
      <c r="AC93" s="27" t="str">
        <f>IF('Employee Master'!B93="","",IF(AB93&gt;=85,"Exceptional",IF(AB93&gt;=70,"High Performer",IF(AB93&gt;=50,"Meets Expectations",IF(AB93&gt;=30,"Below Expectations","Underperformer")))))</f>
        <v>Below Expectations</v>
      </c>
      <c r="AD93" s="51">
        <f>IF('Employee Master'!B93="","",'Employee Master'!M93)</f>
        <v>0</v>
      </c>
      <c r="AE93" s="52">
        <f>IF('Employee Master'!B93="","",IF(AB93&gt;=85,Settings!B31,IF(AB93&gt;=70,Settings!B32,IF(AB93&gt;=50,Settings!B33,IF(AB93&gt;=30,Settings!B34,Settings!B35)))))</f>
        <v>0.03</v>
      </c>
      <c r="AF93" s="51">
        <f>IF('Employee Master'!B93="","",AD93*(1+AE93))</f>
        <v>0</v>
      </c>
      <c r="AG93" s="51">
        <f>IF('Employee Master'!B93="","",AF93-AD93)</f>
        <v>0</v>
      </c>
      <c r="AH93" s="51">
        <f>IF('Employee Master'!B93="","",AG93*12)</f>
        <v>0</v>
      </c>
    </row>
    <row r="94" spans="1:34" ht="23.25" customHeight="1" x14ac:dyDescent="0.2">
      <c r="A94" s="27">
        <f>IF('Employee Master'!B94="","",ROW()-3)</f>
        <v>91</v>
      </c>
      <c r="B94" s="27" t="str">
        <f>IF('Employee Master'!B94="","",'Employee Master'!C94)</f>
        <v>Sakshi.M</v>
      </c>
      <c r="C94" s="27" t="str">
        <f>IF('Employee Master'!B94="","",'Employee Master'!D94)</f>
        <v>Remote</v>
      </c>
      <c r="D94" s="27" t="str">
        <f>IF('Employee Master'!B94="","",'Employee Master'!E94)</f>
        <v>Manager</v>
      </c>
      <c r="E94" s="27" t="str">
        <f>IF('Employee Master'!B94="","",'Employee Master'!G94)</f>
        <v>Prachi Guglani</v>
      </c>
      <c r="F94" s="51">
        <f>IF('Employee Master'!B94="","",'⑥ Annual Performance'!R94)</f>
        <v>12</v>
      </c>
      <c r="G94" s="103">
        <f>IF('Employee Master'!B94="","",'⑥ Annual Performance'!J94)</f>
        <v>2.3333333333333331E-2</v>
      </c>
      <c r="H94" s="104">
        <f>IF('Employee Master'!B94="","",IF(G94&gt;=0.85,15,IF(G94&gt;=0.7,12,IF(G94&gt;=0.55,9,IF(G94&gt;=0.4,6,3)))))</f>
        <v>3</v>
      </c>
      <c r="I94" s="103">
        <f>IF('Employee Master'!B94="","",'⑥ Annual Performance'!Q94)</f>
        <v>0</v>
      </c>
      <c r="J94" s="104">
        <f>IF('Employee Master'!B94="","",IF(I94&gt;=0.98,10,IF(I94&gt;=0.95,8,IF(I94&gt;=0.9,6,IF(I94&gt;=0.85,4,2)))))</f>
        <v>2</v>
      </c>
      <c r="K94" s="105">
        <f>IF('Employee Master'!B94="","",'⑥ Annual Performance'!N94)</f>
        <v>0</v>
      </c>
      <c r="L94" s="104">
        <f>IF('Employee Master'!B94="","",IF(K94&gt;=1000,10,IF(K94&gt;=750,8,IF(K94&gt;=500,6,IF(K94&gt;=250,4,2)))))</f>
        <v>2</v>
      </c>
      <c r="M94" s="105">
        <f>IF('Employee Master'!B94="","",'⑥ Annual Performance'!K94)</f>
        <v>3</v>
      </c>
      <c r="N94" s="106">
        <f>IF('Employee Master'!B94="","",'⑥ Annual Performance'!L94)</f>
        <v>3.5</v>
      </c>
      <c r="O94" s="104">
        <f>IF('Employee Master'!B94="","",MIN(N94*2,10))</f>
        <v>7</v>
      </c>
      <c r="P94" s="104">
        <f>IF('Employee Master'!B94="","",IF(F94&gt;=36,5,IF(F94&gt;=24,4,IF(F94&gt;=12,3,IF(F94&gt;=6,2,1)))))</f>
        <v>3</v>
      </c>
      <c r="Q94" s="104">
        <f>IF('Employee Master'!B94="","",IF(D94="Sr. Controller",10,IF(D94="Coo",10,IF(D94="Controller",9,IF(D94="Asst. Controller",8,IF(D94="Sr. Manager",8,IF(D94="Manager",7,IF(D94="Asst. Manager",6,IF(D94="Team Lead",7,IF(D94="Asst. Team Lead",5,IF(D94="Sr. Associate",4,IF(D94="Associate",3,IF(D94="Full Stack Developer",5,IF(D94="Project Manager (S/W)",6,IF(D94="Marketing",4,4)))))))))))))))</f>
        <v>7</v>
      </c>
      <c r="R94" s="107">
        <f>IF('Employee Master'!B94="","",H94+J94+L94+O94+P94+Q94)</f>
        <v>24</v>
      </c>
      <c r="S94" s="108">
        <f>IF('Employee Master'!B94="","",3)</f>
        <v>3</v>
      </c>
      <c r="T94" s="104">
        <f>IF('Employee Master'!B94="","",MIN(S94*2,10))</f>
        <v>6</v>
      </c>
      <c r="U94" s="108">
        <f>IF('Employee Master'!B94="","",3)</f>
        <v>3</v>
      </c>
      <c r="V94" s="104">
        <f>IF('Employee Master'!B94="","",MIN(U94*2,10))</f>
        <v>6</v>
      </c>
      <c r="W94" s="108">
        <f>IF('Employee Master'!B94="","",3)</f>
        <v>3</v>
      </c>
      <c r="X94" s="104">
        <f>IF('Employee Master'!B94="","",MIN(W94*2,10))</f>
        <v>6</v>
      </c>
      <c r="Y94" s="108">
        <f>IF('Employee Master'!B94="","",3)</f>
        <v>3</v>
      </c>
      <c r="Z94" s="104">
        <f>IF('Employee Master'!B94="","",MIN(Y94*2,10))</f>
        <v>6</v>
      </c>
      <c r="AA94" s="109">
        <f>IF('Employee Master'!B94="","",T94+V94+X94+Z94)</f>
        <v>24</v>
      </c>
      <c r="AB94" s="110">
        <f>IF('Employee Master'!B94="","",R94+AA94)</f>
        <v>48</v>
      </c>
      <c r="AC94" s="27" t="str">
        <f>IF('Employee Master'!B94="","",IF(AB94&gt;=85,"Exceptional",IF(AB94&gt;=70,"High Performer",IF(AB94&gt;=50,"Meets Expectations",IF(AB94&gt;=30,"Below Expectations","Underperformer")))))</f>
        <v>Below Expectations</v>
      </c>
      <c r="AD94" s="51">
        <f>IF('Employee Master'!B94="","",'Employee Master'!M94)</f>
        <v>208333</v>
      </c>
      <c r="AE94" s="52">
        <f>IF('Employee Master'!B94="","",IF(AB94&gt;=85,Settings!B31,IF(AB94&gt;=70,Settings!B32,IF(AB94&gt;=50,Settings!B33,IF(AB94&gt;=30,Settings!B34,Settings!B35)))))</f>
        <v>0.03</v>
      </c>
      <c r="AF94" s="51">
        <f>IF('Employee Master'!B94="","",AD94*(1+AE94))</f>
        <v>214582.99000000002</v>
      </c>
      <c r="AG94" s="51">
        <f>IF('Employee Master'!B94="","",AF94-AD94)</f>
        <v>6249.9900000000198</v>
      </c>
      <c r="AH94" s="51">
        <f>IF('Employee Master'!B94="","",AG94*12)</f>
        <v>74999.880000000237</v>
      </c>
    </row>
    <row r="95" spans="1:34" ht="23.25" customHeight="1" x14ac:dyDescent="0.2">
      <c r="A95" s="27">
        <f>IF('Employee Master'!B95="","",ROW()-3)</f>
        <v>92</v>
      </c>
      <c r="B95" s="27" t="str">
        <f>IF('Employee Master'!B95="","",'Employee Master'!C95)</f>
        <v>Tracey.G</v>
      </c>
      <c r="C95" s="27" t="str">
        <f>IF('Employee Master'!B95="","",'Employee Master'!D95)</f>
        <v>Remote</v>
      </c>
      <c r="D95" s="27" t="str">
        <f>IF('Employee Master'!B95="","",'Employee Master'!E95)</f>
        <v>Coo</v>
      </c>
      <c r="E95" s="27" t="str">
        <f>IF('Employee Master'!B95="","",'Employee Master'!G95)</f>
        <v>--</v>
      </c>
      <c r="F95" s="51">
        <f>IF('Employee Master'!B95="","",'⑥ Annual Performance'!R95)</f>
        <v>12</v>
      </c>
      <c r="G95" s="103">
        <f>IF('Employee Master'!B95="","",'⑥ Annual Performance'!J95)</f>
        <v>9.1302083333333339E-2</v>
      </c>
      <c r="H95" s="104">
        <f>IF('Employee Master'!B95="","",IF(G95&gt;=0.85,15,IF(G95&gt;=0.7,12,IF(G95&gt;=0.55,9,IF(G95&gt;=0.4,6,3)))))</f>
        <v>3</v>
      </c>
      <c r="I95" s="103">
        <f>IF('Employee Master'!B95="","",'⑥ Annual Performance'!Q95)</f>
        <v>0</v>
      </c>
      <c r="J95" s="104">
        <f>IF('Employee Master'!B95="","",IF(I95&gt;=0.98,10,IF(I95&gt;=0.95,8,IF(I95&gt;=0.9,6,IF(I95&gt;=0.85,4,2)))))</f>
        <v>2</v>
      </c>
      <c r="K95" s="105">
        <f>IF('Employee Master'!B95="","",'⑥ Annual Performance'!N95)</f>
        <v>0</v>
      </c>
      <c r="L95" s="104">
        <f>IF('Employee Master'!B95="","",IF(K95&gt;=1000,10,IF(K95&gt;=750,8,IF(K95&gt;=500,6,IF(K95&gt;=250,4,2)))))</f>
        <v>2</v>
      </c>
      <c r="M95" s="105">
        <f>IF('Employee Master'!B95="","",'⑥ Annual Performance'!K95)</f>
        <v>5</v>
      </c>
      <c r="N95" s="106">
        <f>IF('Employee Master'!B95="","",'⑥ Annual Performance'!L95)</f>
        <v>3.5</v>
      </c>
      <c r="O95" s="104">
        <f>IF('Employee Master'!B95="","",MIN(N95*2,10))</f>
        <v>7</v>
      </c>
      <c r="P95" s="104">
        <f>IF('Employee Master'!B95="","",IF(F95&gt;=36,5,IF(F95&gt;=24,4,IF(F95&gt;=12,3,IF(F95&gt;=6,2,1)))))</f>
        <v>3</v>
      </c>
      <c r="Q95" s="104">
        <f>IF('Employee Master'!B95="","",IF(D95="Sr. Controller",10,IF(D95="Coo",10,IF(D95="Controller",9,IF(D95="Asst. Controller",8,IF(D95="Sr. Manager",8,IF(D95="Manager",7,IF(D95="Asst. Manager",6,IF(D95="Team Lead",7,IF(D95="Asst. Team Lead",5,IF(D95="Sr. Associate",4,IF(D95="Associate",3,IF(D95="Full Stack Developer",5,IF(D95="Project Manager (S/W)",6,IF(D95="Marketing",4,4)))))))))))))))</f>
        <v>10</v>
      </c>
      <c r="R95" s="107">
        <f>IF('Employee Master'!B95="","",H95+J95+L95+O95+P95+Q95)</f>
        <v>27</v>
      </c>
      <c r="S95" s="108">
        <f>IF('Employee Master'!B95="","",3)</f>
        <v>3</v>
      </c>
      <c r="T95" s="104">
        <f>IF('Employee Master'!B95="","",MIN(S95*2,10))</f>
        <v>6</v>
      </c>
      <c r="U95" s="108">
        <f>IF('Employee Master'!B95="","",3)</f>
        <v>3</v>
      </c>
      <c r="V95" s="104">
        <f>IF('Employee Master'!B95="","",MIN(U95*2,10))</f>
        <v>6</v>
      </c>
      <c r="W95" s="108">
        <f>IF('Employee Master'!B95="","",3)</f>
        <v>3</v>
      </c>
      <c r="X95" s="104">
        <f>IF('Employee Master'!B95="","",MIN(W95*2,10))</f>
        <v>6</v>
      </c>
      <c r="Y95" s="108">
        <f>IF('Employee Master'!B95="","",3)</f>
        <v>3</v>
      </c>
      <c r="Z95" s="104">
        <f>IF('Employee Master'!B95="","",MIN(Y95*2,10))</f>
        <v>6</v>
      </c>
      <c r="AA95" s="109">
        <f>IF('Employee Master'!B95="","",T95+V95+X95+Z95)</f>
        <v>24</v>
      </c>
      <c r="AB95" s="110">
        <f>IF('Employee Master'!B95="","",R95+AA95)</f>
        <v>51</v>
      </c>
      <c r="AC95" s="27" t="str">
        <f>IF('Employee Master'!B95="","",IF(AB95&gt;=85,"Exceptional",IF(AB95&gt;=70,"High Performer",IF(AB95&gt;=50,"Meets Expectations",IF(AB95&gt;=30,"Below Expectations","Underperformer")))))</f>
        <v>Meets Expectations</v>
      </c>
      <c r="AD95" s="51">
        <f>IF('Employee Master'!B95="","",'Employee Master'!M95)</f>
        <v>0</v>
      </c>
      <c r="AE95" s="52">
        <f>IF('Employee Master'!B95="","",IF(AB95&gt;=85,Settings!B31,IF(AB95&gt;=70,Settings!B32,IF(AB95&gt;=50,Settings!B33,IF(AB95&gt;=30,Settings!B34,Settings!B35)))))</f>
        <v>7.4999999999999997E-2</v>
      </c>
      <c r="AF95" s="51">
        <f>IF('Employee Master'!B95="","",AD95*(1+AE95))</f>
        <v>0</v>
      </c>
      <c r="AG95" s="51">
        <f>IF('Employee Master'!B95="","",AF95-AD95)</f>
        <v>0</v>
      </c>
      <c r="AH95" s="51">
        <f>IF('Employee Master'!B95="","",AG95*12)</f>
        <v>0</v>
      </c>
    </row>
    <row r="96" spans="1:34" ht="23.25" customHeight="1" x14ac:dyDescent="0.2">
      <c r="A96" s="27">
        <f>IF('Employee Master'!B96="","",ROW()-3)</f>
        <v>93</v>
      </c>
      <c r="B96" s="27" t="str">
        <f>IF('Employee Master'!B96="","",'Employee Master'!C96)</f>
        <v>Khushboo.S</v>
      </c>
      <c r="C96" s="27" t="str">
        <f>IF('Employee Master'!B96="","",'Employee Master'!D96)</f>
        <v>In-house</v>
      </c>
      <c r="D96" s="27" t="str">
        <f>IF('Employee Master'!B96="","",'Employee Master'!E96)</f>
        <v>Manager</v>
      </c>
      <c r="E96" s="27" t="str">
        <f>IF('Employee Master'!B96="","",'Employee Master'!G96)</f>
        <v>Jasleen.D</v>
      </c>
      <c r="F96" s="51">
        <f>IF('Employee Master'!B96="","",'⑥ Annual Performance'!R96)</f>
        <v>12</v>
      </c>
      <c r="G96" s="103">
        <f>IF('Employee Master'!B96="","",'⑥ Annual Performance'!J96)</f>
        <v>8.3333333333333332E-3</v>
      </c>
      <c r="H96" s="104">
        <f>IF('Employee Master'!B96="","",IF(G96&gt;=0.85,15,IF(G96&gt;=0.7,12,IF(G96&gt;=0.55,9,IF(G96&gt;=0.4,6,3)))))</f>
        <v>3</v>
      </c>
      <c r="I96" s="103">
        <f>IF('Employee Master'!B96="","",'⑥ Annual Performance'!Q96)</f>
        <v>0</v>
      </c>
      <c r="J96" s="104">
        <f>IF('Employee Master'!B96="","",IF(I96&gt;=0.98,10,IF(I96&gt;=0.95,8,IF(I96&gt;=0.9,6,IF(I96&gt;=0.85,4,2)))))</f>
        <v>2</v>
      </c>
      <c r="K96" s="105">
        <f>IF('Employee Master'!B96="","",'⑥ Annual Performance'!N96)</f>
        <v>0</v>
      </c>
      <c r="L96" s="104">
        <f>IF('Employee Master'!B96="","",IF(K96&gt;=1000,10,IF(K96&gt;=750,8,IF(K96&gt;=500,6,IF(K96&gt;=250,4,2)))))</f>
        <v>2</v>
      </c>
      <c r="M96" s="105">
        <f>IF('Employee Master'!B96="","",'⑥ Annual Performance'!K96)</f>
        <v>1</v>
      </c>
      <c r="N96" s="106">
        <f>IF('Employee Master'!B96="","",'⑥ Annual Performance'!L96)</f>
        <v>3.5</v>
      </c>
      <c r="O96" s="104">
        <f>IF('Employee Master'!B96="","",MIN(N96*2,10))</f>
        <v>7</v>
      </c>
      <c r="P96" s="104">
        <f>IF('Employee Master'!B96="","",IF(F96&gt;=36,5,IF(F96&gt;=24,4,IF(F96&gt;=12,3,IF(F96&gt;=6,2,1)))))</f>
        <v>3</v>
      </c>
      <c r="Q96" s="104">
        <f>IF('Employee Master'!B96="","",IF(D96="Sr. Controller",10,IF(D96="Coo",10,IF(D96="Controller",9,IF(D96="Asst. Controller",8,IF(D96="Sr. Manager",8,IF(D96="Manager",7,IF(D96="Asst. Manager",6,IF(D96="Team Lead",7,IF(D96="Asst. Team Lead",5,IF(D96="Sr. Associate",4,IF(D96="Associate",3,IF(D96="Full Stack Developer",5,IF(D96="Project Manager (S/W)",6,IF(D96="Marketing",4,4)))))))))))))))</f>
        <v>7</v>
      </c>
      <c r="R96" s="107">
        <f>IF('Employee Master'!B96="","",H96+J96+L96+O96+P96+Q96)</f>
        <v>24</v>
      </c>
      <c r="S96" s="108">
        <f>IF('Employee Master'!B96="","",3)</f>
        <v>3</v>
      </c>
      <c r="T96" s="104">
        <f>IF('Employee Master'!B96="","",MIN(S96*2,10))</f>
        <v>6</v>
      </c>
      <c r="U96" s="108">
        <f>IF('Employee Master'!B96="","",3)</f>
        <v>3</v>
      </c>
      <c r="V96" s="104">
        <f>IF('Employee Master'!B96="","",MIN(U96*2,10))</f>
        <v>6</v>
      </c>
      <c r="W96" s="108">
        <f>IF('Employee Master'!B96="","",3)</f>
        <v>3</v>
      </c>
      <c r="X96" s="104">
        <f>IF('Employee Master'!B96="","",MIN(W96*2,10))</f>
        <v>6</v>
      </c>
      <c r="Y96" s="108">
        <f>IF('Employee Master'!B96="","",3)</f>
        <v>3</v>
      </c>
      <c r="Z96" s="104">
        <f>IF('Employee Master'!B96="","",MIN(Y96*2,10))</f>
        <v>6</v>
      </c>
      <c r="AA96" s="109">
        <f>IF('Employee Master'!B96="","",T96+V96+X96+Z96)</f>
        <v>24</v>
      </c>
      <c r="AB96" s="110">
        <f>IF('Employee Master'!B96="","",R96+AA96)</f>
        <v>48</v>
      </c>
      <c r="AC96" s="27" t="str">
        <f>IF('Employee Master'!B96="","",IF(AB96&gt;=85,"Exceptional",IF(AB96&gt;=70,"High Performer",IF(AB96&gt;=50,"Meets Expectations",IF(AB96&gt;=30,"Below Expectations","Underperformer")))))</f>
        <v>Below Expectations</v>
      </c>
      <c r="AD96" s="51">
        <f>IF('Employee Master'!B96="","",'Employee Master'!M96)</f>
        <v>141666</v>
      </c>
      <c r="AE96" s="52">
        <f>IF('Employee Master'!B96="","",IF(AB96&gt;=85,Settings!B31,IF(AB96&gt;=70,Settings!B32,IF(AB96&gt;=50,Settings!B33,IF(AB96&gt;=30,Settings!B34,Settings!B35)))))</f>
        <v>0.03</v>
      </c>
      <c r="AF96" s="51">
        <f>IF('Employee Master'!B96="","",AD96*(1+AE96))</f>
        <v>145915.98000000001</v>
      </c>
      <c r="AG96" s="51">
        <f>IF('Employee Master'!B96="","",AF96-AD96)</f>
        <v>4249.9800000000105</v>
      </c>
      <c r="AH96" s="51">
        <f>IF('Employee Master'!B96="","",AG96*12)</f>
        <v>50999.760000000126</v>
      </c>
    </row>
    <row r="97" spans="1:34" ht="23.25" customHeight="1" x14ac:dyDescent="0.2">
      <c r="A97" s="27">
        <f>IF('Employee Master'!B97="","",ROW()-3)</f>
        <v>94</v>
      </c>
      <c r="B97" s="27" t="str">
        <f>IF('Employee Master'!B97="","",'Employee Master'!C97)</f>
        <v>Prerna.G</v>
      </c>
      <c r="C97" s="27" t="str">
        <f>IF('Employee Master'!B97="","",'Employee Master'!D97)</f>
        <v>Remote</v>
      </c>
      <c r="D97" s="27" t="str">
        <f>IF('Employee Master'!B97="","",'Employee Master'!E97)</f>
        <v>Manager</v>
      </c>
      <c r="E97" s="27" t="str">
        <f>IF('Employee Master'!B97="","",'Employee Master'!G97)</f>
        <v>Ayushi</v>
      </c>
      <c r="F97" s="51">
        <f>IF('Employee Master'!B97="","",'⑥ Annual Performance'!R97)</f>
        <v>12</v>
      </c>
      <c r="G97" s="103">
        <f>IF('Employee Master'!B97="","",'⑥ Annual Performance'!J97)</f>
        <v>8.6979166666666663E-2</v>
      </c>
      <c r="H97" s="104">
        <f>IF('Employee Master'!B97="","",IF(G97&gt;=0.85,15,IF(G97&gt;=0.7,12,IF(G97&gt;=0.55,9,IF(G97&gt;=0.4,6,3)))))</f>
        <v>3</v>
      </c>
      <c r="I97" s="103">
        <f>IF('Employee Master'!B97="","",'⑥ Annual Performance'!Q97)</f>
        <v>0</v>
      </c>
      <c r="J97" s="104">
        <f>IF('Employee Master'!B97="","",IF(I97&gt;=0.98,10,IF(I97&gt;=0.95,8,IF(I97&gt;=0.9,6,IF(I97&gt;=0.85,4,2)))))</f>
        <v>2</v>
      </c>
      <c r="K97" s="105">
        <f>IF('Employee Master'!B97="","",'⑥ Annual Performance'!N97)</f>
        <v>0</v>
      </c>
      <c r="L97" s="104">
        <f>IF('Employee Master'!B97="","",IF(K97&gt;=1000,10,IF(K97&gt;=750,8,IF(K97&gt;=500,6,IF(K97&gt;=250,4,2)))))</f>
        <v>2</v>
      </c>
      <c r="M97" s="105">
        <f>IF('Employee Master'!B97="","",'⑥ Annual Performance'!K97)</f>
        <v>1</v>
      </c>
      <c r="N97" s="106">
        <f>IF('Employee Master'!B97="","",'⑥ Annual Performance'!L97)</f>
        <v>3.5</v>
      </c>
      <c r="O97" s="104">
        <f>IF('Employee Master'!B97="","",MIN(N97*2,10))</f>
        <v>7</v>
      </c>
      <c r="P97" s="104">
        <f>IF('Employee Master'!B97="","",IF(F97&gt;=36,5,IF(F97&gt;=24,4,IF(F97&gt;=12,3,IF(F97&gt;=6,2,1)))))</f>
        <v>3</v>
      </c>
      <c r="Q97" s="104">
        <f>IF('Employee Master'!B97="","",IF(D97="Sr. Controller",10,IF(D97="Coo",10,IF(D97="Controller",9,IF(D97="Asst. Controller",8,IF(D97="Sr. Manager",8,IF(D97="Manager",7,IF(D97="Asst. Manager",6,IF(D97="Team Lead",7,IF(D97="Asst. Team Lead",5,IF(D97="Sr. Associate",4,IF(D97="Associate",3,IF(D97="Full Stack Developer",5,IF(D97="Project Manager (S/W)",6,IF(D97="Marketing",4,4)))))))))))))))</f>
        <v>7</v>
      </c>
      <c r="R97" s="107">
        <f>IF('Employee Master'!B97="","",H97+J97+L97+O97+P97+Q97)</f>
        <v>24</v>
      </c>
      <c r="S97" s="108">
        <f>IF('Employee Master'!B97="","",3)</f>
        <v>3</v>
      </c>
      <c r="T97" s="104">
        <f>IF('Employee Master'!B97="","",MIN(S97*2,10))</f>
        <v>6</v>
      </c>
      <c r="U97" s="108">
        <f>IF('Employee Master'!B97="","",3)</f>
        <v>3</v>
      </c>
      <c r="V97" s="104">
        <f>IF('Employee Master'!B97="","",MIN(U97*2,10))</f>
        <v>6</v>
      </c>
      <c r="W97" s="108">
        <f>IF('Employee Master'!B97="","",3)</f>
        <v>3</v>
      </c>
      <c r="X97" s="104">
        <f>IF('Employee Master'!B97="","",MIN(W97*2,10))</f>
        <v>6</v>
      </c>
      <c r="Y97" s="108">
        <f>IF('Employee Master'!B97="","",3)</f>
        <v>3</v>
      </c>
      <c r="Z97" s="104">
        <f>IF('Employee Master'!B97="","",MIN(Y97*2,10))</f>
        <v>6</v>
      </c>
      <c r="AA97" s="109">
        <f>IF('Employee Master'!B97="","",T97+V97+X97+Z97)</f>
        <v>24</v>
      </c>
      <c r="AB97" s="110">
        <f>IF('Employee Master'!B97="","",R97+AA97)</f>
        <v>48</v>
      </c>
      <c r="AC97" s="27" t="str">
        <f>IF('Employee Master'!B97="","",IF(AB97&gt;=85,"Exceptional",IF(AB97&gt;=70,"High Performer",IF(AB97&gt;=50,"Meets Expectations",IF(AB97&gt;=30,"Below Expectations","Underperformer")))))</f>
        <v>Below Expectations</v>
      </c>
      <c r="AD97" s="51">
        <f>IF('Employee Master'!B97="","",'Employee Master'!M97)</f>
        <v>69507</v>
      </c>
      <c r="AE97" s="52">
        <f>IF('Employee Master'!B97="","",IF(AB97&gt;=85,Settings!B31,IF(AB97&gt;=70,Settings!B32,IF(AB97&gt;=50,Settings!B33,IF(AB97&gt;=30,Settings!B34,Settings!B35)))))</f>
        <v>0.03</v>
      </c>
      <c r="AF97" s="51">
        <f>IF('Employee Master'!B97="","",AD97*(1+AE97))</f>
        <v>71592.210000000006</v>
      </c>
      <c r="AG97" s="51">
        <f>IF('Employee Master'!B97="","",AF97-AD97)</f>
        <v>2085.2100000000064</v>
      </c>
      <c r="AH97" s="51">
        <f>IF('Employee Master'!B97="","",AG97*12)</f>
        <v>25022.520000000077</v>
      </c>
    </row>
    <row r="98" spans="1:34" ht="23.25" customHeight="1" x14ac:dyDescent="0.2">
      <c r="A98" s="27">
        <f>IF('Employee Master'!B98="","",ROW()-3)</f>
        <v>95</v>
      </c>
      <c r="B98" s="27" t="str">
        <f>IF('Employee Master'!B98="","",'Employee Master'!C98)</f>
        <v>Monika.M</v>
      </c>
      <c r="C98" s="27" t="str">
        <f>IF('Employee Master'!B98="","",'Employee Master'!D98)</f>
        <v>In-house</v>
      </c>
      <c r="D98" s="27" t="str">
        <f>IF('Employee Master'!B98="","",'Employee Master'!E98)</f>
        <v>Manager</v>
      </c>
      <c r="E98" s="27" t="str">
        <f>IF('Employee Master'!B98="","",'Employee Master'!G98)</f>
        <v>Vinita Dagar</v>
      </c>
      <c r="F98" s="51">
        <f>IF('Employee Master'!B98="","",'⑥ Annual Performance'!R98)</f>
        <v>12</v>
      </c>
      <c r="G98" s="103">
        <f>IF('Employee Master'!B98="","",'⑥ Annual Performance'!J98)</f>
        <v>0</v>
      </c>
      <c r="H98" s="104">
        <f>IF('Employee Master'!B98="","",IF(G98&gt;=0.85,15,IF(G98&gt;=0.7,12,IF(G98&gt;=0.55,9,IF(G98&gt;=0.4,6,3)))))</f>
        <v>3</v>
      </c>
      <c r="I98" s="103">
        <f>IF('Employee Master'!B98="","",'⑥ Annual Performance'!Q98)</f>
        <v>0</v>
      </c>
      <c r="J98" s="104">
        <f>IF('Employee Master'!B98="","",IF(I98&gt;=0.98,10,IF(I98&gt;=0.95,8,IF(I98&gt;=0.9,6,IF(I98&gt;=0.85,4,2)))))</f>
        <v>2</v>
      </c>
      <c r="K98" s="105">
        <f>IF('Employee Master'!B98="","",'⑥ Annual Performance'!N98)</f>
        <v>0</v>
      </c>
      <c r="L98" s="104">
        <f>IF('Employee Master'!B98="","",IF(K98&gt;=1000,10,IF(K98&gt;=750,8,IF(K98&gt;=500,6,IF(K98&gt;=250,4,2)))))</f>
        <v>2</v>
      </c>
      <c r="M98" s="105">
        <f>IF('Employee Master'!B98="","",'⑥ Annual Performance'!K98)</f>
        <v>0</v>
      </c>
      <c r="N98" s="106">
        <f>IF('Employee Master'!B98="","",'⑥ Annual Performance'!L98)</f>
        <v>3.5</v>
      </c>
      <c r="O98" s="104">
        <f>IF('Employee Master'!B98="","",MIN(N98*2,10))</f>
        <v>7</v>
      </c>
      <c r="P98" s="104">
        <f>IF('Employee Master'!B98="","",IF(F98&gt;=36,5,IF(F98&gt;=24,4,IF(F98&gt;=12,3,IF(F98&gt;=6,2,1)))))</f>
        <v>3</v>
      </c>
      <c r="Q98" s="104">
        <f>IF('Employee Master'!B98="","",IF(D98="Sr. Controller",10,IF(D98="Coo",10,IF(D98="Controller",9,IF(D98="Asst. Controller",8,IF(D98="Sr. Manager",8,IF(D98="Manager",7,IF(D98="Asst. Manager",6,IF(D98="Team Lead",7,IF(D98="Asst. Team Lead",5,IF(D98="Sr. Associate",4,IF(D98="Associate",3,IF(D98="Full Stack Developer",5,IF(D98="Project Manager (S/W)",6,IF(D98="Marketing",4,4)))))))))))))))</f>
        <v>7</v>
      </c>
      <c r="R98" s="107">
        <f>IF('Employee Master'!B98="","",H98+J98+L98+O98+P98+Q98)</f>
        <v>24</v>
      </c>
      <c r="S98" s="108">
        <f>IF('Employee Master'!B98="","",3)</f>
        <v>3</v>
      </c>
      <c r="T98" s="104">
        <f>IF('Employee Master'!B98="","",MIN(S98*2,10))</f>
        <v>6</v>
      </c>
      <c r="U98" s="108">
        <f>IF('Employee Master'!B98="","",3)</f>
        <v>3</v>
      </c>
      <c r="V98" s="104">
        <f>IF('Employee Master'!B98="","",MIN(U98*2,10))</f>
        <v>6</v>
      </c>
      <c r="W98" s="108">
        <f>IF('Employee Master'!B98="","",3)</f>
        <v>3</v>
      </c>
      <c r="X98" s="104">
        <f>IF('Employee Master'!B98="","",MIN(W98*2,10))</f>
        <v>6</v>
      </c>
      <c r="Y98" s="108">
        <f>IF('Employee Master'!B98="","",3)</f>
        <v>3</v>
      </c>
      <c r="Z98" s="104">
        <f>IF('Employee Master'!B98="","",MIN(Y98*2,10))</f>
        <v>6</v>
      </c>
      <c r="AA98" s="109">
        <f>IF('Employee Master'!B98="","",T98+V98+X98+Z98)</f>
        <v>24</v>
      </c>
      <c r="AB98" s="110">
        <f>IF('Employee Master'!B98="","",R98+AA98)</f>
        <v>48</v>
      </c>
      <c r="AC98" s="27" t="str">
        <f>IF('Employee Master'!B98="","",IF(AB98&gt;=85,"Exceptional",IF(AB98&gt;=70,"High Performer",IF(AB98&gt;=50,"Meets Expectations",IF(AB98&gt;=30,"Below Expectations","Underperformer")))))</f>
        <v>Below Expectations</v>
      </c>
      <c r="AD98" s="51">
        <f>IF('Employee Master'!B98="","",'Employee Master'!M98)</f>
        <v>0</v>
      </c>
      <c r="AE98" s="52">
        <f>IF('Employee Master'!B98="","",IF(AB98&gt;=85,Settings!B31,IF(AB98&gt;=70,Settings!B32,IF(AB98&gt;=50,Settings!B33,IF(AB98&gt;=30,Settings!B34,Settings!B35)))))</f>
        <v>0.03</v>
      </c>
      <c r="AF98" s="51">
        <f>IF('Employee Master'!B98="","",AD98*(1+AE98))</f>
        <v>0</v>
      </c>
      <c r="AG98" s="51">
        <f>IF('Employee Master'!B98="","",AF98-AD98)</f>
        <v>0</v>
      </c>
      <c r="AH98" s="51">
        <f>IF('Employee Master'!B98="","",AG98*12)</f>
        <v>0</v>
      </c>
    </row>
    <row r="99" spans="1:34" ht="23.25" customHeight="1" x14ac:dyDescent="0.2">
      <c r="A99" s="27">
        <f>IF('Employee Master'!B99="","",ROW()-3)</f>
        <v>96</v>
      </c>
      <c r="B99" s="27" t="str">
        <f>IF('Employee Master'!B99="","",'Employee Master'!C99)</f>
        <v>Richa.A</v>
      </c>
      <c r="C99" s="27" t="str">
        <f>IF('Employee Master'!B99="","",'Employee Master'!D99)</f>
        <v>Remote</v>
      </c>
      <c r="D99" s="27" t="str">
        <f>IF('Employee Master'!B99="","",'Employee Master'!E99)</f>
        <v>Sr. Associate</v>
      </c>
      <c r="E99" s="27" t="str">
        <f>IF('Employee Master'!B99="","",'Employee Master'!G99)</f>
        <v>Ayushi</v>
      </c>
      <c r="F99" s="51">
        <f>IF('Employee Master'!B99="","",'⑥ Annual Performance'!R99)</f>
        <v>12</v>
      </c>
      <c r="G99" s="103">
        <f>IF('Employee Master'!B99="","",'⑥ Annual Performance'!J99)</f>
        <v>9.5989583333333336E-2</v>
      </c>
      <c r="H99" s="104">
        <f>IF('Employee Master'!B99="","",IF(G99&gt;=0.85,15,IF(G99&gt;=0.7,12,IF(G99&gt;=0.55,9,IF(G99&gt;=0.4,6,3)))))</f>
        <v>3</v>
      </c>
      <c r="I99" s="103">
        <f>IF('Employee Master'!B99="","",'⑥ Annual Performance'!Q99)</f>
        <v>0</v>
      </c>
      <c r="J99" s="104">
        <f>IF('Employee Master'!B99="","",IF(I99&gt;=0.98,10,IF(I99&gt;=0.95,8,IF(I99&gt;=0.9,6,IF(I99&gt;=0.85,4,2)))))</f>
        <v>2</v>
      </c>
      <c r="K99" s="105">
        <f>IF('Employee Master'!B99="","",'⑥ Annual Performance'!N99)</f>
        <v>0</v>
      </c>
      <c r="L99" s="104">
        <f>IF('Employee Master'!B99="","",IF(K99&gt;=1000,10,IF(K99&gt;=750,8,IF(K99&gt;=500,6,IF(K99&gt;=250,4,2)))))</f>
        <v>2</v>
      </c>
      <c r="M99" s="105">
        <f>IF('Employee Master'!B99="","",'⑥ Annual Performance'!K99)</f>
        <v>2</v>
      </c>
      <c r="N99" s="106">
        <f>IF('Employee Master'!B99="","",'⑥ Annual Performance'!L99)</f>
        <v>3.5</v>
      </c>
      <c r="O99" s="104">
        <f>IF('Employee Master'!B99="","",MIN(N99*2,10))</f>
        <v>7</v>
      </c>
      <c r="P99" s="104">
        <f>IF('Employee Master'!B99="","",IF(F99&gt;=36,5,IF(F99&gt;=24,4,IF(F99&gt;=12,3,IF(F99&gt;=6,2,1)))))</f>
        <v>3</v>
      </c>
      <c r="Q99" s="104">
        <f>IF('Employee Master'!B99="","",IF(D99="Sr. Controller",10,IF(D99="Coo",10,IF(D99="Controller",9,IF(D99="Asst. Controller",8,IF(D99="Sr. Manager",8,IF(D99="Manager",7,IF(D99="Asst. Manager",6,IF(D99="Team Lead",7,IF(D99="Asst. Team Lead",5,IF(D99="Sr. Associate",4,IF(D99="Associate",3,IF(D99="Full Stack Developer",5,IF(D99="Project Manager (S/W)",6,IF(D99="Marketing",4,4)))))))))))))))</f>
        <v>4</v>
      </c>
      <c r="R99" s="107">
        <f>IF('Employee Master'!B99="","",H99+J99+L99+O99+P99+Q99)</f>
        <v>21</v>
      </c>
      <c r="S99" s="108">
        <f>IF('Employee Master'!B99="","",3)</f>
        <v>3</v>
      </c>
      <c r="T99" s="104">
        <f>IF('Employee Master'!B99="","",MIN(S99*2,10))</f>
        <v>6</v>
      </c>
      <c r="U99" s="108">
        <f>IF('Employee Master'!B99="","",3)</f>
        <v>3</v>
      </c>
      <c r="V99" s="104">
        <f>IF('Employee Master'!B99="","",MIN(U99*2,10))</f>
        <v>6</v>
      </c>
      <c r="W99" s="108">
        <f>IF('Employee Master'!B99="","",3)</f>
        <v>3</v>
      </c>
      <c r="X99" s="104">
        <f>IF('Employee Master'!B99="","",MIN(W99*2,10))</f>
        <v>6</v>
      </c>
      <c r="Y99" s="108">
        <f>IF('Employee Master'!B99="","",3)</f>
        <v>3</v>
      </c>
      <c r="Z99" s="104">
        <f>IF('Employee Master'!B99="","",MIN(Y99*2,10))</f>
        <v>6</v>
      </c>
      <c r="AA99" s="109">
        <f>IF('Employee Master'!B99="","",T99+V99+X99+Z99)</f>
        <v>24</v>
      </c>
      <c r="AB99" s="110">
        <f>IF('Employee Master'!B99="","",R99+AA99)</f>
        <v>45</v>
      </c>
      <c r="AC99" s="27" t="str">
        <f>IF('Employee Master'!B99="","",IF(AB99&gt;=85,"Exceptional",IF(AB99&gt;=70,"High Performer",IF(AB99&gt;=50,"Meets Expectations",IF(AB99&gt;=30,"Below Expectations","Underperformer")))))</f>
        <v>Below Expectations</v>
      </c>
      <c r="AD99" s="51">
        <f>IF('Employee Master'!B99="","",'Employee Master'!M99)</f>
        <v>42375</v>
      </c>
      <c r="AE99" s="52">
        <f>IF('Employee Master'!B99="","",IF(AB99&gt;=85,Settings!B31,IF(AB99&gt;=70,Settings!B32,IF(AB99&gt;=50,Settings!B33,IF(AB99&gt;=30,Settings!B34,Settings!B35)))))</f>
        <v>0.03</v>
      </c>
      <c r="AF99" s="51">
        <f>IF('Employee Master'!B99="","",AD99*(1+AE99))</f>
        <v>43646.25</v>
      </c>
      <c r="AG99" s="51">
        <f>IF('Employee Master'!B99="","",AF99-AD99)</f>
        <v>1271.25</v>
      </c>
      <c r="AH99" s="51">
        <f>IF('Employee Master'!B99="","",AG99*12)</f>
        <v>15255</v>
      </c>
    </row>
    <row r="100" spans="1:34" ht="23.25" customHeight="1" x14ac:dyDescent="0.2">
      <c r="A100" s="27">
        <f>IF('Employee Master'!B100="","",ROW()-3)</f>
        <v>97</v>
      </c>
      <c r="B100" s="27" t="str">
        <f>IF('Employee Master'!B100="","",'Employee Master'!C100)</f>
        <v>brandon</v>
      </c>
      <c r="C100" s="27" t="str">
        <f>IF('Employee Master'!B100="","",'Employee Master'!D100)</f>
        <v>Remote</v>
      </c>
      <c r="D100" s="27" t="str">
        <f>IF('Employee Master'!B100="","",'Employee Master'!E100)</f>
        <v>Marketing</v>
      </c>
      <c r="E100" s="27" t="str">
        <f>IF('Employee Master'!B100="","",'Employee Master'!G100)</f>
        <v>Angela</v>
      </c>
      <c r="F100" s="51">
        <f>IF('Employee Master'!B100="","",'⑥ Annual Performance'!R100)</f>
        <v>12</v>
      </c>
      <c r="G100" s="103">
        <f>IF('Employee Master'!B100="","",'⑥ Annual Performance'!J100)</f>
        <v>9.0520833333333342E-2</v>
      </c>
      <c r="H100" s="104">
        <f>IF('Employee Master'!B100="","",IF(G100&gt;=0.85,15,IF(G100&gt;=0.7,12,IF(G100&gt;=0.55,9,IF(G100&gt;=0.4,6,3)))))</f>
        <v>3</v>
      </c>
      <c r="I100" s="103">
        <f>IF('Employee Master'!B100="","",'⑥ Annual Performance'!Q100)</f>
        <v>0</v>
      </c>
      <c r="J100" s="104">
        <f>IF('Employee Master'!B100="","",IF(I100&gt;=0.98,10,IF(I100&gt;=0.95,8,IF(I100&gt;=0.9,6,IF(I100&gt;=0.85,4,2)))))</f>
        <v>2</v>
      </c>
      <c r="K100" s="105">
        <f>IF('Employee Master'!B100="","",'⑥ Annual Performance'!N100)</f>
        <v>0</v>
      </c>
      <c r="L100" s="104">
        <f>IF('Employee Master'!B100="","",IF(K100&gt;=1000,10,IF(K100&gt;=750,8,IF(K100&gt;=500,6,IF(K100&gt;=250,4,2)))))</f>
        <v>2</v>
      </c>
      <c r="M100" s="105">
        <f>IF('Employee Master'!B100="","",'⑥ Annual Performance'!K100)</f>
        <v>6</v>
      </c>
      <c r="N100" s="106">
        <f>IF('Employee Master'!B100="","",'⑥ Annual Performance'!L100)</f>
        <v>3.5</v>
      </c>
      <c r="O100" s="104">
        <f>IF('Employee Master'!B100="","",MIN(N100*2,10))</f>
        <v>7</v>
      </c>
      <c r="P100" s="104">
        <f>IF('Employee Master'!B100="","",IF(F100&gt;=36,5,IF(F100&gt;=24,4,IF(F100&gt;=12,3,IF(F100&gt;=6,2,1)))))</f>
        <v>3</v>
      </c>
      <c r="Q100" s="104">
        <f>IF('Employee Master'!B100="","",IF(D100="Sr. Controller",10,IF(D100="Coo",10,IF(D100="Controller",9,IF(D100="Asst. Controller",8,IF(D100="Sr. Manager",8,IF(D100="Manager",7,IF(D100="Asst. Manager",6,IF(D100="Team Lead",7,IF(D100="Asst. Team Lead",5,IF(D100="Sr. Associate",4,IF(D100="Associate",3,IF(D100="Full Stack Developer",5,IF(D100="Project Manager (S/W)",6,IF(D100="Marketing",4,4)))))))))))))))</f>
        <v>4</v>
      </c>
      <c r="R100" s="107">
        <f>IF('Employee Master'!B100="","",H100+J100+L100+O100+P100+Q100)</f>
        <v>21</v>
      </c>
      <c r="S100" s="108">
        <f>IF('Employee Master'!B100="","",3)</f>
        <v>3</v>
      </c>
      <c r="T100" s="104">
        <f>IF('Employee Master'!B100="","",MIN(S100*2,10))</f>
        <v>6</v>
      </c>
      <c r="U100" s="108">
        <f>IF('Employee Master'!B100="","",3)</f>
        <v>3</v>
      </c>
      <c r="V100" s="104">
        <f>IF('Employee Master'!B100="","",MIN(U100*2,10))</f>
        <v>6</v>
      </c>
      <c r="W100" s="108">
        <f>IF('Employee Master'!B100="","",3)</f>
        <v>3</v>
      </c>
      <c r="X100" s="104">
        <f>IF('Employee Master'!B100="","",MIN(W100*2,10))</f>
        <v>6</v>
      </c>
      <c r="Y100" s="108">
        <f>IF('Employee Master'!B100="","",3)</f>
        <v>3</v>
      </c>
      <c r="Z100" s="104">
        <f>IF('Employee Master'!B100="","",MIN(Y100*2,10))</f>
        <v>6</v>
      </c>
      <c r="AA100" s="109">
        <f>IF('Employee Master'!B100="","",T100+V100+X100+Z100)</f>
        <v>24</v>
      </c>
      <c r="AB100" s="110">
        <f>IF('Employee Master'!B100="","",R100+AA100)</f>
        <v>45</v>
      </c>
      <c r="AC100" s="27" t="str">
        <f>IF('Employee Master'!B100="","",IF(AB100&gt;=85,"Exceptional",IF(AB100&gt;=70,"High Performer",IF(AB100&gt;=50,"Meets Expectations",IF(AB100&gt;=30,"Below Expectations","Underperformer")))))</f>
        <v>Below Expectations</v>
      </c>
      <c r="AD100" s="51">
        <f>IF('Employee Master'!B100="","",'Employee Master'!M100)</f>
        <v>0</v>
      </c>
      <c r="AE100" s="52">
        <f>IF('Employee Master'!B100="","",IF(AB100&gt;=85,Settings!B31,IF(AB100&gt;=70,Settings!B32,IF(AB100&gt;=50,Settings!B33,IF(AB100&gt;=30,Settings!B34,Settings!B35)))))</f>
        <v>0.03</v>
      </c>
      <c r="AF100" s="51">
        <f>IF('Employee Master'!B100="","",AD100*(1+AE100))</f>
        <v>0</v>
      </c>
      <c r="AG100" s="51">
        <f>IF('Employee Master'!B100="","",AF100-AD100)</f>
        <v>0</v>
      </c>
      <c r="AH100" s="51">
        <f>IF('Employee Master'!B100="","",AG100*12)</f>
        <v>0</v>
      </c>
    </row>
    <row r="101" spans="1:34" ht="23.25" customHeight="1" x14ac:dyDescent="0.2">
      <c r="A101" s="27">
        <f>IF('Employee Master'!B101="","",ROW()-3)</f>
        <v>98</v>
      </c>
      <c r="B101" s="27" t="str">
        <f>IF('Employee Master'!B101="","",'Employee Master'!C101)</f>
        <v>Ankita.S</v>
      </c>
      <c r="C101" s="27" t="str">
        <f>IF('Employee Master'!B101="","",'Employee Master'!D101)</f>
        <v>Remote</v>
      </c>
      <c r="D101" s="27" t="str">
        <f>IF('Employee Master'!B101="","",'Employee Master'!E101)</f>
        <v>Sr. Associate</v>
      </c>
      <c r="E101" s="27" t="str">
        <f>IF('Employee Master'!B101="","",'Employee Master'!G101)</f>
        <v>Nikita Shah</v>
      </c>
      <c r="F101" s="51">
        <f>IF('Employee Master'!B101="","",'⑥ Annual Performance'!R101)</f>
        <v>12</v>
      </c>
      <c r="G101" s="103">
        <f>IF('Employee Master'!B101="","",'⑥ Annual Performance'!J101)</f>
        <v>7.1093749999999997E-2</v>
      </c>
      <c r="H101" s="104">
        <f>IF('Employee Master'!B101="","",IF(G101&gt;=0.85,15,IF(G101&gt;=0.7,12,IF(G101&gt;=0.55,9,IF(G101&gt;=0.4,6,3)))))</f>
        <v>3</v>
      </c>
      <c r="I101" s="103">
        <f>IF('Employee Master'!B101="","",'⑥ Annual Performance'!Q101)</f>
        <v>0</v>
      </c>
      <c r="J101" s="104">
        <f>IF('Employee Master'!B101="","",IF(I101&gt;=0.98,10,IF(I101&gt;=0.95,8,IF(I101&gt;=0.9,6,IF(I101&gt;=0.85,4,2)))))</f>
        <v>2</v>
      </c>
      <c r="K101" s="105">
        <f>IF('Employee Master'!B101="","",'⑥ Annual Performance'!N101)</f>
        <v>0</v>
      </c>
      <c r="L101" s="104">
        <f>IF('Employee Master'!B101="","",IF(K101&gt;=1000,10,IF(K101&gt;=750,8,IF(K101&gt;=500,6,IF(K101&gt;=250,4,2)))))</f>
        <v>2</v>
      </c>
      <c r="M101" s="105">
        <f>IF('Employee Master'!B101="","",'⑥ Annual Performance'!K101)</f>
        <v>1</v>
      </c>
      <c r="N101" s="106">
        <f>IF('Employee Master'!B101="","",'⑥ Annual Performance'!L101)</f>
        <v>3.5</v>
      </c>
      <c r="O101" s="104">
        <f>IF('Employee Master'!B101="","",MIN(N101*2,10))</f>
        <v>7</v>
      </c>
      <c r="P101" s="104">
        <f>IF('Employee Master'!B101="","",IF(F101&gt;=36,5,IF(F101&gt;=24,4,IF(F101&gt;=12,3,IF(F101&gt;=6,2,1)))))</f>
        <v>3</v>
      </c>
      <c r="Q101" s="104">
        <f>IF('Employee Master'!B101="","",IF(D101="Sr. Controller",10,IF(D101="Coo",10,IF(D101="Controller",9,IF(D101="Asst. Controller",8,IF(D101="Sr. Manager",8,IF(D101="Manager",7,IF(D101="Asst. Manager",6,IF(D101="Team Lead",7,IF(D101="Asst. Team Lead",5,IF(D101="Sr. Associate",4,IF(D101="Associate",3,IF(D101="Full Stack Developer",5,IF(D101="Project Manager (S/W)",6,IF(D101="Marketing",4,4)))))))))))))))</f>
        <v>4</v>
      </c>
      <c r="R101" s="107">
        <f>IF('Employee Master'!B101="","",H101+J101+L101+O101+P101+Q101)</f>
        <v>21</v>
      </c>
      <c r="S101" s="108">
        <f>IF('Employee Master'!B101="","",3)</f>
        <v>3</v>
      </c>
      <c r="T101" s="104">
        <f>IF('Employee Master'!B101="","",MIN(S101*2,10))</f>
        <v>6</v>
      </c>
      <c r="U101" s="108">
        <f>IF('Employee Master'!B101="","",3)</f>
        <v>3</v>
      </c>
      <c r="V101" s="104">
        <f>IF('Employee Master'!B101="","",MIN(U101*2,10))</f>
        <v>6</v>
      </c>
      <c r="W101" s="108">
        <f>IF('Employee Master'!B101="","",3)</f>
        <v>3</v>
      </c>
      <c r="X101" s="104">
        <f>IF('Employee Master'!B101="","",MIN(W101*2,10))</f>
        <v>6</v>
      </c>
      <c r="Y101" s="108">
        <f>IF('Employee Master'!B101="","",3)</f>
        <v>3</v>
      </c>
      <c r="Z101" s="104">
        <f>IF('Employee Master'!B101="","",MIN(Y101*2,10))</f>
        <v>6</v>
      </c>
      <c r="AA101" s="109">
        <f>IF('Employee Master'!B101="","",T101+V101+X101+Z101)</f>
        <v>24</v>
      </c>
      <c r="AB101" s="110">
        <f>IF('Employee Master'!B101="","",R101+AA101)</f>
        <v>45</v>
      </c>
      <c r="AC101" s="27" t="str">
        <f>IF('Employee Master'!B101="","",IF(AB101&gt;=85,"Exceptional",IF(AB101&gt;=70,"High Performer",IF(AB101&gt;=50,"Meets Expectations",IF(AB101&gt;=30,"Below Expectations","Underperformer")))))</f>
        <v>Below Expectations</v>
      </c>
      <c r="AD101" s="51">
        <f>IF('Employee Master'!B101="","",'Employee Master'!M101)</f>
        <v>9970</v>
      </c>
      <c r="AE101" s="52">
        <f>IF('Employee Master'!B101="","",IF(AB101&gt;=85,Settings!B31,IF(AB101&gt;=70,Settings!B32,IF(AB101&gt;=50,Settings!B33,IF(AB101&gt;=30,Settings!B34,Settings!B35)))))</f>
        <v>0.03</v>
      </c>
      <c r="AF101" s="51">
        <f>IF('Employee Master'!B101="","",AD101*(1+AE101))</f>
        <v>10269.1</v>
      </c>
      <c r="AG101" s="51">
        <f>IF('Employee Master'!B101="","",AF101-AD101)</f>
        <v>299.10000000000036</v>
      </c>
      <c r="AH101" s="51">
        <f>IF('Employee Master'!B101="","",AG101*12)</f>
        <v>3589.2000000000044</v>
      </c>
    </row>
    <row r="102" spans="1:34" ht="23.25" customHeight="1" x14ac:dyDescent="0.2">
      <c r="A102" s="27">
        <f>IF('Employee Master'!B102="","",ROW()-3)</f>
        <v>99</v>
      </c>
      <c r="B102" s="27" t="str">
        <f>IF('Employee Master'!B102="","",'Employee Master'!C102)</f>
        <v>Garima.B</v>
      </c>
      <c r="C102" s="27" t="str">
        <f>IF('Employee Master'!B102="","",'Employee Master'!D102)</f>
        <v>Remote</v>
      </c>
      <c r="D102" s="27" t="str">
        <f>IF('Employee Master'!B102="","",'Employee Master'!E102)</f>
        <v>Asst. Team Lead</v>
      </c>
      <c r="E102" s="27" t="str">
        <f>IF('Employee Master'!B102="","",'Employee Master'!G102)</f>
        <v>Nikita Shah</v>
      </c>
      <c r="F102" s="51">
        <f>IF('Employee Master'!B102="","",'⑥ Annual Performance'!R102)</f>
        <v>12</v>
      </c>
      <c r="G102" s="103">
        <f>IF('Employee Master'!B102="","",'⑥ Annual Performance'!J102)</f>
        <v>8.8281250000000006E-2</v>
      </c>
      <c r="H102" s="104">
        <f>IF('Employee Master'!B102="","",IF(G102&gt;=0.85,15,IF(G102&gt;=0.7,12,IF(G102&gt;=0.55,9,IF(G102&gt;=0.4,6,3)))))</f>
        <v>3</v>
      </c>
      <c r="I102" s="103">
        <f>IF('Employee Master'!B102="","",'⑥ Annual Performance'!Q102)</f>
        <v>0</v>
      </c>
      <c r="J102" s="104">
        <f>IF('Employee Master'!B102="","",IF(I102&gt;=0.98,10,IF(I102&gt;=0.95,8,IF(I102&gt;=0.9,6,IF(I102&gt;=0.85,4,2)))))</f>
        <v>2</v>
      </c>
      <c r="K102" s="105">
        <f>IF('Employee Master'!B102="","",'⑥ Annual Performance'!N102)</f>
        <v>0</v>
      </c>
      <c r="L102" s="104">
        <f>IF('Employee Master'!B102="","",IF(K102&gt;=1000,10,IF(K102&gt;=750,8,IF(K102&gt;=500,6,IF(K102&gt;=250,4,2)))))</f>
        <v>2</v>
      </c>
      <c r="M102" s="105">
        <f>IF('Employee Master'!B102="","",'⑥ Annual Performance'!K102)</f>
        <v>6</v>
      </c>
      <c r="N102" s="106">
        <f>IF('Employee Master'!B102="","",'⑥ Annual Performance'!L102)</f>
        <v>3.5</v>
      </c>
      <c r="O102" s="104">
        <f>IF('Employee Master'!B102="","",MIN(N102*2,10))</f>
        <v>7</v>
      </c>
      <c r="P102" s="104">
        <f>IF('Employee Master'!B102="","",IF(F102&gt;=36,5,IF(F102&gt;=24,4,IF(F102&gt;=12,3,IF(F102&gt;=6,2,1)))))</f>
        <v>3</v>
      </c>
      <c r="Q102" s="104">
        <f>IF('Employee Master'!B102="","",IF(D102="Sr. Controller",10,IF(D102="Coo",10,IF(D102="Controller",9,IF(D102="Asst. Controller",8,IF(D102="Sr. Manager",8,IF(D102="Manager",7,IF(D102="Asst. Manager",6,IF(D102="Team Lead",7,IF(D102="Asst. Team Lead",5,IF(D102="Sr. Associate",4,IF(D102="Associate",3,IF(D102="Full Stack Developer",5,IF(D102="Project Manager (S/W)",6,IF(D102="Marketing",4,4)))))))))))))))</f>
        <v>5</v>
      </c>
      <c r="R102" s="107">
        <f>IF('Employee Master'!B102="","",H102+J102+L102+O102+P102+Q102)</f>
        <v>22</v>
      </c>
      <c r="S102" s="108">
        <f>IF('Employee Master'!B102="","",3)</f>
        <v>3</v>
      </c>
      <c r="T102" s="104">
        <f>IF('Employee Master'!B102="","",MIN(S102*2,10))</f>
        <v>6</v>
      </c>
      <c r="U102" s="108">
        <f>IF('Employee Master'!B102="","",3)</f>
        <v>3</v>
      </c>
      <c r="V102" s="104">
        <f>IF('Employee Master'!B102="","",MIN(U102*2,10))</f>
        <v>6</v>
      </c>
      <c r="W102" s="108">
        <f>IF('Employee Master'!B102="","",3)</f>
        <v>3</v>
      </c>
      <c r="X102" s="104">
        <f>IF('Employee Master'!B102="","",MIN(W102*2,10))</f>
        <v>6</v>
      </c>
      <c r="Y102" s="108">
        <f>IF('Employee Master'!B102="","",3)</f>
        <v>3</v>
      </c>
      <c r="Z102" s="104">
        <f>IF('Employee Master'!B102="","",MIN(Y102*2,10))</f>
        <v>6</v>
      </c>
      <c r="AA102" s="109">
        <f>IF('Employee Master'!B102="","",T102+V102+X102+Z102)</f>
        <v>24</v>
      </c>
      <c r="AB102" s="110">
        <f>IF('Employee Master'!B102="","",R102+AA102)</f>
        <v>46</v>
      </c>
      <c r="AC102" s="27" t="str">
        <f>IF('Employee Master'!B102="","",IF(AB102&gt;=85,"Exceptional",IF(AB102&gt;=70,"High Performer",IF(AB102&gt;=50,"Meets Expectations",IF(AB102&gt;=30,"Below Expectations","Underperformer")))))</f>
        <v>Below Expectations</v>
      </c>
      <c r="AD102" s="51">
        <f>IF('Employee Master'!B102="","",'Employee Master'!M102)</f>
        <v>17173</v>
      </c>
      <c r="AE102" s="52">
        <f>IF('Employee Master'!B102="","",IF(AB102&gt;=85,Settings!B31,IF(AB102&gt;=70,Settings!B32,IF(AB102&gt;=50,Settings!B33,IF(AB102&gt;=30,Settings!B34,Settings!B35)))))</f>
        <v>0.03</v>
      </c>
      <c r="AF102" s="51">
        <f>IF('Employee Master'!B102="","",AD102*(1+AE102))</f>
        <v>17688.189999999999</v>
      </c>
      <c r="AG102" s="51">
        <f>IF('Employee Master'!B102="","",AF102-AD102)</f>
        <v>515.18999999999869</v>
      </c>
      <c r="AH102" s="51">
        <f>IF('Employee Master'!B102="","",AG102*12)</f>
        <v>6182.2799999999843</v>
      </c>
    </row>
    <row r="103" spans="1:34" ht="23.25" customHeight="1" x14ac:dyDescent="0.2">
      <c r="A103" s="27">
        <f>IF('Employee Master'!B103="","",ROW()-3)</f>
        <v>100</v>
      </c>
      <c r="B103" s="27" t="str">
        <f>IF('Employee Master'!B103="","",'Employee Master'!C103)</f>
        <v>Priyanka.P</v>
      </c>
      <c r="C103" s="27" t="str">
        <f>IF('Employee Master'!B103="","",'Employee Master'!D103)</f>
        <v>Remote</v>
      </c>
      <c r="D103" s="27" t="str">
        <f>IF('Employee Master'!B103="","",'Employee Master'!E103)</f>
        <v>Sr. Associate</v>
      </c>
      <c r="E103" s="27" t="str">
        <f>IF('Employee Master'!B103="","",'Employee Master'!G103)</f>
        <v>Nikita Shah</v>
      </c>
      <c r="F103" s="51">
        <f>IF('Employee Master'!B103="","",'⑥ Annual Performance'!R103)</f>
        <v>12</v>
      </c>
      <c r="G103" s="103">
        <f>IF('Employee Master'!B103="","",'⑥ Annual Performance'!J103)</f>
        <v>0</v>
      </c>
      <c r="H103" s="104">
        <f>IF('Employee Master'!B103="","",IF(G103&gt;=0.85,15,IF(G103&gt;=0.7,12,IF(G103&gt;=0.55,9,IF(G103&gt;=0.4,6,3)))))</f>
        <v>3</v>
      </c>
      <c r="I103" s="103">
        <f>IF('Employee Master'!B103="","",'⑥ Annual Performance'!Q103)</f>
        <v>0</v>
      </c>
      <c r="J103" s="104">
        <f>IF('Employee Master'!B103="","",IF(I103&gt;=0.98,10,IF(I103&gt;=0.95,8,IF(I103&gt;=0.9,6,IF(I103&gt;=0.85,4,2)))))</f>
        <v>2</v>
      </c>
      <c r="K103" s="105">
        <f>IF('Employee Master'!B103="","",'⑥ Annual Performance'!N103)</f>
        <v>0</v>
      </c>
      <c r="L103" s="104">
        <f>IF('Employee Master'!B103="","",IF(K103&gt;=1000,10,IF(K103&gt;=750,8,IF(K103&gt;=500,6,IF(K103&gt;=250,4,2)))))</f>
        <v>2</v>
      </c>
      <c r="M103" s="105">
        <f>IF('Employee Master'!B103="","",'⑥ Annual Performance'!K103)</f>
        <v>0</v>
      </c>
      <c r="N103" s="106">
        <f>IF('Employee Master'!B103="","",'⑥ Annual Performance'!L103)</f>
        <v>3.5</v>
      </c>
      <c r="O103" s="104">
        <f>IF('Employee Master'!B103="","",MIN(N103*2,10))</f>
        <v>7</v>
      </c>
      <c r="P103" s="104">
        <f>IF('Employee Master'!B103="","",IF(F103&gt;=36,5,IF(F103&gt;=24,4,IF(F103&gt;=12,3,IF(F103&gt;=6,2,1)))))</f>
        <v>3</v>
      </c>
      <c r="Q103" s="104">
        <f>IF('Employee Master'!B103="","",IF(D103="Sr. Controller",10,IF(D103="Coo",10,IF(D103="Controller",9,IF(D103="Asst. Controller",8,IF(D103="Sr. Manager",8,IF(D103="Manager",7,IF(D103="Asst. Manager",6,IF(D103="Team Lead",7,IF(D103="Asst. Team Lead",5,IF(D103="Sr. Associate",4,IF(D103="Associate",3,IF(D103="Full Stack Developer",5,IF(D103="Project Manager (S/W)",6,IF(D103="Marketing",4,4)))))))))))))))</f>
        <v>4</v>
      </c>
      <c r="R103" s="107">
        <f>IF('Employee Master'!B103="","",H103+J103+L103+O103+P103+Q103)</f>
        <v>21</v>
      </c>
      <c r="S103" s="108">
        <f>IF('Employee Master'!B103="","",3)</f>
        <v>3</v>
      </c>
      <c r="T103" s="104">
        <f>IF('Employee Master'!B103="","",MIN(S103*2,10))</f>
        <v>6</v>
      </c>
      <c r="U103" s="108">
        <f>IF('Employee Master'!B103="","",3)</f>
        <v>3</v>
      </c>
      <c r="V103" s="104">
        <f>IF('Employee Master'!B103="","",MIN(U103*2,10))</f>
        <v>6</v>
      </c>
      <c r="W103" s="108">
        <f>IF('Employee Master'!B103="","",3)</f>
        <v>3</v>
      </c>
      <c r="X103" s="104">
        <f>IF('Employee Master'!B103="","",MIN(W103*2,10))</f>
        <v>6</v>
      </c>
      <c r="Y103" s="108">
        <f>IF('Employee Master'!B103="","",3)</f>
        <v>3</v>
      </c>
      <c r="Z103" s="104">
        <f>IF('Employee Master'!B103="","",MIN(Y103*2,10))</f>
        <v>6</v>
      </c>
      <c r="AA103" s="109">
        <f>IF('Employee Master'!B103="","",T103+V103+X103+Z103)</f>
        <v>24</v>
      </c>
      <c r="AB103" s="110">
        <f>IF('Employee Master'!B103="","",R103+AA103)</f>
        <v>45</v>
      </c>
      <c r="AC103" s="27" t="str">
        <f>IF('Employee Master'!B103="","",IF(AB103&gt;=85,"Exceptional",IF(AB103&gt;=70,"High Performer",IF(AB103&gt;=50,"Meets Expectations",IF(AB103&gt;=30,"Below Expectations","Underperformer")))))</f>
        <v>Below Expectations</v>
      </c>
      <c r="AD103" s="51">
        <f>IF('Employee Master'!B103="","",'Employee Master'!M103)</f>
        <v>23829</v>
      </c>
      <c r="AE103" s="52">
        <f>IF('Employee Master'!B103="","",IF(AB103&gt;=85,Settings!B31,IF(AB103&gt;=70,Settings!B32,IF(AB103&gt;=50,Settings!B33,IF(AB103&gt;=30,Settings!B34,Settings!B35)))))</f>
        <v>0.03</v>
      </c>
      <c r="AF103" s="51">
        <f>IF('Employee Master'!B103="","",AD103*(1+AE103))</f>
        <v>24543.87</v>
      </c>
      <c r="AG103" s="51">
        <f>IF('Employee Master'!B103="","",AF103-AD103)</f>
        <v>714.86999999999898</v>
      </c>
      <c r="AH103" s="51">
        <f>IF('Employee Master'!B103="","",AG103*12)</f>
        <v>8578.4399999999878</v>
      </c>
    </row>
    <row r="104" spans="1:34" ht="23.25" customHeight="1" x14ac:dyDescent="0.2">
      <c r="A104" s="27">
        <f>IF('Employee Master'!B104="","",ROW()-3)</f>
        <v>101</v>
      </c>
      <c r="B104" s="27" t="str">
        <f>IF('Employee Master'!B104="","",'Employee Master'!C104)</f>
        <v>Jyoti.U</v>
      </c>
      <c r="C104" s="27" t="str">
        <f>IF('Employee Master'!B104="","",'Employee Master'!D104)</f>
        <v>Remote</v>
      </c>
      <c r="D104" s="27" t="str">
        <f>IF('Employee Master'!B104="","",'Employee Master'!E104)</f>
        <v>Sr. Associate</v>
      </c>
      <c r="E104" s="27" t="str">
        <f>IF('Employee Master'!B104="","",'Employee Master'!G104)</f>
        <v>Jasleen.D</v>
      </c>
      <c r="F104" s="51">
        <f>IF('Employee Master'!B104="","",'⑥ Annual Performance'!R104)</f>
        <v>12</v>
      </c>
      <c r="G104" s="103">
        <f>IF('Employee Master'!B104="","",'⑥ Annual Performance'!J104)</f>
        <v>2.5989583333333333E-2</v>
      </c>
      <c r="H104" s="104">
        <f>IF('Employee Master'!B104="","",IF(G104&gt;=0.85,15,IF(G104&gt;=0.7,12,IF(G104&gt;=0.55,9,IF(G104&gt;=0.4,6,3)))))</f>
        <v>3</v>
      </c>
      <c r="I104" s="103">
        <f>IF('Employee Master'!B104="","",'⑥ Annual Performance'!Q104)</f>
        <v>0</v>
      </c>
      <c r="J104" s="104">
        <f>IF('Employee Master'!B104="","",IF(I104&gt;=0.98,10,IF(I104&gt;=0.95,8,IF(I104&gt;=0.9,6,IF(I104&gt;=0.85,4,2)))))</f>
        <v>2</v>
      </c>
      <c r="K104" s="105">
        <f>IF('Employee Master'!B104="","",'⑥ Annual Performance'!N104)</f>
        <v>0</v>
      </c>
      <c r="L104" s="104">
        <f>IF('Employee Master'!B104="","",IF(K104&gt;=1000,10,IF(K104&gt;=750,8,IF(K104&gt;=500,6,IF(K104&gt;=250,4,2)))))</f>
        <v>2</v>
      </c>
      <c r="M104" s="105">
        <f>IF('Employee Master'!B104="","",'⑥ Annual Performance'!K104)</f>
        <v>5</v>
      </c>
      <c r="N104" s="106">
        <f>IF('Employee Master'!B104="","",'⑥ Annual Performance'!L104)</f>
        <v>3.5</v>
      </c>
      <c r="O104" s="104">
        <f>IF('Employee Master'!B104="","",MIN(N104*2,10))</f>
        <v>7</v>
      </c>
      <c r="P104" s="104">
        <f>IF('Employee Master'!B104="","",IF(F104&gt;=36,5,IF(F104&gt;=24,4,IF(F104&gt;=12,3,IF(F104&gt;=6,2,1)))))</f>
        <v>3</v>
      </c>
      <c r="Q104" s="104">
        <f>IF('Employee Master'!B104="","",IF(D104="Sr. Controller",10,IF(D104="Coo",10,IF(D104="Controller",9,IF(D104="Asst. Controller",8,IF(D104="Sr. Manager",8,IF(D104="Manager",7,IF(D104="Asst. Manager",6,IF(D104="Team Lead",7,IF(D104="Asst. Team Lead",5,IF(D104="Sr. Associate",4,IF(D104="Associate",3,IF(D104="Full Stack Developer",5,IF(D104="Project Manager (S/W)",6,IF(D104="Marketing",4,4)))))))))))))))</f>
        <v>4</v>
      </c>
      <c r="R104" s="107">
        <f>IF('Employee Master'!B104="","",H104+J104+L104+O104+P104+Q104)</f>
        <v>21</v>
      </c>
      <c r="S104" s="108">
        <f>IF('Employee Master'!B104="","",3)</f>
        <v>3</v>
      </c>
      <c r="T104" s="104">
        <f>IF('Employee Master'!B104="","",MIN(S104*2,10))</f>
        <v>6</v>
      </c>
      <c r="U104" s="108">
        <f>IF('Employee Master'!B104="","",3)</f>
        <v>3</v>
      </c>
      <c r="V104" s="104">
        <f>IF('Employee Master'!B104="","",MIN(U104*2,10))</f>
        <v>6</v>
      </c>
      <c r="W104" s="108">
        <f>IF('Employee Master'!B104="","",3)</f>
        <v>3</v>
      </c>
      <c r="X104" s="104">
        <f>IF('Employee Master'!B104="","",MIN(W104*2,10))</f>
        <v>6</v>
      </c>
      <c r="Y104" s="108">
        <f>IF('Employee Master'!B104="","",3)</f>
        <v>3</v>
      </c>
      <c r="Z104" s="104">
        <f>IF('Employee Master'!B104="","",MIN(Y104*2,10))</f>
        <v>6</v>
      </c>
      <c r="AA104" s="109">
        <f>IF('Employee Master'!B104="","",T104+V104+X104+Z104)</f>
        <v>24</v>
      </c>
      <c r="AB104" s="110">
        <f>IF('Employee Master'!B104="","",R104+AA104)</f>
        <v>45</v>
      </c>
      <c r="AC104" s="27" t="str">
        <f>IF('Employee Master'!B104="","",IF(AB104&gt;=85,"Exceptional",IF(AB104&gt;=70,"High Performer",IF(AB104&gt;=50,"Meets Expectations",IF(AB104&gt;=30,"Below Expectations","Underperformer")))))</f>
        <v>Below Expectations</v>
      </c>
      <c r="AD104" s="51">
        <f>IF('Employee Master'!B104="","",'Employee Master'!M104)</f>
        <v>0</v>
      </c>
      <c r="AE104" s="52">
        <f>IF('Employee Master'!B104="","",IF(AB104&gt;=85,Settings!B31,IF(AB104&gt;=70,Settings!B32,IF(AB104&gt;=50,Settings!B33,IF(AB104&gt;=30,Settings!B34,Settings!B35)))))</f>
        <v>0.03</v>
      </c>
      <c r="AF104" s="51">
        <f>IF('Employee Master'!B104="","",AD104*(1+AE104))</f>
        <v>0</v>
      </c>
      <c r="AG104" s="51">
        <f>IF('Employee Master'!B104="","",AF104-AD104)</f>
        <v>0</v>
      </c>
      <c r="AH104" s="51">
        <f>IF('Employee Master'!B104="","",AG104*12)</f>
        <v>0</v>
      </c>
    </row>
    <row r="105" spans="1:34" ht="23.25" customHeight="1" x14ac:dyDescent="0.2">
      <c r="A105" s="27">
        <f>IF('Employee Master'!B105="","",ROW()-3)</f>
        <v>102</v>
      </c>
      <c r="B105" s="27" t="str">
        <f>IF('Employee Master'!B105="","",'Employee Master'!C105)</f>
        <v>Rajvi.S</v>
      </c>
      <c r="C105" s="27" t="str">
        <f>IF('Employee Master'!B105="","",'Employee Master'!D105)</f>
        <v>Remote</v>
      </c>
      <c r="D105" s="27" t="str">
        <f>IF('Employee Master'!B105="","",'Employee Master'!E105)</f>
        <v>Sr. Associate</v>
      </c>
      <c r="E105" s="27" t="str">
        <f>IF('Employee Master'!B105="","",'Employee Master'!G105)</f>
        <v>Jasleen.D</v>
      </c>
      <c r="F105" s="51">
        <f>IF('Employee Master'!B105="","",'⑥ Annual Performance'!R105)</f>
        <v>12</v>
      </c>
      <c r="G105" s="103">
        <f>IF('Employee Master'!B105="","",'⑥ Annual Performance'!J105)</f>
        <v>2.5572916666666667E-2</v>
      </c>
      <c r="H105" s="104">
        <f>IF('Employee Master'!B105="","",IF(G105&gt;=0.85,15,IF(G105&gt;=0.7,12,IF(G105&gt;=0.55,9,IF(G105&gt;=0.4,6,3)))))</f>
        <v>3</v>
      </c>
      <c r="I105" s="103">
        <f>IF('Employee Master'!B105="","",'⑥ Annual Performance'!Q105)</f>
        <v>0</v>
      </c>
      <c r="J105" s="104">
        <f>IF('Employee Master'!B105="","",IF(I105&gt;=0.98,10,IF(I105&gt;=0.95,8,IF(I105&gt;=0.9,6,IF(I105&gt;=0.85,4,2)))))</f>
        <v>2</v>
      </c>
      <c r="K105" s="105">
        <f>IF('Employee Master'!B105="","",'⑥ Annual Performance'!N105)</f>
        <v>0</v>
      </c>
      <c r="L105" s="104">
        <f>IF('Employee Master'!B105="","",IF(K105&gt;=1000,10,IF(K105&gt;=750,8,IF(K105&gt;=500,6,IF(K105&gt;=250,4,2)))))</f>
        <v>2</v>
      </c>
      <c r="M105" s="105">
        <f>IF('Employee Master'!B105="","",'⑥ Annual Performance'!K105)</f>
        <v>3</v>
      </c>
      <c r="N105" s="106">
        <f>IF('Employee Master'!B105="","",'⑥ Annual Performance'!L105)</f>
        <v>3.5</v>
      </c>
      <c r="O105" s="104">
        <f>IF('Employee Master'!B105="","",MIN(N105*2,10))</f>
        <v>7</v>
      </c>
      <c r="P105" s="104">
        <f>IF('Employee Master'!B105="","",IF(F105&gt;=36,5,IF(F105&gt;=24,4,IF(F105&gt;=12,3,IF(F105&gt;=6,2,1)))))</f>
        <v>3</v>
      </c>
      <c r="Q105" s="104">
        <f>IF('Employee Master'!B105="","",IF(D105="Sr. Controller",10,IF(D105="Coo",10,IF(D105="Controller",9,IF(D105="Asst. Controller",8,IF(D105="Sr. Manager",8,IF(D105="Manager",7,IF(D105="Asst. Manager",6,IF(D105="Team Lead",7,IF(D105="Asst. Team Lead",5,IF(D105="Sr. Associate",4,IF(D105="Associate",3,IF(D105="Full Stack Developer",5,IF(D105="Project Manager (S/W)",6,IF(D105="Marketing",4,4)))))))))))))))</f>
        <v>4</v>
      </c>
      <c r="R105" s="107">
        <f>IF('Employee Master'!B105="","",H105+J105+L105+O105+P105+Q105)</f>
        <v>21</v>
      </c>
      <c r="S105" s="108">
        <f>IF('Employee Master'!B105="","",3)</f>
        <v>3</v>
      </c>
      <c r="T105" s="104">
        <f>IF('Employee Master'!B105="","",MIN(S105*2,10))</f>
        <v>6</v>
      </c>
      <c r="U105" s="108">
        <f>IF('Employee Master'!B105="","",3)</f>
        <v>3</v>
      </c>
      <c r="V105" s="104">
        <f>IF('Employee Master'!B105="","",MIN(U105*2,10))</f>
        <v>6</v>
      </c>
      <c r="W105" s="108">
        <f>IF('Employee Master'!B105="","",3)</f>
        <v>3</v>
      </c>
      <c r="X105" s="104">
        <f>IF('Employee Master'!B105="","",MIN(W105*2,10))</f>
        <v>6</v>
      </c>
      <c r="Y105" s="108">
        <f>IF('Employee Master'!B105="","",3)</f>
        <v>3</v>
      </c>
      <c r="Z105" s="104">
        <f>IF('Employee Master'!B105="","",MIN(Y105*2,10))</f>
        <v>6</v>
      </c>
      <c r="AA105" s="109">
        <f>IF('Employee Master'!B105="","",T105+V105+X105+Z105)</f>
        <v>24</v>
      </c>
      <c r="AB105" s="110">
        <f>IF('Employee Master'!B105="","",R105+AA105)</f>
        <v>45</v>
      </c>
      <c r="AC105" s="27" t="str">
        <f>IF('Employee Master'!B105="","",IF(AB105&gt;=85,"Exceptional",IF(AB105&gt;=70,"High Performer",IF(AB105&gt;=50,"Meets Expectations",IF(AB105&gt;=30,"Below Expectations","Underperformer")))))</f>
        <v>Below Expectations</v>
      </c>
      <c r="AD105" s="51">
        <f>IF('Employee Master'!B105="","",'Employee Master'!M105)</f>
        <v>30475</v>
      </c>
      <c r="AE105" s="52">
        <f>IF('Employee Master'!B105="","",IF(AB105&gt;=85,Settings!B31,IF(AB105&gt;=70,Settings!B32,IF(AB105&gt;=50,Settings!B33,IF(AB105&gt;=30,Settings!B34,Settings!B35)))))</f>
        <v>0.03</v>
      </c>
      <c r="AF105" s="51">
        <f>IF('Employee Master'!B105="","",AD105*(1+AE105))</f>
        <v>31389.25</v>
      </c>
      <c r="AG105" s="51">
        <f>IF('Employee Master'!B105="","",AF105-AD105)</f>
        <v>914.25</v>
      </c>
      <c r="AH105" s="51">
        <f>IF('Employee Master'!B105="","",AG105*12)</f>
        <v>10971</v>
      </c>
    </row>
    <row r="106" spans="1:34" ht="23.25" customHeight="1" x14ac:dyDescent="0.2">
      <c r="A106" s="27">
        <f>IF('Employee Master'!B106="","",ROW()-3)</f>
        <v>103</v>
      </c>
      <c r="B106" s="27" t="str">
        <f>IF('Employee Master'!B106="","",'Employee Master'!C106)</f>
        <v>Komal.G</v>
      </c>
      <c r="C106" s="27" t="str">
        <f>IF('Employee Master'!B106="","",'Employee Master'!D106)</f>
        <v>Remote</v>
      </c>
      <c r="D106" s="27" t="str">
        <f>IF('Employee Master'!B106="","",'Employee Master'!E106)</f>
        <v>Sr. Associate</v>
      </c>
      <c r="E106" s="27" t="str">
        <f>IF('Employee Master'!B106="","",'Employee Master'!G106)</f>
        <v>Jasleen.D</v>
      </c>
      <c r="F106" s="51">
        <f>IF('Employee Master'!B106="","",'⑥ Annual Performance'!R106)</f>
        <v>12</v>
      </c>
      <c r="G106" s="103">
        <f>IF('Employee Master'!B106="","",'⑥ Annual Performance'!J106)</f>
        <v>4.9635416666666668E-2</v>
      </c>
      <c r="H106" s="104">
        <f>IF('Employee Master'!B106="","",IF(G106&gt;=0.85,15,IF(G106&gt;=0.7,12,IF(G106&gt;=0.55,9,IF(G106&gt;=0.4,6,3)))))</f>
        <v>3</v>
      </c>
      <c r="I106" s="103">
        <f>IF('Employee Master'!B106="","",'⑥ Annual Performance'!Q106)</f>
        <v>0</v>
      </c>
      <c r="J106" s="104">
        <f>IF('Employee Master'!B106="","",IF(I106&gt;=0.98,10,IF(I106&gt;=0.95,8,IF(I106&gt;=0.9,6,IF(I106&gt;=0.85,4,2)))))</f>
        <v>2</v>
      </c>
      <c r="K106" s="105">
        <f>IF('Employee Master'!B106="","",'⑥ Annual Performance'!N106)</f>
        <v>0</v>
      </c>
      <c r="L106" s="104">
        <f>IF('Employee Master'!B106="","",IF(K106&gt;=1000,10,IF(K106&gt;=750,8,IF(K106&gt;=500,6,IF(K106&gt;=250,4,2)))))</f>
        <v>2</v>
      </c>
      <c r="M106" s="105">
        <f>IF('Employee Master'!B106="","",'⑥ Annual Performance'!K106)</f>
        <v>1</v>
      </c>
      <c r="N106" s="106">
        <f>IF('Employee Master'!B106="","",'⑥ Annual Performance'!L106)</f>
        <v>3.5</v>
      </c>
      <c r="O106" s="104">
        <f>IF('Employee Master'!B106="","",MIN(N106*2,10))</f>
        <v>7</v>
      </c>
      <c r="P106" s="104">
        <f>IF('Employee Master'!B106="","",IF(F106&gt;=36,5,IF(F106&gt;=24,4,IF(F106&gt;=12,3,IF(F106&gt;=6,2,1)))))</f>
        <v>3</v>
      </c>
      <c r="Q106" s="104">
        <f>IF('Employee Master'!B106="","",IF(D106="Sr. Controller",10,IF(D106="Coo",10,IF(D106="Controller",9,IF(D106="Asst. Controller",8,IF(D106="Sr. Manager",8,IF(D106="Manager",7,IF(D106="Asst. Manager",6,IF(D106="Team Lead",7,IF(D106="Asst. Team Lead",5,IF(D106="Sr. Associate",4,IF(D106="Associate",3,IF(D106="Full Stack Developer",5,IF(D106="Project Manager (S/W)",6,IF(D106="Marketing",4,4)))))))))))))))</f>
        <v>4</v>
      </c>
      <c r="R106" s="107">
        <f>IF('Employee Master'!B106="","",H106+J106+L106+O106+P106+Q106)</f>
        <v>21</v>
      </c>
      <c r="S106" s="108">
        <f>IF('Employee Master'!B106="","",3)</f>
        <v>3</v>
      </c>
      <c r="T106" s="104">
        <f>IF('Employee Master'!B106="","",MIN(S106*2,10))</f>
        <v>6</v>
      </c>
      <c r="U106" s="108">
        <f>IF('Employee Master'!B106="","",3)</f>
        <v>3</v>
      </c>
      <c r="V106" s="104">
        <f>IF('Employee Master'!B106="","",MIN(U106*2,10))</f>
        <v>6</v>
      </c>
      <c r="W106" s="108">
        <f>IF('Employee Master'!B106="","",3)</f>
        <v>3</v>
      </c>
      <c r="X106" s="104">
        <f>IF('Employee Master'!B106="","",MIN(W106*2,10))</f>
        <v>6</v>
      </c>
      <c r="Y106" s="108">
        <f>IF('Employee Master'!B106="","",3)</f>
        <v>3</v>
      </c>
      <c r="Z106" s="104">
        <f>IF('Employee Master'!B106="","",MIN(Y106*2,10))</f>
        <v>6</v>
      </c>
      <c r="AA106" s="109">
        <f>IF('Employee Master'!B106="","",T106+V106+X106+Z106)</f>
        <v>24</v>
      </c>
      <c r="AB106" s="110">
        <f>IF('Employee Master'!B106="","",R106+AA106)</f>
        <v>45</v>
      </c>
      <c r="AC106" s="27" t="str">
        <f>IF('Employee Master'!B106="","",IF(AB106&gt;=85,"Exceptional",IF(AB106&gt;=70,"High Performer",IF(AB106&gt;=50,"Meets Expectations",IF(AB106&gt;=30,"Below Expectations","Underperformer")))))</f>
        <v>Below Expectations</v>
      </c>
      <c r="AD106" s="51">
        <f>IF('Employee Master'!B106="","",'Employee Master'!M106)</f>
        <v>40750</v>
      </c>
      <c r="AE106" s="52">
        <f>IF('Employee Master'!B106="","",IF(AB106&gt;=85,Settings!B31,IF(AB106&gt;=70,Settings!B32,IF(AB106&gt;=50,Settings!B33,IF(AB106&gt;=30,Settings!B34,Settings!B35)))))</f>
        <v>0.03</v>
      </c>
      <c r="AF106" s="51">
        <f>IF('Employee Master'!B106="","",AD106*(1+AE106))</f>
        <v>41972.5</v>
      </c>
      <c r="AG106" s="51">
        <f>IF('Employee Master'!B106="","",AF106-AD106)</f>
        <v>1222.5</v>
      </c>
      <c r="AH106" s="51">
        <f>IF('Employee Master'!B106="","",AG106*12)</f>
        <v>14670</v>
      </c>
    </row>
    <row r="107" spans="1:34" ht="23.25" customHeight="1" x14ac:dyDescent="0.2">
      <c r="A107" s="27">
        <f>IF('Employee Master'!B107="","",ROW()-3)</f>
        <v>104</v>
      </c>
      <c r="B107" s="27" t="str">
        <f>IF('Employee Master'!B107="","",'Employee Master'!C107)</f>
        <v>Swati.S</v>
      </c>
      <c r="C107" s="27" t="str">
        <f>IF('Employee Master'!B107="","",'Employee Master'!D107)</f>
        <v>Remote</v>
      </c>
      <c r="D107" s="27" t="str">
        <f>IF('Employee Master'!B107="","",'Employee Master'!E107)</f>
        <v>Asst. Team Lead</v>
      </c>
      <c r="E107" s="27" t="str">
        <f>IF('Employee Master'!B107="","",'Employee Master'!G107)</f>
        <v>Jasleen.D</v>
      </c>
      <c r="F107" s="51">
        <f>IF('Employee Master'!B107="","",'⑥ Annual Performance'!R107)</f>
        <v>12</v>
      </c>
      <c r="G107" s="103">
        <f>IF('Employee Master'!B107="","",'⑥ Annual Performance'!J107)</f>
        <v>0</v>
      </c>
      <c r="H107" s="104">
        <f>IF('Employee Master'!B107="","",IF(G107&gt;=0.85,15,IF(G107&gt;=0.7,12,IF(G107&gt;=0.55,9,IF(G107&gt;=0.4,6,3)))))</f>
        <v>3</v>
      </c>
      <c r="I107" s="103">
        <f>IF('Employee Master'!B107="","",'⑥ Annual Performance'!Q107)</f>
        <v>0</v>
      </c>
      <c r="J107" s="104">
        <f>IF('Employee Master'!B107="","",IF(I107&gt;=0.98,10,IF(I107&gt;=0.95,8,IF(I107&gt;=0.9,6,IF(I107&gt;=0.85,4,2)))))</f>
        <v>2</v>
      </c>
      <c r="K107" s="105">
        <f>IF('Employee Master'!B107="","",'⑥ Annual Performance'!N107)</f>
        <v>0</v>
      </c>
      <c r="L107" s="104">
        <f>IF('Employee Master'!B107="","",IF(K107&gt;=1000,10,IF(K107&gt;=750,8,IF(K107&gt;=500,6,IF(K107&gt;=250,4,2)))))</f>
        <v>2</v>
      </c>
      <c r="M107" s="105">
        <f>IF('Employee Master'!B107="","",'⑥ Annual Performance'!K107)</f>
        <v>0</v>
      </c>
      <c r="N107" s="106">
        <f>IF('Employee Master'!B107="","",'⑥ Annual Performance'!L107)</f>
        <v>3.5</v>
      </c>
      <c r="O107" s="104">
        <f>IF('Employee Master'!B107="","",MIN(N107*2,10))</f>
        <v>7</v>
      </c>
      <c r="P107" s="104">
        <f>IF('Employee Master'!B107="","",IF(F107&gt;=36,5,IF(F107&gt;=24,4,IF(F107&gt;=12,3,IF(F107&gt;=6,2,1)))))</f>
        <v>3</v>
      </c>
      <c r="Q107" s="104">
        <f>IF('Employee Master'!B107="","",IF(D107="Sr. Controller",10,IF(D107="Coo",10,IF(D107="Controller",9,IF(D107="Asst. Controller",8,IF(D107="Sr. Manager",8,IF(D107="Manager",7,IF(D107="Asst. Manager",6,IF(D107="Team Lead",7,IF(D107="Asst. Team Lead",5,IF(D107="Sr. Associate",4,IF(D107="Associate",3,IF(D107="Full Stack Developer",5,IF(D107="Project Manager (S/W)",6,IF(D107="Marketing",4,4)))))))))))))))</f>
        <v>5</v>
      </c>
      <c r="R107" s="107">
        <f>IF('Employee Master'!B107="","",H107+J107+L107+O107+P107+Q107)</f>
        <v>22</v>
      </c>
      <c r="S107" s="108">
        <f>IF('Employee Master'!B107="","",3)</f>
        <v>3</v>
      </c>
      <c r="T107" s="104">
        <f>IF('Employee Master'!B107="","",MIN(S107*2,10))</f>
        <v>6</v>
      </c>
      <c r="U107" s="108">
        <f>IF('Employee Master'!B107="","",3)</f>
        <v>3</v>
      </c>
      <c r="V107" s="104">
        <f>IF('Employee Master'!B107="","",MIN(U107*2,10))</f>
        <v>6</v>
      </c>
      <c r="W107" s="108">
        <f>IF('Employee Master'!B107="","",3)</f>
        <v>3</v>
      </c>
      <c r="X107" s="104">
        <f>IF('Employee Master'!B107="","",MIN(W107*2,10))</f>
        <v>6</v>
      </c>
      <c r="Y107" s="108">
        <f>IF('Employee Master'!B107="","",3)</f>
        <v>3</v>
      </c>
      <c r="Z107" s="104">
        <f>IF('Employee Master'!B107="","",MIN(Y107*2,10))</f>
        <v>6</v>
      </c>
      <c r="AA107" s="109">
        <f>IF('Employee Master'!B107="","",T107+V107+X107+Z107)</f>
        <v>24</v>
      </c>
      <c r="AB107" s="110">
        <f>IF('Employee Master'!B107="","",R107+AA107)</f>
        <v>46</v>
      </c>
      <c r="AC107" s="27" t="str">
        <f>IF('Employee Master'!B107="","",IF(AB107&gt;=85,"Exceptional",IF(AB107&gt;=70,"High Performer",IF(AB107&gt;=50,"Meets Expectations",IF(AB107&gt;=30,"Below Expectations","Underperformer")))))</f>
        <v>Below Expectations</v>
      </c>
      <c r="AD107" s="51">
        <f>IF('Employee Master'!B107="","",'Employee Master'!M107)</f>
        <v>20213</v>
      </c>
      <c r="AE107" s="52">
        <f>IF('Employee Master'!B107="","",IF(AB107&gt;=85,Settings!B31,IF(AB107&gt;=70,Settings!B32,IF(AB107&gt;=50,Settings!B33,IF(AB107&gt;=30,Settings!B34,Settings!B35)))))</f>
        <v>0.03</v>
      </c>
      <c r="AF107" s="51">
        <f>IF('Employee Master'!B107="","",AD107*(1+AE107))</f>
        <v>20819.39</v>
      </c>
      <c r="AG107" s="51">
        <f>IF('Employee Master'!B107="","",AF107-AD107)</f>
        <v>606.38999999999942</v>
      </c>
      <c r="AH107" s="51">
        <f>IF('Employee Master'!B107="","",AG107*12)</f>
        <v>7276.679999999993</v>
      </c>
    </row>
    <row r="108" spans="1:34" ht="23.25" customHeight="1" x14ac:dyDescent="0.2">
      <c r="A108" s="27">
        <f>IF('Employee Master'!B108="","",ROW()-3)</f>
        <v>105</v>
      </c>
      <c r="B108" s="27" t="str">
        <f>IF('Employee Master'!B108="","",'Employee Master'!C108)</f>
        <v>Neha.S</v>
      </c>
      <c r="C108" s="27" t="str">
        <f>IF('Employee Master'!B108="","",'Employee Master'!D108)</f>
        <v>Remote</v>
      </c>
      <c r="D108" s="27" t="str">
        <f>IF('Employee Master'!B108="","",'Employee Master'!E108)</f>
        <v>Asst. Team Lead</v>
      </c>
      <c r="E108" s="27" t="str">
        <f>IF('Employee Master'!B108="","",'Employee Master'!G108)</f>
        <v>Nikita Shah</v>
      </c>
      <c r="F108" s="51">
        <f>IF('Employee Master'!B108="","",'⑥ Annual Performance'!R108)</f>
        <v>12</v>
      </c>
      <c r="G108" s="103">
        <f>IF('Employee Master'!B108="","",'⑥ Annual Performance'!J108)</f>
        <v>2.5000000000000001E-2</v>
      </c>
      <c r="H108" s="104">
        <f>IF('Employee Master'!B108="","",IF(G108&gt;=0.85,15,IF(G108&gt;=0.7,12,IF(G108&gt;=0.55,9,IF(G108&gt;=0.4,6,3)))))</f>
        <v>3</v>
      </c>
      <c r="I108" s="103">
        <f>IF('Employee Master'!B108="","",'⑥ Annual Performance'!Q108)</f>
        <v>0</v>
      </c>
      <c r="J108" s="104">
        <f>IF('Employee Master'!B108="","",IF(I108&gt;=0.98,10,IF(I108&gt;=0.95,8,IF(I108&gt;=0.9,6,IF(I108&gt;=0.85,4,2)))))</f>
        <v>2</v>
      </c>
      <c r="K108" s="105">
        <f>IF('Employee Master'!B108="","",'⑥ Annual Performance'!N108)</f>
        <v>0</v>
      </c>
      <c r="L108" s="104">
        <f>IF('Employee Master'!B108="","",IF(K108&gt;=1000,10,IF(K108&gt;=750,8,IF(K108&gt;=500,6,IF(K108&gt;=250,4,2)))))</f>
        <v>2</v>
      </c>
      <c r="M108" s="105">
        <f>IF('Employee Master'!B108="","",'⑥ Annual Performance'!K108)</f>
        <v>1</v>
      </c>
      <c r="N108" s="106">
        <f>IF('Employee Master'!B108="","",'⑥ Annual Performance'!L108)</f>
        <v>3.5</v>
      </c>
      <c r="O108" s="104">
        <f>IF('Employee Master'!B108="","",MIN(N108*2,10))</f>
        <v>7</v>
      </c>
      <c r="P108" s="104">
        <f>IF('Employee Master'!B108="","",IF(F108&gt;=36,5,IF(F108&gt;=24,4,IF(F108&gt;=12,3,IF(F108&gt;=6,2,1)))))</f>
        <v>3</v>
      </c>
      <c r="Q108" s="104">
        <f>IF('Employee Master'!B108="","",IF(D108="Sr. Controller",10,IF(D108="Coo",10,IF(D108="Controller",9,IF(D108="Asst. Controller",8,IF(D108="Sr. Manager",8,IF(D108="Manager",7,IF(D108="Asst. Manager",6,IF(D108="Team Lead",7,IF(D108="Asst. Team Lead",5,IF(D108="Sr. Associate",4,IF(D108="Associate",3,IF(D108="Full Stack Developer",5,IF(D108="Project Manager (S/W)",6,IF(D108="Marketing",4,4)))))))))))))))</f>
        <v>5</v>
      </c>
      <c r="R108" s="107">
        <f>IF('Employee Master'!B108="","",H108+J108+L108+O108+P108+Q108)</f>
        <v>22</v>
      </c>
      <c r="S108" s="108">
        <f>IF('Employee Master'!B108="","",3)</f>
        <v>3</v>
      </c>
      <c r="T108" s="104">
        <f>IF('Employee Master'!B108="","",MIN(S108*2,10))</f>
        <v>6</v>
      </c>
      <c r="U108" s="108">
        <f>IF('Employee Master'!B108="","",3)</f>
        <v>3</v>
      </c>
      <c r="V108" s="104">
        <f>IF('Employee Master'!B108="","",MIN(U108*2,10))</f>
        <v>6</v>
      </c>
      <c r="W108" s="108">
        <f>IF('Employee Master'!B108="","",3)</f>
        <v>3</v>
      </c>
      <c r="X108" s="104">
        <f>IF('Employee Master'!B108="","",MIN(W108*2,10))</f>
        <v>6</v>
      </c>
      <c r="Y108" s="108">
        <f>IF('Employee Master'!B108="","",3)</f>
        <v>3</v>
      </c>
      <c r="Z108" s="104">
        <f>IF('Employee Master'!B108="","",MIN(Y108*2,10))</f>
        <v>6</v>
      </c>
      <c r="AA108" s="109">
        <f>IF('Employee Master'!B108="","",T108+V108+X108+Z108)</f>
        <v>24</v>
      </c>
      <c r="AB108" s="110">
        <f>IF('Employee Master'!B108="","",R108+AA108)</f>
        <v>46</v>
      </c>
      <c r="AC108" s="27" t="str">
        <f>IF('Employee Master'!B108="","",IF(AB108&gt;=85,"Exceptional",IF(AB108&gt;=70,"High Performer",IF(AB108&gt;=50,"Meets Expectations",IF(AB108&gt;=30,"Below Expectations","Underperformer")))))</f>
        <v>Below Expectations</v>
      </c>
      <c r="AD108" s="51">
        <f>IF('Employee Master'!B108="","",'Employee Master'!M108)</f>
        <v>57367</v>
      </c>
      <c r="AE108" s="52">
        <f>IF('Employee Master'!B108="","",IF(AB108&gt;=85,Settings!B31,IF(AB108&gt;=70,Settings!B32,IF(AB108&gt;=50,Settings!B33,IF(AB108&gt;=30,Settings!B34,Settings!B35)))))</f>
        <v>0.03</v>
      </c>
      <c r="AF108" s="51">
        <f>IF('Employee Master'!B108="","",AD108*(1+AE108))</f>
        <v>59088.01</v>
      </c>
      <c r="AG108" s="51">
        <f>IF('Employee Master'!B108="","",AF108-AD108)</f>
        <v>1721.010000000002</v>
      </c>
      <c r="AH108" s="51">
        <f>IF('Employee Master'!B108="","",AG108*12)</f>
        <v>20652.120000000024</v>
      </c>
    </row>
    <row r="109" spans="1:34" ht="23.25" customHeight="1" x14ac:dyDescent="0.2">
      <c r="A109" s="27">
        <f>IF('Employee Master'!B109="","",ROW()-3)</f>
        <v>106</v>
      </c>
      <c r="B109" s="27" t="str">
        <f>IF('Employee Master'!B109="","",'Employee Master'!C109)</f>
        <v>Navneet.S</v>
      </c>
      <c r="C109" s="27" t="str">
        <f>IF('Employee Master'!B109="","",'Employee Master'!D109)</f>
        <v>Remote</v>
      </c>
      <c r="D109" s="27" t="str">
        <f>IF('Employee Master'!B109="","",'Employee Master'!E109)</f>
        <v>Sr. Associate</v>
      </c>
      <c r="E109" s="27" t="str">
        <f>IF('Employee Master'!B109="","",'Employee Master'!G109)</f>
        <v>Jasleen.D</v>
      </c>
      <c r="F109" s="51">
        <f>IF('Employee Master'!B109="","",'⑥ Annual Performance'!R109)</f>
        <v>12</v>
      </c>
      <c r="G109" s="103">
        <f>IF('Employee Master'!B109="","",'⑥ Annual Performance'!J109)</f>
        <v>6.3489583333333335E-2</v>
      </c>
      <c r="H109" s="104">
        <f>IF('Employee Master'!B109="","",IF(G109&gt;=0.85,15,IF(G109&gt;=0.7,12,IF(G109&gt;=0.55,9,IF(G109&gt;=0.4,6,3)))))</f>
        <v>3</v>
      </c>
      <c r="I109" s="103">
        <f>IF('Employee Master'!B109="","",'⑥ Annual Performance'!Q109)</f>
        <v>0</v>
      </c>
      <c r="J109" s="104">
        <f>IF('Employee Master'!B109="","",IF(I109&gt;=0.98,10,IF(I109&gt;=0.95,8,IF(I109&gt;=0.9,6,IF(I109&gt;=0.85,4,2)))))</f>
        <v>2</v>
      </c>
      <c r="K109" s="105">
        <f>IF('Employee Master'!B109="","",'⑥ Annual Performance'!N109)</f>
        <v>0</v>
      </c>
      <c r="L109" s="104">
        <f>IF('Employee Master'!B109="","",IF(K109&gt;=1000,10,IF(K109&gt;=750,8,IF(K109&gt;=500,6,IF(K109&gt;=250,4,2)))))</f>
        <v>2</v>
      </c>
      <c r="M109" s="105">
        <f>IF('Employee Master'!B109="","",'⑥ Annual Performance'!K109)</f>
        <v>2</v>
      </c>
      <c r="N109" s="106">
        <f>IF('Employee Master'!B109="","",'⑥ Annual Performance'!L109)</f>
        <v>3.5</v>
      </c>
      <c r="O109" s="104">
        <f>IF('Employee Master'!B109="","",MIN(N109*2,10))</f>
        <v>7</v>
      </c>
      <c r="P109" s="104">
        <f>IF('Employee Master'!B109="","",IF(F109&gt;=36,5,IF(F109&gt;=24,4,IF(F109&gt;=12,3,IF(F109&gt;=6,2,1)))))</f>
        <v>3</v>
      </c>
      <c r="Q109" s="104">
        <f>IF('Employee Master'!B109="","",IF(D109="Sr. Controller",10,IF(D109="Coo",10,IF(D109="Controller",9,IF(D109="Asst. Controller",8,IF(D109="Sr. Manager",8,IF(D109="Manager",7,IF(D109="Asst. Manager",6,IF(D109="Team Lead",7,IF(D109="Asst. Team Lead",5,IF(D109="Sr. Associate",4,IF(D109="Associate",3,IF(D109="Full Stack Developer",5,IF(D109="Project Manager (S/W)",6,IF(D109="Marketing",4,4)))))))))))))))</f>
        <v>4</v>
      </c>
      <c r="R109" s="107">
        <f>IF('Employee Master'!B109="","",H109+J109+L109+O109+P109+Q109)</f>
        <v>21</v>
      </c>
      <c r="S109" s="108">
        <f>IF('Employee Master'!B109="","",3)</f>
        <v>3</v>
      </c>
      <c r="T109" s="104">
        <f>IF('Employee Master'!B109="","",MIN(S109*2,10))</f>
        <v>6</v>
      </c>
      <c r="U109" s="108">
        <f>IF('Employee Master'!B109="","",3)</f>
        <v>3</v>
      </c>
      <c r="V109" s="104">
        <f>IF('Employee Master'!B109="","",MIN(U109*2,10))</f>
        <v>6</v>
      </c>
      <c r="W109" s="108">
        <f>IF('Employee Master'!B109="","",3)</f>
        <v>3</v>
      </c>
      <c r="X109" s="104">
        <f>IF('Employee Master'!B109="","",MIN(W109*2,10))</f>
        <v>6</v>
      </c>
      <c r="Y109" s="108">
        <f>IF('Employee Master'!B109="","",3)</f>
        <v>3</v>
      </c>
      <c r="Z109" s="104">
        <f>IF('Employee Master'!B109="","",MIN(Y109*2,10))</f>
        <v>6</v>
      </c>
      <c r="AA109" s="109">
        <f>IF('Employee Master'!B109="","",T109+V109+X109+Z109)</f>
        <v>24</v>
      </c>
      <c r="AB109" s="110">
        <f>IF('Employee Master'!B109="","",R109+AA109)</f>
        <v>45</v>
      </c>
      <c r="AC109" s="27" t="str">
        <f>IF('Employee Master'!B109="","",IF(AB109&gt;=85,"Exceptional",IF(AB109&gt;=70,"High Performer",IF(AB109&gt;=50,"Meets Expectations",IF(AB109&gt;=30,"Below Expectations","Underperformer")))))</f>
        <v>Below Expectations</v>
      </c>
      <c r="AD109" s="51">
        <f>IF('Employee Master'!B109="","",'Employee Master'!M109)</f>
        <v>39125</v>
      </c>
      <c r="AE109" s="52">
        <f>IF('Employee Master'!B109="","",IF(AB109&gt;=85,Settings!B31,IF(AB109&gt;=70,Settings!B32,IF(AB109&gt;=50,Settings!B33,IF(AB109&gt;=30,Settings!B34,Settings!B35)))))</f>
        <v>0.03</v>
      </c>
      <c r="AF109" s="51">
        <f>IF('Employee Master'!B109="","",AD109*(1+AE109))</f>
        <v>40298.75</v>
      </c>
      <c r="AG109" s="51">
        <f>IF('Employee Master'!B109="","",AF109-AD109)</f>
        <v>1173.75</v>
      </c>
      <c r="AH109" s="51">
        <f>IF('Employee Master'!B109="","",AG109*12)</f>
        <v>14085</v>
      </c>
    </row>
    <row r="110" spans="1:34" ht="23.25" customHeight="1" x14ac:dyDescent="0.2">
      <c r="A110" s="27">
        <f>IF('Employee Master'!B110="","",ROW()-3)</f>
        <v>107</v>
      </c>
      <c r="B110" s="27" t="str">
        <f>IF('Employee Master'!B110="","",'Employee Master'!C110)</f>
        <v>Ishita.M</v>
      </c>
      <c r="C110" s="27" t="str">
        <f>IF('Employee Master'!B110="","",'Employee Master'!D110)</f>
        <v>Remote</v>
      </c>
      <c r="D110" s="27" t="str">
        <f>IF('Employee Master'!B110="","",'Employee Master'!E110)</f>
        <v>Sr. Associate</v>
      </c>
      <c r="E110" s="27" t="str">
        <f>IF('Employee Master'!B110="","",'Employee Master'!G110)</f>
        <v>Smriti Shah</v>
      </c>
      <c r="F110" s="51">
        <f>IF('Employee Master'!B110="","",'⑥ Annual Performance'!R110)</f>
        <v>12</v>
      </c>
      <c r="G110" s="103">
        <f>IF('Employee Master'!B110="","",'⑥ Annual Performance'!J110)</f>
        <v>8.4895833333333337E-2</v>
      </c>
      <c r="H110" s="104">
        <f>IF('Employee Master'!B110="","",IF(G110&gt;=0.85,15,IF(G110&gt;=0.7,12,IF(G110&gt;=0.55,9,IF(G110&gt;=0.4,6,3)))))</f>
        <v>3</v>
      </c>
      <c r="I110" s="103">
        <f>IF('Employee Master'!B110="","",'⑥ Annual Performance'!Q110)</f>
        <v>0</v>
      </c>
      <c r="J110" s="104">
        <f>IF('Employee Master'!B110="","",IF(I110&gt;=0.98,10,IF(I110&gt;=0.95,8,IF(I110&gt;=0.9,6,IF(I110&gt;=0.85,4,2)))))</f>
        <v>2</v>
      </c>
      <c r="K110" s="105">
        <f>IF('Employee Master'!B110="","",'⑥ Annual Performance'!N110)</f>
        <v>0</v>
      </c>
      <c r="L110" s="104">
        <f>IF('Employee Master'!B110="","",IF(K110&gt;=1000,10,IF(K110&gt;=750,8,IF(K110&gt;=500,6,IF(K110&gt;=250,4,2)))))</f>
        <v>2</v>
      </c>
      <c r="M110" s="105">
        <f>IF('Employee Master'!B110="","",'⑥ Annual Performance'!K110)</f>
        <v>5</v>
      </c>
      <c r="N110" s="106">
        <f>IF('Employee Master'!B110="","",'⑥ Annual Performance'!L110)</f>
        <v>3.5</v>
      </c>
      <c r="O110" s="104">
        <f>IF('Employee Master'!B110="","",MIN(N110*2,10))</f>
        <v>7</v>
      </c>
      <c r="P110" s="104">
        <f>IF('Employee Master'!B110="","",IF(F110&gt;=36,5,IF(F110&gt;=24,4,IF(F110&gt;=12,3,IF(F110&gt;=6,2,1)))))</f>
        <v>3</v>
      </c>
      <c r="Q110" s="104">
        <f>IF('Employee Master'!B110="","",IF(D110="Sr. Controller",10,IF(D110="Coo",10,IF(D110="Controller",9,IF(D110="Asst. Controller",8,IF(D110="Sr. Manager",8,IF(D110="Manager",7,IF(D110="Asst. Manager",6,IF(D110="Team Lead",7,IF(D110="Asst. Team Lead",5,IF(D110="Sr. Associate",4,IF(D110="Associate",3,IF(D110="Full Stack Developer",5,IF(D110="Project Manager (S/W)",6,IF(D110="Marketing",4,4)))))))))))))))</f>
        <v>4</v>
      </c>
      <c r="R110" s="107">
        <f>IF('Employee Master'!B110="","",H110+J110+L110+O110+P110+Q110)</f>
        <v>21</v>
      </c>
      <c r="S110" s="108">
        <f>IF('Employee Master'!B110="","",3)</f>
        <v>3</v>
      </c>
      <c r="T110" s="104">
        <f>IF('Employee Master'!B110="","",MIN(S110*2,10))</f>
        <v>6</v>
      </c>
      <c r="U110" s="108">
        <f>IF('Employee Master'!B110="","",3)</f>
        <v>3</v>
      </c>
      <c r="V110" s="104">
        <f>IF('Employee Master'!B110="","",MIN(U110*2,10))</f>
        <v>6</v>
      </c>
      <c r="W110" s="108">
        <f>IF('Employee Master'!B110="","",3)</f>
        <v>3</v>
      </c>
      <c r="X110" s="104">
        <f>IF('Employee Master'!B110="","",MIN(W110*2,10))</f>
        <v>6</v>
      </c>
      <c r="Y110" s="108">
        <f>IF('Employee Master'!B110="","",3)</f>
        <v>3</v>
      </c>
      <c r="Z110" s="104">
        <f>IF('Employee Master'!B110="","",MIN(Y110*2,10))</f>
        <v>6</v>
      </c>
      <c r="AA110" s="109">
        <f>IF('Employee Master'!B110="","",T110+V110+X110+Z110)</f>
        <v>24</v>
      </c>
      <c r="AB110" s="110">
        <f>IF('Employee Master'!B110="","",R110+AA110)</f>
        <v>45</v>
      </c>
      <c r="AC110" s="27" t="str">
        <f>IF('Employee Master'!B110="","",IF(AB110&gt;=85,"Exceptional",IF(AB110&gt;=70,"High Performer",IF(AB110&gt;=50,"Meets Expectations",IF(AB110&gt;=30,"Below Expectations","Underperformer")))))</f>
        <v>Below Expectations</v>
      </c>
      <c r="AD110" s="51">
        <f>IF('Employee Master'!B110="","",'Employee Master'!M110)</f>
        <v>9678</v>
      </c>
      <c r="AE110" s="52">
        <f>IF('Employee Master'!B110="","",IF(AB110&gt;=85,Settings!B31,IF(AB110&gt;=70,Settings!B32,IF(AB110&gt;=50,Settings!B33,IF(AB110&gt;=30,Settings!B34,Settings!B35)))))</f>
        <v>0.03</v>
      </c>
      <c r="AF110" s="51">
        <f>IF('Employee Master'!B110="","",AD110*(1+AE110))</f>
        <v>9968.34</v>
      </c>
      <c r="AG110" s="51">
        <f>IF('Employee Master'!B110="","",AF110-AD110)</f>
        <v>290.34000000000015</v>
      </c>
      <c r="AH110" s="51">
        <f>IF('Employee Master'!B110="","",AG110*12)</f>
        <v>3484.0800000000017</v>
      </c>
    </row>
    <row r="111" spans="1:34" ht="23.25" customHeight="1" x14ac:dyDescent="0.2">
      <c r="A111" s="27">
        <f>IF('Employee Master'!B111="","",ROW()-3)</f>
        <v>108</v>
      </c>
      <c r="B111" s="27" t="str">
        <f>IF('Employee Master'!B111="","",'Employee Master'!C111)</f>
        <v>Arya.N</v>
      </c>
      <c r="C111" s="27" t="str">
        <f>IF('Employee Master'!B111="","",'Employee Master'!D111)</f>
        <v>Remote</v>
      </c>
      <c r="D111" s="27" t="str">
        <f>IF('Employee Master'!B111="","",'Employee Master'!E111)</f>
        <v>Sr. Associate</v>
      </c>
      <c r="E111" s="27" t="str">
        <f>IF('Employee Master'!B111="","",'Employee Master'!G111)</f>
        <v>Smriti Shah</v>
      </c>
      <c r="F111" s="51">
        <f>IF('Employee Master'!B111="","",'⑥ Annual Performance'!R111)</f>
        <v>12</v>
      </c>
      <c r="G111" s="103">
        <f>IF('Employee Master'!B111="","",'⑥ Annual Performance'!J111)</f>
        <v>3.0104166666666664E-2</v>
      </c>
      <c r="H111" s="104">
        <f>IF('Employee Master'!B111="","",IF(G111&gt;=0.85,15,IF(G111&gt;=0.7,12,IF(G111&gt;=0.55,9,IF(G111&gt;=0.4,6,3)))))</f>
        <v>3</v>
      </c>
      <c r="I111" s="103">
        <f>IF('Employee Master'!B111="","",'⑥ Annual Performance'!Q111)</f>
        <v>0</v>
      </c>
      <c r="J111" s="104">
        <f>IF('Employee Master'!B111="","",IF(I111&gt;=0.98,10,IF(I111&gt;=0.95,8,IF(I111&gt;=0.9,6,IF(I111&gt;=0.85,4,2)))))</f>
        <v>2</v>
      </c>
      <c r="K111" s="105">
        <f>IF('Employee Master'!B111="","",'⑥ Annual Performance'!N111)</f>
        <v>0</v>
      </c>
      <c r="L111" s="104">
        <f>IF('Employee Master'!B111="","",IF(K111&gt;=1000,10,IF(K111&gt;=750,8,IF(K111&gt;=500,6,IF(K111&gt;=250,4,2)))))</f>
        <v>2</v>
      </c>
      <c r="M111" s="105">
        <f>IF('Employee Master'!B111="","",'⑥ Annual Performance'!K111)</f>
        <v>2</v>
      </c>
      <c r="N111" s="106">
        <f>IF('Employee Master'!B111="","",'⑥ Annual Performance'!L111)</f>
        <v>3.5</v>
      </c>
      <c r="O111" s="104">
        <f>IF('Employee Master'!B111="","",MIN(N111*2,10))</f>
        <v>7</v>
      </c>
      <c r="P111" s="104">
        <f>IF('Employee Master'!B111="","",IF(F111&gt;=36,5,IF(F111&gt;=24,4,IF(F111&gt;=12,3,IF(F111&gt;=6,2,1)))))</f>
        <v>3</v>
      </c>
      <c r="Q111" s="104">
        <f>IF('Employee Master'!B111="","",IF(D111="Sr. Controller",10,IF(D111="Coo",10,IF(D111="Controller",9,IF(D111="Asst. Controller",8,IF(D111="Sr. Manager",8,IF(D111="Manager",7,IF(D111="Asst. Manager",6,IF(D111="Team Lead",7,IF(D111="Asst. Team Lead",5,IF(D111="Sr. Associate",4,IF(D111="Associate",3,IF(D111="Full Stack Developer",5,IF(D111="Project Manager (S/W)",6,IF(D111="Marketing",4,4)))))))))))))))</f>
        <v>4</v>
      </c>
      <c r="R111" s="107">
        <f>IF('Employee Master'!B111="","",H111+J111+L111+O111+P111+Q111)</f>
        <v>21</v>
      </c>
      <c r="S111" s="108">
        <f>IF('Employee Master'!B111="","",3)</f>
        <v>3</v>
      </c>
      <c r="T111" s="104">
        <f>IF('Employee Master'!B111="","",MIN(S111*2,10))</f>
        <v>6</v>
      </c>
      <c r="U111" s="108">
        <f>IF('Employee Master'!B111="","",3)</f>
        <v>3</v>
      </c>
      <c r="V111" s="104">
        <f>IF('Employee Master'!B111="","",MIN(U111*2,10))</f>
        <v>6</v>
      </c>
      <c r="W111" s="108">
        <f>IF('Employee Master'!B111="","",3)</f>
        <v>3</v>
      </c>
      <c r="X111" s="104">
        <f>IF('Employee Master'!B111="","",MIN(W111*2,10))</f>
        <v>6</v>
      </c>
      <c r="Y111" s="108">
        <f>IF('Employee Master'!B111="","",3)</f>
        <v>3</v>
      </c>
      <c r="Z111" s="104">
        <f>IF('Employee Master'!B111="","",MIN(Y111*2,10))</f>
        <v>6</v>
      </c>
      <c r="AA111" s="109">
        <f>IF('Employee Master'!B111="","",T111+V111+X111+Z111)</f>
        <v>24</v>
      </c>
      <c r="AB111" s="110">
        <f>IF('Employee Master'!B111="","",R111+AA111)</f>
        <v>45</v>
      </c>
      <c r="AC111" s="27" t="str">
        <f>IF('Employee Master'!B111="","",IF(AB111&gt;=85,"Exceptional",IF(AB111&gt;=70,"High Performer",IF(AB111&gt;=50,"Meets Expectations",IF(AB111&gt;=30,"Below Expectations","Underperformer")))))</f>
        <v>Below Expectations</v>
      </c>
      <c r="AD111" s="51">
        <f>IF('Employee Master'!B111="","",'Employee Master'!M111)</f>
        <v>17419</v>
      </c>
      <c r="AE111" s="52">
        <f>IF('Employee Master'!B111="","",IF(AB111&gt;=85,Settings!B31,IF(AB111&gt;=70,Settings!B32,IF(AB111&gt;=50,Settings!B33,IF(AB111&gt;=30,Settings!B34,Settings!B35)))))</f>
        <v>0.03</v>
      </c>
      <c r="AF111" s="51">
        <f>IF('Employee Master'!B111="","",AD111*(1+AE111))</f>
        <v>17941.57</v>
      </c>
      <c r="AG111" s="51">
        <f>IF('Employee Master'!B111="","",AF111-AD111)</f>
        <v>522.56999999999971</v>
      </c>
      <c r="AH111" s="51">
        <f>IF('Employee Master'!B111="","",AG111*12)</f>
        <v>6270.8399999999965</v>
      </c>
    </row>
    <row r="112" spans="1:34" ht="23.25" customHeight="1" x14ac:dyDescent="0.2">
      <c r="A112" s="27">
        <f>IF('Employee Master'!B112="","",ROW()-3)</f>
        <v>109</v>
      </c>
      <c r="B112" s="27" t="str">
        <f>IF('Employee Master'!B112="","",'Employee Master'!C112)</f>
        <v>Gaorav.C</v>
      </c>
      <c r="C112" s="27" t="str">
        <f>IF('Employee Master'!B112="","",'Employee Master'!D112)</f>
        <v>Remote</v>
      </c>
      <c r="D112" s="27" t="str">
        <f>IF('Employee Master'!B112="","",'Employee Master'!E112)</f>
        <v>Sr. Associate</v>
      </c>
      <c r="E112" s="27" t="str">
        <f>IF('Employee Master'!B112="","",'Employee Master'!G112)</f>
        <v>Smriti Shah</v>
      </c>
      <c r="F112" s="51">
        <f>IF('Employee Master'!B112="","",'⑥ Annual Performance'!R112)</f>
        <v>12</v>
      </c>
      <c r="G112" s="103">
        <f>IF('Employee Master'!B112="","",'⑥ Annual Performance'!J112)</f>
        <v>7.4687500000000004E-2</v>
      </c>
      <c r="H112" s="104">
        <f>IF('Employee Master'!B112="","",IF(G112&gt;=0.85,15,IF(G112&gt;=0.7,12,IF(G112&gt;=0.55,9,IF(G112&gt;=0.4,6,3)))))</f>
        <v>3</v>
      </c>
      <c r="I112" s="103">
        <f>IF('Employee Master'!B112="","",'⑥ Annual Performance'!Q112)</f>
        <v>0</v>
      </c>
      <c r="J112" s="104">
        <f>IF('Employee Master'!B112="","",IF(I112&gt;=0.98,10,IF(I112&gt;=0.95,8,IF(I112&gt;=0.9,6,IF(I112&gt;=0.85,4,2)))))</f>
        <v>2</v>
      </c>
      <c r="K112" s="105">
        <f>IF('Employee Master'!B112="","",'⑥ Annual Performance'!N112)</f>
        <v>0</v>
      </c>
      <c r="L112" s="104">
        <f>IF('Employee Master'!B112="","",IF(K112&gt;=1000,10,IF(K112&gt;=750,8,IF(K112&gt;=500,6,IF(K112&gt;=250,4,2)))))</f>
        <v>2</v>
      </c>
      <c r="M112" s="105">
        <f>IF('Employee Master'!B112="","",'⑥ Annual Performance'!K112)</f>
        <v>2</v>
      </c>
      <c r="N112" s="106">
        <f>IF('Employee Master'!B112="","",'⑥ Annual Performance'!L112)</f>
        <v>3.5</v>
      </c>
      <c r="O112" s="104">
        <f>IF('Employee Master'!B112="","",MIN(N112*2,10))</f>
        <v>7</v>
      </c>
      <c r="P112" s="104">
        <f>IF('Employee Master'!B112="","",IF(F112&gt;=36,5,IF(F112&gt;=24,4,IF(F112&gt;=12,3,IF(F112&gt;=6,2,1)))))</f>
        <v>3</v>
      </c>
      <c r="Q112" s="104">
        <f>IF('Employee Master'!B112="","",IF(D112="Sr. Controller",10,IF(D112="Coo",10,IF(D112="Controller",9,IF(D112="Asst. Controller",8,IF(D112="Sr. Manager",8,IF(D112="Manager",7,IF(D112="Asst. Manager",6,IF(D112="Team Lead",7,IF(D112="Asst. Team Lead",5,IF(D112="Sr. Associate",4,IF(D112="Associate",3,IF(D112="Full Stack Developer",5,IF(D112="Project Manager (S/W)",6,IF(D112="Marketing",4,4)))))))))))))))</f>
        <v>4</v>
      </c>
      <c r="R112" s="107">
        <f>IF('Employee Master'!B112="","",H112+J112+L112+O112+P112+Q112)</f>
        <v>21</v>
      </c>
      <c r="S112" s="108">
        <f>IF('Employee Master'!B112="","",3)</f>
        <v>3</v>
      </c>
      <c r="T112" s="104">
        <f>IF('Employee Master'!B112="","",MIN(S112*2,10))</f>
        <v>6</v>
      </c>
      <c r="U112" s="108">
        <f>IF('Employee Master'!B112="","",3)</f>
        <v>3</v>
      </c>
      <c r="V112" s="104">
        <f>IF('Employee Master'!B112="","",MIN(U112*2,10))</f>
        <v>6</v>
      </c>
      <c r="W112" s="108">
        <f>IF('Employee Master'!B112="","",3)</f>
        <v>3</v>
      </c>
      <c r="X112" s="104">
        <f>IF('Employee Master'!B112="","",MIN(W112*2,10))</f>
        <v>6</v>
      </c>
      <c r="Y112" s="108">
        <f>IF('Employee Master'!B112="","",3)</f>
        <v>3</v>
      </c>
      <c r="Z112" s="104">
        <f>IF('Employee Master'!B112="","",MIN(Y112*2,10))</f>
        <v>6</v>
      </c>
      <c r="AA112" s="109">
        <f>IF('Employee Master'!B112="","",T112+V112+X112+Z112)</f>
        <v>24</v>
      </c>
      <c r="AB112" s="110">
        <f>IF('Employee Master'!B112="","",R112+AA112)</f>
        <v>45</v>
      </c>
      <c r="AC112" s="27" t="str">
        <f>IF('Employee Master'!B112="","",IF(AB112&gt;=85,"Exceptional",IF(AB112&gt;=70,"High Performer",IF(AB112&gt;=50,"Meets Expectations",IF(AB112&gt;=30,"Below Expectations","Underperformer")))))</f>
        <v>Below Expectations</v>
      </c>
      <c r="AD112" s="51">
        <f>IF('Employee Master'!B112="","",'Employee Master'!M112)</f>
        <v>17419</v>
      </c>
      <c r="AE112" s="52">
        <f>IF('Employee Master'!B112="","",IF(AB112&gt;=85,Settings!B31,IF(AB112&gt;=70,Settings!B32,IF(AB112&gt;=50,Settings!B33,IF(AB112&gt;=30,Settings!B34,Settings!B35)))))</f>
        <v>0.03</v>
      </c>
      <c r="AF112" s="51">
        <f>IF('Employee Master'!B112="","",AD112*(1+AE112))</f>
        <v>17941.57</v>
      </c>
      <c r="AG112" s="51">
        <f>IF('Employee Master'!B112="","",AF112-AD112)</f>
        <v>522.56999999999971</v>
      </c>
      <c r="AH112" s="51">
        <f>IF('Employee Master'!B112="","",AG112*12)</f>
        <v>6270.8399999999965</v>
      </c>
    </row>
    <row r="113" spans="1:34" ht="23.25" customHeight="1" x14ac:dyDescent="0.2">
      <c r="A113" s="27">
        <f>IF('Employee Master'!B113="","",ROW()-3)</f>
        <v>110</v>
      </c>
      <c r="B113" s="27" t="str">
        <f>IF('Employee Master'!B113="","",'Employee Master'!C113)</f>
        <v>Isha.M</v>
      </c>
      <c r="C113" s="27" t="str">
        <f>IF('Employee Master'!B113="","",'Employee Master'!D113)</f>
        <v>Remote</v>
      </c>
      <c r="D113" s="27" t="str">
        <f>IF('Employee Master'!B113="","",'Employee Master'!E113)</f>
        <v>Sr. Associate</v>
      </c>
      <c r="E113" s="27" t="str">
        <f>IF('Employee Master'!B113="","",'Employee Master'!G113)</f>
        <v>Smriti Shah</v>
      </c>
      <c r="F113" s="51">
        <f>IF('Employee Master'!B113="","",'⑥ Annual Performance'!R113)</f>
        <v>12</v>
      </c>
      <c r="G113" s="103">
        <f>IF('Employee Master'!B113="","",'⑥ Annual Performance'!J113)</f>
        <v>8.1510416666666669E-2</v>
      </c>
      <c r="H113" s="104">
        <f>IF('Employee Master'!B113="","",IF(G113&gt;=0.85,15,IF(G113&gt;=0.7,12,IF(G113&gt;=0.55,9,IF(G113&gt;=0.4,6,3)))))</f>
        <v>3</v>
      </c>
      <c r="I113" s="103">
        <f>IF('Employee Master'!B113="","",'⑥ Annual Performance'!Q113)</f>
        <v>0</v>
      </c>
      <c r="J113" s="104">
        <f>IF('Employee Master'!B113="","",IF(I113&gt;=0.98,10,IF(I113&gt;=0.95,8,IF(I113&gt;=0.9,6,IF(I113&gt;=0.85,4,2)))))</f>
        <v>2</v>
      </c>
      <c r="K113" s="105">
        <f>IF('Employee Master'!B113="","",'⑥ Annual Performance'!N113)</f>
        <v>0</v>
      </c>
      <c r="L113" s="104">
        <f>IF('Employee Master'!B113="","",IF(K113&gt;=1000,10,IF(K113&gt;=750,8,IF(K113&gt;=500,6,IF(K113&gt;=250,4,2)))))</f>
        <v>2</v>
      </c>
      <c r="M113" s="105">
        <f>IF('Employee Master'!B113="","",'⑥ Annual Performance'!K113)</f>
        <v>3</v>
      </c>
      <c r="N113" s="106">
        <f>IF('Employee Master'!B113="","",'⑥ Annual Performance'!L113)</f>
        <v>3.5</v>
      </c>
      <c r="O113" s="104">
        <f>IF('Employee Master'!B113="","",MIN(N113*2,10))</f>
        <v>7</v>
      </c>
      <c r="P113" s="104">
        <f>IF('Employee Master'!B113="","",IF(F113&gt;=36,5,IF(F113&gt;=24,4,IF(F113&gt;=12,3,IF(F113&gt;=6,2,1)))))</f>
        <v>3</v>
      </c>
      <c r="Q113" s="104">
        <f>IF('Employee Master'!B113="","",IF(D113="Sr. Controller",10,IF(D113="Coo",10,IF(D113="Controller",9,IF(D113="Asst. Controller",8,IF(D113="Sr. Manager",8,IF(D113="Manager",7,IF(D113="Asst. Manager",6,IF(D113="Team Lead",7,IF(D113="Asst. Team Lead",5,IF(D113="Sr. Associate",4,IF(D113="Associate",3,IF(D113="Full Stack Developer",5,IF(D113="Project Manager (S/W)",6,IF(D113="Marketing",4,4)))))))))))))))</f>
        <v>4</v>
      </c>
      <c r="R113" s="107">
        <f>IF('Employee Master'!B113="","",H113+J113+L113+O113+P113+Q113)</f>
        <v>21</v>
      </c>
      <c r="S113" s="108">
        <f>IF('Employee Master'!B113="","",3)</f>
        <v>3</v>
      </c>
      <c r="T113" s="104">
        <f>IF('Employee Master'!B113="","",MIN(S113*2,10))</f>
        <v>6</v>
      </c>
      <c r="U113" s="108">
        <f>IF('Employee Master'!B113="","",3)</f>
        <v>3</v>
      </c>
      <c r="V113" s="104">
        <f>IF('Employee Master'!B113="","",MIN(U113*2,10))</f>
        <v>6</v>
      </c>
      <c r="W113" s="108">
        <f>IF('Employee Master'!B113="","",3)</f>
        <v>3</v>
      </c>
      <c r="X113" s="104">
        <f>IF('Employee Master'!B113="","",MIN(W113*2,10))</f>
        <v>6</v>
      </c>
      <c r="Y113" s="108">
        <f>IF('Employee Master'!B113="","",3)</f>
        <v>3</v>
      </c>
      <c r="Z113" s="104">
        <f>IF('Employee Master'!B113="","",MIN(Y113*2,10))</f>
        <v>6</v>
      </c>
      <c r="AA113" s="109">
        <f>IF('Employee Master'!B113="","",T113+V113+X113+Z113)</f>
        <v>24</v>
      </c>
      <c r="AB113" s="110">
        <f>IF('Employee Master'!B113="","",R113+AA113)</f>
        <v>45</v>
      </c>
      <c r="AC113" s="27" t="str">
        <f>IF('Employee Master'!B113="","",IF(AB113&gt;=85,"Exceptional",IF(AB113&gt;=70,"High Performer",IF(AB113&gt;=50,"Meets Expectations",IF(AB113&gt;=30,"Below Expectations","Underperformer")))))</f>
        <v>Below Expectations</v>
      </c>
      <c r="AD113" s="51">
        <f>IF('Employee Master'!B113="","",'Employee Master'!M113)</f>
        <v>0</v>
      </c>
      <c r="AE113" s="52">
        <f>IF('Employee Master'!B113="","",IF(AB113&gt;=85,Settings!B31,IF(AB113&gt;=70,Settings!B32,IF(AB113&gt;=50,Settings!B33,IF(AB113&gt;=30,Settings!B34,Settings!B35)))))</f>
        <v>0.03</v>
      </c>
      <c r="AF113" s="51">
        <f>IF('Employee Master'!B113="","",AD113*(1+AE113))</f>
        <v>0</v>
      </c>
      <c r="AG113" s="51">
        <f>IF('Employee Master'!B113="","",AF113-AD113)</f>
        <v>0</v>
      </c>
      <c r="AH113" s="51">
        <f>IF('Employee Master'!B113="","",AG113*12)</f>
        <v>0</v>
      </c>
    </row>
    <row r="114" spans="1:34" ht="23.25" customHeight="1" x14ac:dyDescent="0.2">
      <c r="A114" s="27">
        <f>IF('Employee Master'!B114="","",ROW()-3)</f>
        <v>111</v>
      </c>
      <c r="B114" s="27" t="str">
        <f>IF('Employee Master'!B114="","",'Employee Master'!C114)</f>
        <v>Aravind.J</v>
      </c>
      <c r="C114" s="27" t="str">
        <f>IF('Employee Master'!B114="","",'Employee Master'!D114)</f>
        <v>Remote</v>
      </c>
      <c r="D114" s="27" t="str">
        <f>IF('Employee Master'!B114="","",'Employee Master'!E114)</f>
        <v>Sr. Associate</v>
      </c>
      <c r="E114" s="27" t="str">
        <f>IF('Employee Master'!B114="","",'Employee Master'!G114)</f>
        <v>Smriti Shah</v>
      </c>
      <c r="F114" s="51">
        <f>IF('Employee Master'!B114="","",'⑥ Annual Performance'!R114)</f>
        <v>12</v>
      </c>
      <c r="G114" s="103">
        <f>IF('Employee Master'!B114="","",'⑥ Annual Performance'!J114)</f>
        <v>3.0052083333333333E-2</v>
      </c>
      <c r="H114" s="104">
        <f>IF('Employee Master'!B114="","",IF(G114&gt;=0.85,15,IF(G114&gt;=0.7,12,IF(G114&gt;=0.55,9,IF(G114&gt;=0.4,6,3)))))</f>
        <v>3</v>
      </c>
      <c r="I114" s="103">
        <f>IF('Employee Master'!B114="","",'⑥ Annual Performance'!Q114)</f>
        <v>0</v>
      </c>
      <c r="J114" s="104">
        <f>IF('Employee Master'!B114="","",IF(I114&gt;=0.98,10,IF(I114&gt;=0.95,8,IF(I114&gt;=0.9,6,IF(I114&gt;=0.85,4,2)))))</f>
        <v>2</v>
      </c>
      <c r="K114" s="105">
        <f>IF('Employee Master'!B114="","",'⑥ Annual Performance'!N114)</f>
        <v>0</v>
      </c>
      <c r="L114" s="104">
        <f>IF('Employee Master'!B114="","",IF(K114&gt;=1000,10,IF(K114&gt;=750,8,IF(K114&gt;=500,6,IF(K114&gt;=250,4,2)))))</f>
        <v>2</v>
      </c>
      <c r="M114" s="105">
        <f>IF('Employee Master'!B114="","",'⑥ Annual Performance'!K114)</f>
        <v>3</v>
      </c>
      <c r="N114" s="106">
        <f>IF('Employee Master'!B114="","",'⑥ Annual Performance'!L114)</f>
        <v>3.5</v>
      </c>
      <c r="O114" s="104">
        <f>IF('Employee Master'!B114="","",MIN(N114*2,10))</f>
        <v>7</v>
      </c>
      <c r="P114" s="104">
        <f>IF('Employee Master'!B114="","",IF(F114&gt;=36,5,IF(F114&gt;=24,4,IF(F114&gt;=12,3,IF(F114&gt;=6,2,1)))))</f>
        <v>3</v>
      </c>
      <c r="Q114" s="104">
        <f>IF('Employee Master'!B114="","",IF(D114="Sr. Controller",10,IF(D114="Coo",10,IF(D114="Controller",9,IF(D114="Asst. Controller",8,IF(D114="Sr. Manager",8,IF(D114="Manager",7,IF(D114="Asst. Manager",6,IF(D114="Team Lead",7,IF(D114="Asst. Team Lead",5,IF(D114="Sr. Associate",4,IF(D114="Associate",3,IF(D114="Full Stack Developer",5,IF(D114="Project Manager (S/W)",6,IF(D114="Marketing",4,4)))))))))))))))</f>
        <v>4</v>
      </c>
      <c r="R114" s="107">
        <f>IF('Employee Master'!B114="","",H114+J114+L114+O114+P114+Q114)</f>
        <v>21</v>
      </c>
      <c r="S114" s="108">
        <f>IF('Employee Master'!B114="","",3)</f>
        <v>3</v>
      </c>
      <c r="T114" s="104">
        <f>IF('Employee Master'!B114="","",MIN(S114*2,10))</f>
        <v>6</v>
      </c>
      <c r="U114" s="108">
        <f>IF('Employee Master'!B114="","",3)</f>
        <v>3</v>
      </c>
      <c r="V114" s="104">
        <f>IF('Employee Master'!B114="","",MIN(U114*2,10))</f>
        <v>6</v>
      </c>
      <c r="W114" s="108">
        <f>IF('Employee Master'!B114="","",3)</f>
        <v>3</v>
      </c>
      <c r="X114" s="104">
        <f>IF('Employee Master'!B114="","",MIN(W114*2,10))</f>
        <v>6</v>
      </c>
      <c r="Y114" s="108">
        <f>IF('Employee Master'!B114="","",3)</f>
        <v>3</v>
      </c>
      <c r="Z114" s="104">
        <f>IF('Employee Master'!B114="","",MIN(Y114*2,10))</f>
        <v>6</v>
      </c>
      <c r="AA114" s="109">
        <f>IF('Employee Master'!B114="","",T114+V114+X114+Z114)</f>
        <v>24</v>
      </c>
      <c r="AB114" s="110">
        <f>IF('Employee Master'!B114="","",R114+AA114)</f>
        <v>45</v>
      </c>
      <c r="AC114" s="27" t="str">
        <f>IF('Employee Master'!B114="","",IF(AB114&gt;=85,"Exceptional",IF(AB114&gt;=70,"High Performer",IF(AB114&gt;=50,"Meets Expectations",IF(AB114&gt;=30,"Below Expectations","Underperformer")))))</f>
        <v>Below Expectations</v>
      </c>
      <c r="AD114" s="51">
        <f>IF('Employee Master'!B114="","",'Employee Master'!M114)</f>
        <v>0</v>
      </c>
      <c r="AE114" s="52">
        <f>IF('Employee Master'!B114="","",IF(AB114&gt;=85,Settings!B31,IF(AB114&gt;=70,Settings!B32,IF(AB114&gt;=50,Settings!B33,IF(AB114&gt;=30,Settings!B34,Settings!B35)))))</f>
        <v>0.03</v>
      </c>
      <c r="AF114" s="51">
        <f>IF('Employee Master'!B114="","",AD114*(1+AE114))</f>
        <v>0</v>
      </c>
      <c r="AG114" s="51">
        <f>IF('Employee Master'!B114="","",AF114-AD114)</f>
        <v>0</v>
      </c>
      <c r="AH114" s="51">
        <f>IF('Employee Master'!B114="","",AG114*12)</f>
        <v>0</v>
      </c>
    </row>
    <row r="115" spans="1:34" ht="23.25" customHeight="1" x14ac:dyDescent="0.2">
      <c r="A115" s="27">
        <f>IF('Employee Master'!B115="","",ROW()-3)</f>
        <v>112</v>
      </c>
      <c r="B115" s="27" t="str">
        <f>IF('Employee Master'!B115="","",'Employee Master'!C115)</f>
        <v>Archana.K</v>
      </c>
      <c r="C115" s="27" t="str">
        <f>IF('Employee Master'!B115="","",'Employee Master'!D115)</f>
        <v>Remote</v>
      </c>
      <c r="D115" s="27" t="str">
        <f>IF('Employee Master'!B115="","",'Employee Master'!E115)</f>
        <v>Sr. Associate</v>
      </c>
      <c r="E115" s="27" t="str">
        <f>IF('Employee Master'!B115="","",'Employee Master'!G115)</f>
        <v>Smriti Shah</v>
      </c>
      <c r="F115" s="51">
        <f>IF('Employee Master'!B115="","",'⑥ Annual Performance'!R115)</f>
        <v>12</v>
      </c>
      <c r="G115" s="103">
        <f>IF('Employee Master'!B115="","",'⑥ Annual Performance'!J115)</f>
        <v>3.7239583333333333E-2</v>
      </c>
      <c r="H115" s="104">
        <f>IF('Employee Master'!B115="","",IF(G115&gt;=0.85,15,IF(G115&gt;=0.7,12,IF(G115&gt;=0.55,9,IF(G115&gt;=0.4,6,3)))))</f>
        <v>3</v>
      </c>
      <c r="I115" s="103">
        <f>IF('Employee Master'!B115="","",'⑥ Annual Performance'!Q115)</f>
        <v>0</v>
      </c>
      <c r="J115" s="104">
        <f>IF('Employee Master'!B115="","",IF(I115&gt;=0.98,10,IF(I115&gt;=0.95,8,IF(I115&gt;=0.9,6,IF(I115&gt;=0.85,4,2)))))</f>
        <v>2</v>
      </c>
      <c r="K115" s="105">
        <f>IF('Employee Master'!B115="","",'⑥ Annual Performance'!N115)</f>
        <v>0</v>
      </c>
      <c r="L115" s="104">
        <f>IF('Employee Master'!B115="","",IF(K115&gt;=1000,10,IF(K115&gt;=750,8,IF(K115&gt;=500,6,IF(K115&gt;=250,4,2)))))</f>
        <v>2</v>
      </c>
      <c r="M115" s="105">
        <f>IF('Employee Master'!B115="","",'⑥ Annual Performance'!K115)</f>
        <v>5</v>
      </c>
      <c r="N115" s="106">
        <f>IF('Employee Master'!B115="","",'⑥ Annual Performance'!L115)</f>
        <v>3.5</v>
      </c>
      <c r="O115" s="104">
        <f>IF('Employee Master'!B115="","",MIN(N115*2,10))</f>
        <v>7</v>
      </c>
      <c r="P115" s="104">
        <f>IF('Employee Master'!B115="","",IF(F115&gt;=36,5,IF(F115&gt;=24,4,IF(F115&gt;=12,3,IF(F115&gt;=6,2,1)))))</f>
        <v>3</v>
      </c>
      <c r="Q115" s="104">
        <f>IF('Employee Master'!B115="","",IF(D115="Sr. Controller",10,IF(D115="Coo",10,IF(D115="Controller",9,IF(D115="Asst. Controller",8,IF(D115="Sr. Manager",8,IF(D115="Manager",7,IF(D115="Asst. Manager",6,IF(D115="Team Lead",7,IF(D115="Asst. Team Lead",5,IF(D115="Sr. Associate",4,IF(D115="Associate",3,IF(D115="Full Stack Developer",5,IF(D115="Project Manager (S/W)",6,IF(D115="Marketing",4,4)))))))))))))))</f>
        <v>4</v>
      </c>
      <c r="R115" s="107">
        <f>IF('Employee Master'!B115="","",H115+J115+L115+O115+P115+Q115)</f>
        <v>21</v>
      </c>
      <c r="S115" s="108">
        <f>IF('Employee Master'!B115="","",3)</f>
        <v>3</v>
      </c>
      <c r="T115" s="104">
        <f>IF('Employee Master'!B115="","",MIN(S115*2,10))</f>
        <v>6</v>
      </c>
      <c r="U115" s="108">
        <f>IF('Employee Master'!B115="","",3)</f>
        <v>3</v>
      </c>
      <c r="V115" s="104">
        <f>IF('Employee Master'!B115="","",MIN(U115*2,10))</f>
        <v>6</v>
      </c>
      <c r="W115" s="108">
        <f>IF('Employee Master'!B115="","",3)</f>
        <v>3</v>
      </c>
      <c r="X115" s="104">
        <f>IF('Employee Master'!B115="","",MIN(W115*2,10))</f>
        <v>6</v>
      </c>
      <c r="Y115" s="108">
        <f>IF('Employee Master'!B115="","",3)</f>
        <v>3</v>
      </c>
      <c r="Z115" s="104">
        <f>IF('Employee Master'!B115="","",MIN(Y115*2,10))</f>
        <v>6</v>
      </c>
      <c r="AA115" s="109">
        <f>IF('Employee Master'!B115="","",T115+V115+X115+Z115)</f>
        <v>24</v>
      </c>
      <c r="AB115" s="110">
        <f>IF('Employee Master'!B115="","",R115+AA115)</f>
        <v>45</v>
      </c>
      <c r="AC115" s="27" t="str">
        <f>IF('Employee Master'!B115="","",IF(AB115&gt;=85,"Exceptional",IF(AB115&gt;=70,"High Performer",IF(AB115&gt;=50,"Meets Expectations",IF(AB115&gt;=30,"Below Expectations","Underperformer")))))</f>
        <v>Below Expectations</v>
      </c>
      <c r="AD115" s="51">
        <f>IF('Employee Master'!B115="","",'Employee Master'!M115)</f>
        <v>0</v>
      </c>
      <c r="AE115" s="52">
        <f>IF('Employee Master'!B115="","",IF(AB115&gt;=85,Settings!B31,IF(AB115&gt;=70,Settings!B32,IF(AB115&gt;=50,Settings!B33,IF(AB115&gt;=30,Settings!B34,Settings!B35)))))</f>
        <v>0.03</v>
      </c>
      <c r="AF115" s="51">
        <f>IF('Employee Master'!B115="","",AD115*(1+AE115))</f>
        <v>0</v>
      </c>
      <c r="AG115" s="51">
        <f>IF('Employee Master'!B115="","",AF115-AD115)</f>
        <v>0</v>
      </c>
      <c r="AH115" s="51">
        <f>IF('Employee Master'!B115="","",AG115*12)</f>
        <v>0</v>
      </c>
    </row>
    <row r="116" spans="1:34" ht="23.25" customHeight="1" x14ac:dyDescent="0.2">
      <c r="A116" s="27">
        <f>IF('Employee Master'!B116="","",ROW()-3)</f>
        <v>113</v>
      </c>
      <c r="B116" s="27" t="str">
        <f>IF('Employee Master'!B116="","",'Employee Master'!C116)</f>
        <v>Jinali.S</v>
      </c>
      <c r="C116" s="27" t="str">
        <f>IF('Employee Master'!B116="","",'Employee Master'!D116)</f>
        <v>Remote</v>
      </c>
      <c r="D116" s="27" t="str">
        <f>IF('Employee Master'!B116="","",'Employee Master'!E116)</f>
        <v>Sr. Associate</v>
      </c>
      <c r="E116" s="27" t="str">
        <f>IF('Employee Master'!B116="","",'Employee Master'!G116)</f>
        <v>Smriti Shah</v>
      </c>
      <c r="F116" s="51">
        <f>IF('Employee Master'!B116="","",'⑥ Annual Performance'!R116)</f>
        <v>12</v>
      </c>
      <c r="G116" s="103">
        <f>IF('Employee Master'!B116="","",'⑥ Annual Performance'!J116)</f>
        <v>4.3749999999999997E-2</v>
      </c>
      <c r="H116" s="104">
        <f>IF('Employee Master'!B116="","",IF(G116&gt;=0.85,15,IF(G116&gt;=0.7,12,IF(G116&gt;=0.55,9,IF(G116&gt;=0.4,6,3)))))</f>
        <v>3</v>
      </c>
      <c r="I116" s="103">
        <f>IF('Employee Master'!B116="","",'⑥ Annual Performance'!Q116)</f>
        <v>0</v>
      </c>
      <c r="J116" s="104">
        <f>IF('Employee Master'!B116="","",IF(I116&gt;=0.98,10,IF(I116&gt;=0.95,8,IF(I116&gt;=0.9,6,IF(I116&gt;=0.85,4,2)))))</f>
        <v>2</v>
      </c>
      <c r="K116" s="105">
        <f>IF('Employee Master'!B116="","",'⑥ Annual Performance'!N116)</f>
        <v>0</v>
      </c>
      <c r="L116" s="104">
        <f>IF('Employee Master'!B116="","",IF(K116&gt;=1000,10,IF(K116&gt;=750,8,IF(K116&gt;=500,6,IF(K116&gt;=250,4,2)))))</f>
        <v>2</v>
      </c>
      <c r="M116" s="105">
        <f>IF('Employee Master'!B116="","",'⑥ Annual Performance'!K116)</f>
        <v>4</v>
      </c>
      <c r="N116" s="106">
        <f>IF('Employee Master'!B116="","",'⑥ Annual Performance'!L116)</f>
        <v>3.5</v>
      </c>
      <c r="O116" s="104">
        <f>IF('Employee Master'!B116="","",MIN(N116*2,10))</f>
        <v>7</v>
      </c>
      <c r="P116" s="104">
        <f>IF('Employee Master'!B116="","",IF(F116&gt;=36,5,IF(F116&gt;=24,4,IF(F116&gt;=12,3,IF(F116&gt;=6,2,1)))))</f>
        <v>3</v>
      </c>
      <c r="Q116" s="104">
        <f>IF('Employee Master'!B116="","",IF(D116="Sr. Controller",10,IF(D116="Coo",10,IF(D116="Controller",9,IF(D116="Asst. Controller",8,IF(D116="Sr. Manager",8,IF(D116="Manager",7,IF(D116="Asst. Manager",6,IF(D116="Team Lead",7,IF(D116="Asst. Team Lead",5,IF(D116="Sr. Associate",4,IF(D116="Associate",3,IF(D116="Full Stack Developer",5,IF(D116="Project Manager (S/W)",6,IF(D116="Marketing",4,4)))))))))))))))</f>
        <v>4</v>
      </c>
      <c r="R116" s="107">
        <f>IF('Employee Master'!B116="","",H116+J116+L116+O116+P116+Q116)</f>
        <v>21</v>
      </c>
      <c r="S116" s="108">
        <f>IF('Employee Master'!B116="","",3)</f>
        <v>3</v>
      </c>
      <c r="T116" s="104">
        <f>IF('Employee Master'!B116="","",MIN(S116*2,10))</f>
        <v>6</v>
      </c>
      <c r="U116" s="108">
        <f>IF('Employee Master'!B116="","",3)</f>
        <v>3</v>
      </c>
      <c r="V116" s="104">
        <f>IF('Employee Master'!B116="","",MIN(U116*2,10))</f>
        <v>6</v>
      </c>
      <c r="W116" s="108">
        <f>IF('Employee Master'!B116="","",3)</f>
        <v>3</v>
      </c>
      <c r="X116" s="104">
        <f>IF('Employee Master'!B116="","",MIN(W116*2,10))</f>
        <v>6</v>
      </c>
      <c r="Y116" s="108">
        <f>IF('Employee Master'!B116="","",3)</f>
        <v>3</v>
      </c>
      <c r="Z116" s="104">
        <f>IF('Employee Master'!B116="","",MIN(Y116*2,10))</f>
        <v>6</v>
      </c>
      <c r="AA116" s="109">
        <f>IF('Employee Master'!B116="","",T116+V116+X116+Z116)</f>
        <v>24</v>
      </c>
      <c r="AB116" s="110">
        <f>IF('Employee Master'!B116="","",R116+AA116)</f>
        <v>45</v>
      </c>
      <c r="AC116" s="27" t="str">
        <f>IF('Employee Master'!B116="","",IF(AB116&gt;=85,"Exceptional",IF(AB116&gt;=70,"High Performer",IF(AB116&gt;=50,"Meets Expectations",IF(AB116&gt;=30,"Below Expectations","Underperformer")))))</f>
        <v>Below Expectations</v>
      </c>
      <c r="AD116" s="51">
        <f>IF('Employee Master'!B116="","",'Employee Master'!M116)</f>
        <v>0</v>
      </c>
      <c r="AE116" s="52">
        <f>IF('Employee Master'!B116="","",IF(AB116&gt;=85,Settings!B31,IF(AB116&gt;=70,Settings!B32,IF(AB116&gt;=50,Settings!B33,IF(AB116&gt;=30,Settings!B34,Settings!B35)))))</f>
        <v>0.03</v>
      </c>
      <c r="AF116" s="51">
        <f>IF('Employee Master'!B116="","",AD116*(1+AE116))</f>
        <v>0</v>
      </c>
      <c r="AG116" s="51">
        <f>IF('Employee Master'!B116="","",AF116-AD116)</f>
        <v>0</v>
      </c>
      <c r="AH116" s="51">
        <f>IF('Employee Master'!B116="","",AG116*12)</f>
        <v>0</v>
      </c>
    </row>
    <row r="117" spans="1:34" ht="23.25" customHeight="1" x14ac:dyDescent="0.2">
      <c r="A117" s="27">
        <f>IF('Employee Master'!B117="","",ROW()-3)</f>
        <v>114</v>
      </c>
      <c r="B117" s="27" t="str">
        <f>IF('Employee Master'!B117="","",'Employee Master'!C117)</f>
        <v>Snehal</v>
      </c>
      <c r="C117" s="27" t="str">
        <f>IF('Employee Master'!B117="","",'Employee Master'!D117)</f>
        <v>In-house</v>
      </c>
      <c r="D117" s="27" t="str">
        <f>IF('Employee Master'!B117="","",'Employee Master'!E117)</f>
        <v>Team Lead</v>
      </c>
      <c r="E117" s="27" t="str">
        <f>IF('Employee Master'!B117="","",'Employee Master'!G117)</f>
        <v>Tithi Gandhi</v>
      </c>
      <c r="F117" s="51">
        <f>IF('Employee Master'!B117="","",'⑥ Annual Performance'!R117)</f>
        <v>12</v>
      </c>
      <c r="G117" s="103">
        <f>IF('Employee Master'!B117="","",'⑥ Annual Performance'!J117)</f>
        <v>0</v>
      </c>
      <c r="H117" s="104">
        <f>IF('Employee Master'!B117="","",IF(G117&gt;=0.85,15,IF(G117&gt;=0.7,12,IF(G117&gt;=0.55,9,IF(G117&gt;=0.4,6,3)))))</f>
        <v>3</v>
      </c>
      <c r="I117" s="103">
        <f>IF('Employee Master'!B117="","",'⑥ Annual Performance'!Q117)</f>
        <v>0</v>
      </c>
      <c r="J117" s="104">
        <f>IF('Employee Master'!B117="","",IF(I117&gt;=0.98,10,IF(I117&gt;=0.95,8,IF(I117&gt;=0.9,6,IF(I117&gt;=0.85,4,2)))))</f>
        <v>2</v>
      </c>
      <c r="K117" s="105">
        <f>IF('Employee Master'!B117="","",'⑥ Annual Performance'!N117)</f>
        <v>0</v>
      </c>
      <c r="L117" s="104">
        <f>IF('Employee Master'!B117="","",IF(K117&gt;=1000,10,IF(K117&gt;=750,8,IF(K117&gt;=500,6,IF(K117&gt;=250,4,2)))))</f>
        <v>2</v>
      </c>
      <c r="M117" s="105">
        <f>IF('Employee Master'!B117="","",'⑥ Annual Performance'!K117)</f>
        <v>0</v>
      </c>
      <c r="N117" s="106">
        <f>IF('Employee Master'!B117="","",'⑥ Annual Performance'!L117)</f>
        <v>3.5</v>
      </c>
      <c r="O117" s="104">
        <f>IF('Employee Master'!B117="","",MIN(N117*2,10))</f>
        <v>7</v>
      </c>
      <c r="P117" s="104">
        <f>IF('Employee Master'!B117="","",IF(F117&gt;=36,5,IF(F117&gt;=24,4,IF(F117&gt;=12,3,IF(F117&gt;=6,2,1)))))</f>
        <v>3</v>
      </c>
      <c r="Q117" s="104">
        <f>IF('Employee Master'!B117="","",IF(D117="Sr. Controller",10,IF(D117="Coo",10,IF(D117="Controller",9,IF(D117="Asst. Controller",8,IF(D117="Sr. Manager",8,IF(D117="Manager",7,IF(D117="Asst. Manager",6,IF(D117="Team Lead",7,IF(D117="Asst. Team Lead",5,IF(D117="Sr. Associate",4,IF(D117="Associate",3,IF(D117="Full Stack Developer",5,IF(D117="Project Manager (S/W)",6,IF(D117="Marketing",4,4)))))))))))))))</f>
        <v>7</v>
      </c>
      <c r="R117" s="107">
        <f>IF('Employee Master'!B117="","",H117+J117+L117+O117+P117+Q117)</f>
        <v>24</v>
      </c>
      <c r="S117" s="108">
        <f>IF('Employee Master'!B117="","",3)</f>
        <v>3</v>
      </c>
      <c r="T117" s="104">
        <f>IF('Employee Master'!B117="","",MIN(S117*2,10))</f>
        <v>6</v>
      </c>
      <c r="U117" s="108">
        <f>IF('Employee Master'!B117="","",3)</f>
        <v>3</v>
      </c>
      <c r="V117" s="104">
        <f>IF('Employee Master'!B117="","",MIN(U117*2,10))</f>
        <v>6</v>
      </c>
      <c r="W117" s="108">
        <f>IF('Employee Master'!B117="","",3)</f>
        <v>3</v>
      </c>
      <c r="X117" s="104">
        <f>IF('Employee Master'!B117="","",MIN(W117*2,10))</f>
        <v>6</v>
      </c>
      <c r="Y117" s="108">
        <f>IF('Employee Master'!B117="","",3)</f>
        <v>3</v>
      </c>
      <c r="Z117" s="104">
        <f>IF('Employee Master'!B117="","",MIN(Y117*2,10))</f>
        <v>6</v>
      </c>
      <c r="AA117" s="109">
        <f>IF('Employee Master'!B117="","",T117+V117+X117+Z117)</f>
        <v>24</v>
      </c>
      <c r="AB117" s="110">
        <f>IF('Employee Master'!B117="","",R117+AA117)</f>
        <v>48</v>
      </c>
      <c r="AC117" s="27" t="str">
        <f>IF('Employee Master'!B117="","",IF(AB117&gt;=85,"Exceptional",IF(AB117&gt;=70,"High Performer",IF(AB117&gt;=50,"Meets Expectations",IF(AB117&gt;=30,"Below Expectations","Underperformer")))))</f>
        <v>Below Expectations</v>
      </c>
      <c r="AD117" s="51">
        <f>IF('Employee Master'!B117="","",'Employee Master'!M117)</f>
        <v>54839</v>
      </c>
      <c r="AE117" s="52">
        <f>IF('Employee Master'!B117="","",IF(AB117&gt;=85,Settings!B31,IF(AB117&gt;=70,Settings!B32,IF(AB117&gt;=50,Settings!B33,IF(AB117&gt;=30,Settings!B34,Settings!B35)))))</f>
        <v>0.03</v>
      </c>
      <c r="AF117" s="51">
        <f>IF('Employee Master'!B117="","",AD117*(1+AE117))</f>
        <v>56484.17</v>
      </c>
      <c r="AG117" s="51">
        <f>IF('Employee Master'!B117="","",AF117-AD117)</f>
        <v>1645.1699999999983</v>
      </c>
      <c r="AH117" s="51">
        <f>IF('Employee Master'!B117="","",AG117*12)</f>
        <v>19742.039999999979</v>
      </c>
    </row>
    <row r="118" spans="1:34" ht="23.25" customHeight="1" x14ac:dyDescent="0.2">
      <c r="A118" s="27">
        <f>IF('Employee Master'!B118="","",ROW()-3)</f>
        <v>115</v>
      </c>
      <c r="B118" s="27" t="str">
        <f>IF('Employee Master'!B118="","",'Employee Master'!C118)</f>
        <v>Sukhdeep.K</v>
      </c>
      <c r="C118" s="27" t="str">
        <f>IF('Employee Master'!B118="","",'Employee Master'!D118)</f>
        <v>In-house</v>
      </c>
      <c r="D118" s="27" t="str">
        <f>IF('Employee Master'!B118="","",'Employee Master'!E118)</f>
        <v>Asst. Team Lead</v>
      </c>
      <c r="E118" s="27" t="str">
        <f>IF('Employee Master'!B118="","",'Employee Master'!G118)</f>
        <v>Ayushi</v>
      </c>
      <c r="F118" s="51">
        <f>IF('Employee Master'!B118="","",'⑥ Annual Performance'!R118)</f>
        <v>12</v>
      </c>
      <c r="G118" s="103">
        <f>IF('Employee Master'!B118="","",'⑥ Annual Performance'!J118)</f>
        <v>0</v>
      </c>
      <c r="H118" s="104">
        <f>IF('Employee Master'!B118="","",IF(G118&gt;=0.85,15,IF(G118&gt;=0.7,12,IF(G118&gt;=0.55,9,IF(G118&gt;=0.4,6,3)))))</f>
        <v>3</v>
      </c>
      <c r="I118" s="103">
        <f>IF('Employee Master'!B118="","",'⑥ Annual Performance'!Q118)</f>
        <v>0</v>
      </c>
      <c r="J118" s="104">
        <f>IF('Employee Master'!B118="","",IF(I118&gt;=0.98,10,IF(I118&gt;=0.95,8,IF(I118&gt;=0.9,6,IF(I118&gt;=0.85,4,2)))))</f>
        <v>2</v>
      </c>
      <c r="K118" s="105">
        <f>IF('Employee Master'!B118="","",'⑥ Annual Performance'!N118)</f>
        <v>0</v>
      </c>
      <c r="L118" s="104">
        <f>IF('Employee Master'!B118="","",IF(K118&gt;=1000,10,IF(K118&gt;=750,8,IF(K118&gt;=500,6,IF(K118&gt;=250,4,2)))))</f>
        <v>2</v>
      </c>
      <c r="M118" s="105">
        <f>IF('Employee Master'!B118="","",'⑥ Annual Performance'!K118)</f>
        <v>0</v>
      </c>
      <c r="N118" s="106">
        <f>IF('Employee Master'!B118="","",'⑥ Annual Performance'!L118)</f>
        <v>3.5</v>
      </c>
      <c r="O118" s="104">
        <f>IF('Employee Master'!B118="","",MIN(N118*2,10))</f>
        <v>7</v>
      </c>
      <c r="P118" s="104">
        <f>IF('Employee Master'!B118="","",IF(F118&gt;=36,5,IF(F118&gt;=24,4,IF(F118&gt;=12,3,IF(F118&gt;=6,2,1)))))</f>
        <v>3</v>
      </c>
      <c r="Q118" s="104">
        <f>IF('Employee Master'!B118="","",IF(D118="Sr. Controller",10,IF(D118="Coo",10,IF(D118="Controller",9,IF(D118="Asst. Controller",8,IF(D118="Sr. Manager",8,IF(D118="Manager",7,IF(D118="Asst. Manager",6,IF(D118="Team Lead",7,IF(D118="Asst. Team Lead",5,IF(D118="Sr. Associate",4,IF(D118="Associate",3,IF(D118="Full Stack Developer",5,IF(D118="Project Manager (S/W)",6,IF(D118="Marketing",4,4)))))))))))))))</f>
        <v>5</v>
      </c>
      <c r="R118" s="107">
        <f>IF('Employee Master'!B118="","",H118+J118+L118+O118+P118+Q118)</f>
        <v>22</v>
      </c>
      <c r="S118" s="108">
        <f>IF('Employee Master'!B118="","",3)</f>
        <v>3</v>
      </c>
      <c r="T118" s="104">
        <f>IF('Employee Master'!B118="","",MIN(S118*2,10))</f>
        <v>6</v>
      </c>
      <c r="U118" s="108">
        <f>IF('Employee Master'!B118="","",3)</f>
        <v>3</v>
      </c>
      <c r="V118" s="104">
        <f>IF('Employee Master'!B118="","",MIN(U118*2,10))</f>
        <v>6</v>
      </c>
      <c r="W118" s="108">
        <f>IF('Employee Master'!B118="","",3)</f>
        <v>3</v>
      </c>
      <c r="X118" s="104">
        <f>IF('Employee Master'!B118="","",MIN(W118*2,10))</f>
        <v>6</v>
      </c>
      <c r="Y118" s="108">
        <f>IF('Employee Master'!B118="","",3)</f>
        <v>3</v>
      </c>
      <c r="Z118" s="104">
        <f>IF('Employee Master'!B118="","",MIN(Y118*2,10))</f>
        <v>6</v>
      </c>
      <c r="AA118" s="109">
        <f>IF('Employee Master'!B118="","",T118+V118+X118+Z118)</f>
        <v>24</v>
      </c>
      <c r="AB118" s="110">
        <f>IF('Employee Master'!B118="","",R118+AA118)</f>
        <v>46</v>
      </c>
      <c r="AC118" s="27" t="str">
        <f>IF('Employee Master'!B118="","",IF(AB118&gt;=85,"Exceptional",IF(AB118&gt;=70,"High Performer",IF(AB118&gt;=50,"Meets Expectations",IF(AB118&gt;=30,"Below Expectations","Underperformer")))))</f>
        <v>Below Expectations</v>
      </c>
      <c r="AD118" s="51">
        <f>IF('Employee Master'!B118="","",'Employee Master'!M118)</f>
        <v>30613</v>
      </c>
      <c r="AE118" s="52">
        <f>IF('Employee Master'!B118="","",IF(AB118&gt;=85,Settings!B31,IF(AB118&gt;=70,Settings!B32,IF(AB118&gt;=50,Settings!B33,IF(AB118&gt;=30,Settings!B34,Settings!B35)))))</f>
        <v>0.03</v>
      </c>
      <c r="AF118" s="51">
        <f>IF('Employee Master'!B118="","",AD118*(1+AE118))</f>
        <v>31531.39</v>
      </c>
      <c r="AG118" s="51">
        <f>IF('Employee Master'!B118="","",AF118-AD118)</f>
        <v>918.38999999999942</v>
      </c>
      <c r="AH118" s="51">
        <f>IF('Employee Master'!B118="","",AG118*12)</f>
        <v>11020.679999999993</v>
      </c>
    </row>
    <row r="119" spans="1:34" ht="23.25" customHeight="1" x14ac:dyDescent="0.2">
      <c r="A119" s="27">
        <f>IF('Employee Master'!B119="","",ROW()-3)</f>
        <v>116</v>
      </c>
      <c r="B119" s="27" t="str">
        <f>IF('Employee Master'!B119="","",'Employee Master'!C119)</f>
        <v>Anjali.J</v>
      </c>
      <c r="C119" s="27" t="str">
        <f>IF('Employee Master'!B119="","",'Employee Master'!D119)</f>
        <v>Remote</v>
      </c>
      <c r="D119" s="27" t="str">
        <f>IF('Employee Master'!B119="","",'Employee Master'!E119)</f>
        <v>Asst. Team Lead</v>
      </c>
      <c r="E119" s="27" t="str">
        <f>IF('Employee Master'!B119="","",'Employee Master'!G119)</f>
        <v>Jasleen.D</v>
      </c>
      <c r="F119" s="51">
        <f>IF('Employee Master'!B119="","",'⑥ Annual Performance'!R119)</f>
        <v>12</v>
      </c>
      <c r="G119" s="103">
        <f>IF('Employee Master'!B119="","",'⑥ Annual Performance'!J119)</f>
        <v>0</v>
      </c>
      <c r="H119" s="104">
        <f>IF('Employee Master'!B119="","",IF(G119&gt;=0.85,15,IF(G119&gt;=0.7,12,IF(G119&gt;=0.55,9,IF(G119&gt;=0.4,6,3)))))</f>
        <v>3</v>
      </c>
      <c r="I119" s="103">
        <f>IF('Employee Master'!B119="","",'⑥ Annual Performance'!Q119)</f>
        <v>0</v>
      </c>
      <c r="J119" s="104">
        <f>IF('Employee Master'!B119="","",IF(I119&gt;=0.98,10,IF(I119&gt;=0.95,8,IF(I119&gt;=0.9,6,IF(I119&gt;=0.85,4,2)))))</f>
        <v>2</v>
      </c>
      <c r="K119" s="105">
        <f>IF('Employee Master'!B119="","",'⑥ Annual Performance'!N119)</f>
        <v>0</v>
      </c>
      <c r="L119" s="104">
        <f>IF('Employee Master'!B119="","",IF(K119&gt;=1000,10,IF(K119&gt;=750,8,IF(K119&gt;=500,6,IF(K119&gt;=250,4,2)))))</f>
        <v>2</v>
      </c>
      <c r="M119" s="105">
        <f>IF('Employee Master'!B119="","",'⑥ Annual Performance'!K119)</f>
        <v>0</v>
      </c>
      <c r="N119" s="106">
        <f>IF('Employee Master'!B119="","",'⑥ Annual Performance'!L119)</f>
        <v>3.5</v>
      </c>
      <c r="O119" s="104">
        <f>IF('Employee Master'!B119="","",MIN(N119*2,10))</f>
        <v>7</v>
      </c>
      <c r="P119" s="104">
        <f>IF('Employee Master'!B119="","",IF(F119&gt;=36,5,IF(F119&gt;=24,4,IF(F119&gt;=12,3,IF(F119&gt;=6,2,1)))))</f>
        <v>3</v>
      </c>
      <c r="Q119" s="104">
        <f>IF('Employee Master'!B119="","",IF(D119="Sr. Controller",10,IF(D119="Coo",10,IF(D119="Controller",9,IF(D119="Asst. Controller",8,IF(D119="Sr. Manager",8,IF(D119="Manager",7,IF(D119="Asst. Manager",6,IF(D119="Team Lead",7,IF(D119="Asst. Team Lead",5,IF(D119="Sr. Associate",4,IF(D119="Associate",3,IF(D119="Full Stack Developer",5,IF(D119="Project Manager (S/W)",6,IF(D119="Marketing",4,4)))))))))))))))</f>
        <v>5</v>
      </c>
      <c r="R119" s="107">
        <f>IF('Employee Master'!B119="","",H119+J119+L119+O119+P119+Q119)</f>
        <v>22</v>
      </c>
      <c r="S119" s="108">
        <f>IF('Employee Master'!B119="","",3)</f>
        <v>3</v>
      </c>
      <c r="T119" s="104">
        <f>IF('Employee Master'!B119="","",MIN(S119*2,10))</f>
        <v>6</v>
      </c>
      <c r="U119" s="108">
        <f>IF('Employee Master'!B119="","",3)</f>
        <v>3</v>
      </c>
      <c r="V119" s="104">
        <f>IF('Employee Master'!B119="","",MIN(U119*2,10))</f>
        <v>6</v>
      </c>
      <c r="W119" s="108">
        <f>IF('Employee Master'!B119="","",3)</f>
        <v>3</v>
      </c>
      <c r="X119" s="104">
        <f>IF('Employee Master'!B119="","",MIN(W119*2,10))</f>
        <v>6</v>
      </c>
      <c r="Y119" s="108">
        <f>IF('Employee Master'!B119="","",3)</f>
        <v>3</v>
      </c>
      <c r="Z119" s="104">
        <f>IF('Employee Master'!B119="","",MIN(Y119*2,10))</f>
        <v>6</v>
      </c>
      <c r="AA119" s="109">
        <f>IF('Employee Master'!B119="","",T119+V119+X119+Z119)</f>
        <v>24</v>
      </c>
      <c r="AB119" s="110">
        <f>IF('Employee Master'!B119="","",R119+AA119)</f>
        <v>46</v>
      </c>
      <c r="AC119" s="27" t="str">
        <f>IF('Employee Master'!B119="","",IF(AB119&gt;=85,"Exceptional",IF(AB119&gt;=70,"High Performer",IF(AB119&gt;=50,"Meets Expectations",IF(AB119&gt;=30,"Below Expectations","Underperformer")))))</f>
        <v>Below Expectations</v>
      </c>
      <c r="AD119" s="51">
        <f>IF('Employee Master'!B119="","",'Employee Master'!M119)</f>
        <v>18800</v>
      </c>
      <c r="AE119" s="52">
        <f>IF('Employee Master'!B119="","",IF(AB119&gt;=85,Settings!B31,IF(AB119&gt;=70,Settings!B32,IF(AB119&gt;=50,Settings!B33,IF(AB119&gt;=30,Settings!B34,Settings!B35)))))</f>
        <v>0.03</v>
      </c>
      <c r="AF119" s="51">
        <f>IF('Employee Master'!B119="","",AD119*(1+AE119))</f>
        <v>19364</v>
      </c>
      <c r="AG119" s="51">
        <f>IF('Employee Master'!B119="","",AF119-AD119)</f>
        <v>564</v>
      </c>
      <c r="AH119" s="51">
        <f>IF('Employee Master'!B119="","",AG119*12)</f>
        <v>6768</v>
      </c>
    </row>
    <row r="120" spans="1:34" ht="23.25" customHeight="1" x14ac:dyDescent="0.2">
      <c r="A120" s="27">
        <f>IF('Employee Master'!B120="","",ROW()-3)</f>
        <v>117</v>
      </c>
      <c r="B120" s="27" t="str">
        <f>IF('Employee Master'!B120="","",'Employee Master'!C120)</f>
        <v>Pallavi.A</v>
      </c>
      <c r="C120" s="27" t="str">
        <f>IF('Employee Master'!B120="","",'Employee Master'!D120)</f>
        <v>Remote</v>
      </c>
      <c r="D120" s="27" t="str">
        <f>IF('Employee Master'!B120="","",'Employee Master'!E120)</f>
        <v>Sr. Associate</v>
      </c>
      <c r="E120" s="27" t="str">
        <f>IF('Employee Master'!B120="","",'Employee Master'!G120)</f>
        <v>Jasleen.D</v>
      </c>
      <c r="F120" s="51">
        <f>IF('Employee Master'!B120="","",'⑥ Annual Performance'!R120)</f>
        <v>12</v>
      </c>
      <c r="G120" s="103">
        <f>IF('Employee Master'!B120="","",'⑥ Annual Performance'!J120)</f>
        <v>0</v>
      </c>
      <c r="H120" s="104">
        <f>IF('Employee Master'!B120="","",IF(G120&gt;=0.85,15,IF(G120&gt;=0.7,12,IF(G120&gt;=0.55,9,IF(G120&gt;=0.4,6,3)))))</f>
        <v>3</v>
      </c>
      <c r="I120" s="103">
        <f>IF('Employee Master'!B120="","",'⑥ Annual Performance'!Q120)</f>
        <v>0</v>
      </c>
      <c r="J120" s="104">
        <f>IF('Employee Master'!B120="","",IF(I120&gt;=0.98,10,IF(I120&gt;=0.95,8,IF(I120&gt;=0.9,6,IF(I120&gt;=0.85,4,2)))))</f>
        <v>2</v>
      </c>
      <c r="K120" s="105">
        <f>IF('Employee Master'!B120="","",'⑥ Annual Performance'!N120)</f>
        <v>0</v>
      </c>
      <c r="L120" s="104">
        <f>IF('Employee Master'!B120="","",IF(K120&gt;=1000,10,IF(K120&gt;=750,8,IF(K120&gt;=500,6,IF(K120&gt;=250,4,2)))))</f>
        <v>2</v>
      </c>
      <c r="M120" s="105">
        <f>IF('Employee Master'!B120="","",'⑥ Annual Performance'!K120)</f>
        <v>0</v>
      </c>
      <c r="N120" s="106">
        <f>IF('Employee Master'!B120="","",'⑥ Annual Performance'!L120)</f>
        <v>3.5</v>
      </c>
      <c r="O120" s="104">
        <f>IF('Employee Master'!B120="","",MIN(N120*2,10))</f>
        <v>7</v>
      </c>
      <c r="P120" s="104">
        <f>IF('Employee Master'!B120="","",IF(F120&gt;=36,5,IF(F120&gt;=24,4,IF(F120&gt;=12,3,IF(F120&gt;=6,2,1)))))</f>
        <v>3</v>
      </c>
      <c r="Q120" s="104">
        <f>IF('Employee Master'!B120="","",IF(D120="Sr. Controller",10,IF(D120="Coo",10,IF(D120="Controller",9,IF(D120="Asst. Controller",8,IF(D120="Sr. Manager",8,IF(D120="Manager",7,IF(D120="Asst. Manager",6,IF(D120="Team Lead",7,IF(D120="Asst. Team Lead",5,IF(D120="Sr. Associate",4,IF(D120="Associate",3,IF(D120="Full Stack Developer",5,IF(D120="Project Manager (S/W)",6,IF(D120="Marketing",4,4)))))))))))))))</f>
        <v>4</v>
      </c>
      <c r="R120" s="107">
        <f>IF('Employee Master'!B120="","",H120+J120+L120+O120+P120+Q120)</f>
        <v>21</v>
      </c>
      <c r="S120" s="108">
        <f>IF('Employee Master'!B120="","",3)</f>
        <v>3</v>
      </c>
      <c r="T120" s="104">
        <f>IF('Employee Master'!B120="","",MIN(S120*2,10))</f>
        <v>6</v>
      </c>
      <c r="U120" s="108">
        <f>IF('Employee Master'!B120="","",3)</f>
        <v>3</v>
      </c>
      <c r="V120" s="104">
        <f>IF('Employee Master'!B120="","",MIN(U120*2,10))</f>
        <v>6</v>
      </c>
      <c r="W120" s="108">
        <f>IF('Employee Master'!B120="","",3)</f>
        <v>3</v>
      </c>
      <c r="X120" s="104">
        <f>IF('Employee Master'!B120="","",MIN(W120*2,10))</f>
        <v>6</v>
      </c>
      <c r="Y120" s="108">
        <f>IF('Employee Master'!B120="","",3)</f>
        <v>3</v>
      </c>
      <c r="Z120" s="104">
        <f>IF('Employee Master'!B120="","",MIN(Y120*2,10))</f>
        <v>6</v>
      </c>
      <c r="AA120" s="109">
        <f>IF('Employee Master'!B120="","",T120+V120+X120+Z120)</f>
        <v>24</v>
      </c>
      <c r="AB120" s="110">
        <f>IF('Employee Master'!B120="","",R120+AA120)</f>
        <v>45</v>
      </c>
      <c r="AC120" s="27" t="str">
        <f>IF('Employee Master'!B120="","",IF(AB120&gt;=85,"Exceptional",IF(AB120&gt;=70,"High Performer",IF(AB120&gt;=50,"Meets Expectations",IF(AB120&gt;=30,"Below Expectations","Underperformer")))))</f>
        <v>Below Expectations</v>
      </c>
      <c r="AD120" s="51">
        <f>IF('Employee Master'!B120="","",'Employee Master'!M120)</f>
        <v>0</v>
      </c>
      <c r="AE120" s="52">
        <f>IF('Employee Master'!B120="","",IF(AB120&gt;=85,Settings!B31,IF(AB120&gt;=70,Settings!B32,IF(AB120&gt;=50,Settings!B33,IF(AB120&gt;=30,Settings!B34,Settings!B35)))))</f>
        <v>0.03</v>
      </c>
      <c r="AF120" s="51">
        <f>IF('Employee Master'!B120="","",AD120*(1+AE120))</f>
        <v>0</v>
      </c>
      <c r="AG120" s="51">
        <f>IF('Employee Master'!B120="","",AF120-AD120)</f>
        <v>0</v>
      </c>
      <c r="AH120" s="51">
        <f>IF('Employee Master'!B120="","",AG120*12)</f>
        <v>0</v>
      </c>
    </row>
    <row r="121" spans="1:34" ht="23.25" customHeight="1" x14ac:dyDescent="0.2">
      <c r="A121" s="27">
        <f>IF('Employee Master'!B121="","",ROW()-3)</f>
        <v>118</v>
      </c>
      <c r="B121" s="27" t="str">
        <f>IF('Employee Master'!B121="","",'Employee Master'!C121)</f>
        <v>Twinkle.C</v>
      </c>
      <c r="C121" s="27" t="str">
        <f>IF('Employee Master'!B121="","",'Employee Master'!D121)</f>
        <v>Remote</v>
      </c>
      <c r="D121" s="27" t="str">
        <f>IF('Employee Master'!B121="","",'Employee Master'!E121)</f>
        <v>Sr. Associate</v>
      </c>
      <c r="E121" s="27" t="str">
        <f>IF('Employee Master'!B121="","",'Employee Master'!G121)</f>
        <v>Jyoti</v>
      </c>
      <c r="F121" s="51">
        <f>IF('Employee Master'!B121="","",'⑥ Annual Performance'!R121)</f>
        <v>12</v>
      </c>
      <c r="G121" s="103">
        <f>IF('Employee Master'!B121="","",'⑥ Annual Performance'!J121)</f>
        <v>1.6510416666666666E-2</v>
      </c>
      <c r="H121" s="104">
        <f>IF('Employee Master'!B121="","",IF(G121&gt;=0.85,15,IF(G121&gt;=0.7,12,IF(G121&gt;=0.55,9,IF(G121&gt;=0.4,6,3)))))</f>
        <v>3</v>
      </c>
      <c r="I121" s="103">
        <f>IF('Employee Master'!B121="","",'⑥ Annual Performance'!Q121)</f>
        <v>0</v>
      </c>
      <c r="J121" s="104">
        <f>IF('Employee Master'!B121="","",IF(I121&gt;=0.98,10,IF(I121&gt;=0.95,8,IF(I121&gt;=0.9,6,IF(I121&gt;=0.85,4,2)))))</f>
        <v>2</v>
      </c>
      <c r="K121" s="105">
        <f>IF('Employee Master'!B121="","",'⑥ Annual Performance'!N121)</f>
        <v>0</v>
      </c>
      <c r="L121" s="104">
        <f>IF('Employee Master'!B121="","",IF(K121&gt;=1000,10,IF(K121&gt;=750,8,IF(K121&gt;=500,6,IF(K121&gt;=250,4,2)))))</f>
        <v>2</v>
      </c>
      <c r="M121" s="105">
        <f>IF('Employee Master'!B121="","",'⑥ Annual Performance'!K121)</f>
        <v>2</v>
      </c>
      <c r="N121" s="106">
        <f>IF('Employee Master'!B121="","",'⑥ Annual Performance'!L121)</f>
        <v>3.5</v>
      </c>
      <c r="O121" s="104">
        <f>IF('Employee Master'!B121="","",MIN(N121*2,10))</f>
        <v>7</v>
      </c>
      <c r="P121" s="104">
        <f>IF('Employee Master'!B121="","",IF(F121&gt;=36,5,IF(F121&gt;=24,4,IF(F121&gt;=12,3,IF(F121&gt;=6,2,1)))))</f>
        <v>3</v>
      </c>
      <c r="Q121" s="104">
        <f>IF('Employee Master'!B121="","",IF(D121="Sr. Controller",10,IF(D121="Coo",10,IF(D121="Controller",9,IF(D121="Asst. Controller",8,IF(D121="Sr. Manager",8,IF(D121="Manager",7,IF(D121="Asst. Manager",6,IF(D121="Team Lead",7,IF(D121="Asst. Team Lead",5,IF(D121="Sr. Associate",4,IF(D121="Associate",3,IF(D121="Full Stack Developer",5,IF(D121="Project Manager (S/W)",6,IF(D121="Marketing",4,4)))))))))))))))</f>
        <v>4</v>
      </c>
      <c r="R121" s="107">
        <f>IF('Employee Master'!B121="","",H121+J121+L121+O121+P121+Q121)</f>
        <v>21</v>
      </c>
      <c r="S121" s="108">
        <f>IF('Employee Master'!B121="","",3)</f>
        <v>3</v>
      </c>
      <c r="T121" s="104">
        <f>IF('Employee Master'!B121="","",MIN(S121*2,10))</f>
        <v>6</v>
      </c>
      <c r="U121" s="108">
        <f>IF('Employee Master'!B121="","",3)</f>
        <v>3</v>
      </c>
      <c r="V121" s="104">
        <f>IF('Employee Master'!B121="","",MIN(U121*2,10))</f>
        <v>6</v>
      </c>
      <c r="W121" s="108">
        <f>IF('Employee Master'!B121="","",3)</f>
        <v>3</v>
      </c>
      <c r="X121" s="104">
        <f>IF('Employee Master'!B121="","",MIN(W121*2,10))</f>
        <v>6</v>
      </c>
      <c r="Y121" s="108">
        <f>IF('Employee Master'!B121="","",3)</f>
        <v>3</v>
      </c>
      <c r="Z121" s="104">
        <f>IF('Employee Master'!B121="","",MIN(Y121*2,10))</f>
        <v>6</v>
      </c>
      <c r="AA121" s="109">
        <f>IF('Employee Master'!B121="","",T121+V121+X121+Z121)</f>
        <v>24</v>
      </c>
      <c r="AB121" s="110">
        <f>IF('Employee Master'!B121="","",R121+AA121)</f>
        <v>45</v>
      </c>
      <c r="AC121" s="27" t="str">
        <f>IF('Employee Master'!B121="","",IF(AB121&gt;=85,"Exceptional",IF(AB121&gt;=70,"High Performer",IF(AB121&gt;=50,"Meets Expectations",IF(AB121&gt;=30,"Below Expectations","Underperformer")))))</f>
        <v>Below Expectations</v>
      </c>
      <c r="AD121" s="51">
        <f>IF('Employee Master'!B121="","",'Employee Master'!M121)</f>
        <v>5792</v>
      </c>
      <c r="AE121" s="52">
        <f>IF('Employee Master'!B121="","",IF(AB121&gt;=85,Settings!B31,IF(AB121&gt;=70,Settings!B32,IF(AB121&gt;=50,Settings!B33,IF(AB121&gt;=30,Settings!B34,Settings!B35)))))</f>
        <v>0.03</v>
      </c>
      <c r="AF121" s="51">
        <f>IF('Employee Master'!B121="","",AD121*(1+AE121))</f>
        <v>5965.76</v>
      </c>
      <c r="AG121" s="51">
        <f>IF('Employee Master'!B121="","",AF121-AD121)</f>
        <v>173.76000000000022</v>
      </c>
      <c r="AH121" s="51">
        <f>IF('Employee Master'!B121="","",AG121*12)</f>
        <v>2085.1200000000026</v>
      </c>
    </row>
    <row r="122" spans="1:34" ht="23.25" customHeight="1" x14ac:dyDescent="0.2">
      <c r="A122" s="27">
        <f>IF('Employee Master'!B122="","",ROW()-3)</f>
        <v>119</v>
      </c>
      <c r="B122" s="27" t="str">
        <f>IF('Employee Master'!B122="","",'Employee Master'!C122)</f>
        <v>Prabhleen.K</v>
      </c>
      <c r="C122" s="27" t="str">
        <f>IF('Employee Master'!B122="","",'Employee Master'!D122)</f>
        <v>Remote</v>
      </c>
      <c r="D122" s="27" t="str">
        <f>IF('Employee Master'!B122="","",'Employee Master'!E122)</f>
        <v>Sr. Associate</v>
      </c>
      <c r="E122" s="27" t="str">
        <f>IF('Employee Master'!B122="","",'Employee Master'!G122)</f>
        <v>Nikita Shah</v>
      </c>
      <c r="F122" s="51">
        <f>IF('Employee Master'!B122="","",'⑥ Annual Performance'!R122)</f>
        <v>12</v>
      </c>
      <c r="G122" s="103">
        <f>IF('Employee Master'!B122="","",'⑥ Annual Performance'!J122)</f>
        <v>3.3854166666666664E-2</v>
      </c>
      <c r="H122" s="104">
        <f>IF('Employee Master'!B122="","",IF(G122&gt;=0.85,15,IF(G122&gt;=0.7,12,IF(G122&gt;=0.55,9,IF(G122&gt;=0.4,6,3)))))</f>
        <v>3</v>
      </c>
      <c r="I122" s="103">
        <f>IF('Employee Master'!B122="","",'⑥ Annual Performance'!Q122)</f>
        <v>0</v>
      </c>
      <c r="J122" s="104">
        <f>IF('Employee Master'!B122="","",IF(I122&gt;=0.98,10,IF(I122&gt;=0.95,8,IF(I122&gt;=0.9,6,IF(I122&gt;=0.85,4,2)))))</f>
        <v>2</v>
      </c>
      <c r="K122" s="105">
        <f>IF('Employee Master'!B122="","",'⑥ Annual Performance'!N122)</f>
        <v>0</v>
      </c>
      <c r="L122" s="104">
        <f>IF('Employee Master'!B122="","",IF(K122&gt;=1000,10,IF(K122&gt;=750,8,IF(K122&gt;=500,6,IF(K122&gt;=250,4,2)))))</f>
        <v>2</v>
      </c>
      <c r="M122" s="105">
        <f>IF('Employee Master'!B122="","",'⑥ Annual Performance'!K122)</f>
        <v>2</v>
      </c>
      <c r="N122" s="106">
        <f>IF('Employee Master'!B122="","",'⑥ Annual Performance'!L122)</f>
        <v>3.5</v>
      </c>
      <c r="O122" s="104">
        <f>IF('Employee Master'!B122="","",MIN(N122*2,10))</f>
        <v>7</v>
      </c>
      <c r="P122" s="104">
        <f>IF('Employee Master'!B122="","",IF(F122&gt;=36,5,IF(F122&gt;=24,4,IF(F122&gt;=12,3,IF(F122&gt;=6,2,1)))))</f>
        <v>3</v>
      </c>
      <c r="Q122" s="104">
        <f>IF('Employee Master'!B122="","",IF(D122="Sr. Controller",10,IF(D122="Coo",10,IF(D122="Controller",9,IF(D122="Asst. Controller",8,IF(D122="Sr. Manager",8,IF(D122="Manager",7,IF(D122="Asst. Manager",6,IF(D122="Team Lead",7,IF(D122="Asst. Team Lead",5,IF(D122="Sr. Associate",4,IF(D122="Associate",3,IF(D122="Full Stack Developer",5,IF(D122="Project Manager (S/W)",6,IF(D122="Marketing",4,4)))))))))))))))</f>
        <v>4</v>
      </c>
      <c r="R122" s="107">
        <f>IF('Employee Master'!B122="","",H122+J122+L122+O122+P122+Q122)</f>
        <v>21</v>
      </c>
      <c r="S122" s="108">
        <f>IF('Employee Master'!B122="","",3)</f>
        <v>3</v>
      </c>
      <c r="T122" s="104">
        <f>IF('Employee Master'!B122="","",MIN(S122*2,10))</f>
        <v>6</v>
      </c>
      <c r="U122" s="108">
        <f>IF('Employee Master'!B122="","",3)</f>
        <v>3</v>
      </c>
      <c r="V122" s="104">
        <f>IF('Employee Master'!B122="","",MIN(U122*2,10))</f>
        <v>6</v>
      </c>
      <c r="W122" s="108">
        <f>IF('Employee Master'!B122="","",3)</f>
        <v>3</v>
      </c>
      <c r="X122" s="104">
        <f>IF('Employee Master'!B122="","",MIN(W122*2,10))</f>
        <v>6</v>
      </c>
      <c r="Y122" s="108">
        <f>IF('Employee Master'!B122="","",3)</f>
        <v>3</v>
      </c>
      <c r="Z122" s="104">
        <f>IF('Employee Master'!B122="","",MIN(Y122*2,10))</f>
        <v>6</v>
      </c>
      <c r="AA122" s="109">
        <f>IF('Employee Master'!B122="","",T122+V122+X122+Z122)</f>
        <v>24</v>
      </c>
      <c r="AB122" s="110">
        <f>IF('Employee Master'!B122="","",R122+AA122)</f>
        <v>45</v>
      </c>
      <c r="AC122" s="27" t="str">
        <f>IF('Employee Master'!B122="","",IF(AB122&gt;=85,"Exceptional",IF(AB122&gt;=70,"High Performer",IF(AB122&gt;=50,"Meets Expectations",IF(AB122&gt;=30,"Below Expectations","Underperformer")))))</f>
        <v>Below Expectations</v>
      </c>
      <c r="AD122" s="51">
        <f>IF('Employee Master'!B122="","",'Employee Master'!M122)</f>
        <v>7500</v>
      </c>
      <c r="AE122" s="52">
        <f>IF('Employee Master'!B122="","",IF(AB122&gt;=85,Settings!B31,IF(AB122&gt;=70,Settings!B32,IF(AB122&gt;=50,Settings!B33,IF(AB122&gt;=30,Settings!B34,Settings!B35)))))</f>
        <v>0.03</v>
      </c>
      <c r="AF122" s="51">
        <f>IF('Employee Master'!B122="","",AD122*(1+AE122))</f>
        <v>7725</v>
      </c>
      <c r="AG122" s="51">
        <f>IF('Employee Master'!B122="","",AF122-AD122)</f>
        <v>225</v>
      </c>
      <c r="AH122" s="51">
        <f>IF('Employee Master'!B122="","",AG122*12)</f>
        <v>2700</v>
      </c>
    </row>
    <row r="123" spans="1:34" ht="23.25" customHeight="1" x14ac:dyDescent="0.2">
      <c r="A123" s="27">
        <f>IF('Employee Master'!B123="","",ROW()-3)</f>
        <v>120</v>
      </c>
      <c r="B123" s="27" t="str">
        <f>IF('Employee Master'!B123="","",'Employee Master'!C123)</f>
        <v>Bhupendra.S</v>
      </c>
      <c r="C123" s="27" t="str">
        <f>IF('Employee Master'!B123="","",'Employee Master'!D123)</f>
        <v>Remote</v>
      </c>
      <c r="D123" s="27" t="str">
        <f>IF('Employee Master'!B123="","",'Employee Master'!E123)</f>
        <v>Sr. Associate</v>
      </c>
      <c r="E123" s="27" t="str">
        <f>IF('Employee Master'!B123="","",'Employee Master'!G123)</f>
        <v>Suhani</v>
      </c>
      <c r="F123" s="51">
        <f>IF('Employee Master'!B123="","",'⑥ Annual Performance'!R123)</f>
        <v>12</v>
      </c>
      <c r="G123" s="103">
        <f>IF('Employee Master'!B123="","",'⑥ Annual Performance'!J123)</f>
        <v>2.4479166666666666E-2</v>
      </c>
      <c r="H123" s="104">
        <f>IF('Employee Master'!B123="","",IF(G123&gt;=0.85,15,IF(G123&gt;=0.7,12,IF(G123&gt;=0.55,9,IF(G123&gt;=0.4,6,3)))))</f>
        <v>3</v>
      </c>
      <c r="I123" s="103">
        <f>IF('Employee Master'!B123="","",'⑥ Annual Performance'!Q123)</f>
        <v>0</v>
      </c>
      <c r="J123" s="104">
        <f>IF('Employee Master'!B123="","",IF(I123&gt;=0.98,10,IF(I123&gt;=0.95,8,IF(I123&gt;=0.9,6,IF(I123&gt;=0.85,4,2)))))</f>
        <v>2</v>
      </c>
      <c r="K123" s="105">
        <f>IF('Employee Master'!B123="","",'⑥ Annual Performance'!N123)</f>
        <v>0</v>
      </c>
      <c r="L123" s="104">
        <f>IF('Employee Master'!B123="","",IF(K123&gt;=1000,10,IF(K123&gt;=750,8,IF(K123&gt;=500,6,IF(K123&gt;=250,4,2)))))</f>
        <v>2</v>
      </c>
      <c r="M123" s="105">
        <f>IF('Employee Master'!B123="","",'⑥ Annual Performance'!K123)</f>
        <v>2</v>
      </c>
      <c r="N123" s="106">
        <f>IF('Employee Master'!B123="","",'⑥ Annual Performance'!L123)</f>
        <v>3.5</v>
      </c>
      <c r="O123" s="104">
        <f>IF('Employee Master'!B123="","",MIN(N123*2,10))</f>
        <v>7</v>
      </c>
      <c r="P123" s="104">
        <f>IF('Employee Master'!B123="","",IF(F123&gt;=36,5,IF(F123&gt;=24,4,IF(F123&gt;=12,3,IF(F123&gt;=6,2,1)))))</f>
        <v>3</v>
      </c>
      <c r="Q123" s="104">
        <f>IF('Employee Master'!B123="","",IF(D123="Sr. Controller",10,IF(D123="Coo",10,IF(D123="Controller",9,IF(D123="Asst. Controller",8,IF(D123="Sr. Manager",8,IF(D123="Manager",7,IF(D123="Asst. Manager",6,IF(D123="Team Lead",7,IF(D123="Asst. Team Lead",5,IF(D123="Sr. Associate",4,IF(D123="Associate",3,IF(D123="Full Stack Developer",5,IF(D123="Project Manager (S/W)",6,IF(D123="Marketing",4,4)))))))))))))))</f>
        <v>4</v>
      </c>
      <c r="R123" s="107">
        <f>IF('Employee Master'!B123="","",H123+J123+L123+O123+P123+Q123)</f>
        <v>21</v>
      </c>
      <c r="S123" s="108">
        <f>IF('Employee Master'!B123="","",3)</f>
        <v>3</v>
      </c>
      <c r="T123" s="104">
        <f>IF('Employee Master'!B123="","",MIN(S123*2,10))</f>
        <v>6</v>
      </c>
      <c r="U123" s="108">
        <f>IF('Employee Master'!B123="","",3)</f>
        <v>3</v>
      </c>
      <c r="V123" s="104">
        <f>IF('Employee Master'!B123="","",MIN(U123*2,10))</f>
        <v>6</v>
      </c>
      <c r="W123" s="108">
        <f>IF('Employee Master'!B123="","",3)</f>
        <v>3</v>
      </c>
      <c r="X123" s="104">
        <f>IF('Employee Master'!B123="","",MIN(W123*2,10))</f>
        <v>6</v>
      </c>
      <c r="Y123" s="108">
        <f>IF('Employee Master'!B123="","",3)</f>
        <v>3</v>
      </c>
      <c r="Z123" s="104">
        <f>IF('Employee Master'!B123="","",MIN(Y123*2,10))</f>
        <v>6</v>
      </c>
      <c r="AA123" s="109">
        <f>IF('Employee Master'!B123="","",T123+V123+X123+Z123)</f>
        <v>24</v>
      </c>
      <c r="AB123" s="110">
        <f>IF('Employee Master'!B123="","",R123+AA123)</f>
        <v>45</v>
      </c>
      <c r="AC123" s="27" t="str">
        <f>IF('Employee Master'!B123="","",IF(AB123&gt;=85,"Exceptional",IF(AB123&gt;=70,"High Performer",IF(AB123&gt;=50,"Meets Expectations",IF(AB123&gt;=30,"Below Expectations","Underperformer")))))</f>
        <v>Below Expectations</v>
      </c>
      <c r="AD123" s="51">
        <f>IF('Employee Master'!B123="","",'Employee Master'!M123)</f>
        <v>0</v>
      </c>
      <c r="AE123" s="52">
        <f>IF('Employee Master'!B123="","",IF(AB123&gt;=85,Settings!B31,IF(AB123&gt;=70,Settings!B32,IF(AB123&gt;=50,Settings!B33,IF(AB123&gt;=30,Settings!B34,Settings!B35)))))</f>
        <v>0.03</v>
      </c>
      <c r="AF123" s="51">
        <f>IF('Employee Master'!B123="","",AD123*(1+AE123))</f>
        <v>0</v>
      </c>
      <c r="AG123" s="51">
        <f>IF('Employee Master'!B123="","",AF123-AD123)</f>
        <v>0</v>
      </c>
      <c r="AH123" s="51">
        <f>IF('Employee Master'!B123="","",AG123*12)</f>
        <v>0</v>
      </c>
    </row>
    <row r="124" spans="1:34" ht="23.25" customHeight="1" x14ac:dyDescent="0.2">
      <c r="A124" s="27">
        <f>IF('Employee Master'!B124="","",ROW()-3)</f>
        <v>121</v>
      </c>
      <c r="B124" s="27" t="str">
        <f>IF('Employee Master'!B124="","",'Employee Master'!C124)</f>
        <v>Priya.S</v>
      </c>
      <c r="C124" s="27" t="str">
        <f>IF('Employee Master'!B124="","",'Employee Master'!D124)</f>
        <v>Remote</v>
      </c>
      <c r="D124" s="27" t="str">
        <f>IF('Employee Master'!B124="","",'Employee Master'!E124)</f>
        <v>Asst. Team Lead</v>
      </c>
      <c r="E124" s="27" t="str">
        <f>IF('Employee Master'!B124="","",'Employee Master'!G124)</f>
        <v>Jyoti</v>
      </c>
      <c r="F124" s="51">
        <f>IF('Employee Master'!B124="","",'⑥ Annual Performance'!R124)</f>
        <v>12</v>
      </c>
      <c r="G124" s="103">
        <f>IF('Employee Master'!B124="","",'⑥ Annual Performance'!J124)</f>
        <v>5.8854166666666673E-3</v>
      </c>
      <c r="H124" s="104">
        <f>IF('Employee Master'!B124="","",IF(G124&gt;=0.85,15,IF(G124&gt;=0.7,12,IF(G124&gt;=0.55,9,IF(G124&gt;=0.4,6,3)))))</f>
        <v>3</v>
      </c>
      <c r="I124" s="103">
        <f>IF('Employee Master'!B124="","",'⑥ Annual Performance'!Q124)</f>
        <v>0</v>
      </c>
      <c r="J124" s="104">
        <f>IF('Employee Master'!B124="","",IF(I124&gt;=0.98,10,IF(I124&gt;=0.95,8,IF(I124&gt;=0.9,6,IF(I124&gt;=0.85,4,2)))))</f>
        <v>2</v>
      </c>
      <c r="K124" s="105">
        <f>IF('Employee Master'!B124="","",'⑥ Annual Performance'!N124)</f>
        <v>0</v>
      </c>
      <c r="L124" s="104">
        <f>IF('Employee Master'!B124="","",IF(K124&gt;=1000,10,IF(K124&gt;=750,8,IF(K124&gt;=500,6,IF(K124&gt;=250,4,2)))))</f>
        <v>2</v>
      </c>
      <c r="M124" s="105">
        <f>IF('Employee Master'!B124="","",'⑥ Annual Performance'!K124)</f>
        <v>0</v>
      </c>
      <c r="N124" s="106">
        <f>IF('Employee Master'!B124="","",'⑥ Annual Performance'!L124)</f>
        <v>3.5</v>
      </c>
      <c r="O124" s="104">
        <f>IF('Employee Master'!B124="","",MIN(N124*2,10))</f>
        <v>7</v>
      </c>
      <c r="P124" s="104">
        <f>IF('Employee Master'!B124="","",IF(F124&gt;=36,5,IF(F124&gt;=24,4,IF(F124&gt;=12,3,IF(F124&gt;=6,2,1)))))</f>
        <v>3</v>
      </c>
      <c r="Q124" s="104">
        <f>IF('Employee Master'!B124="","",IF(D124="Sr. Controller",10,IF(D124="Coo",10,IF(D124="Controller",9,IF(D124="Asst. Controller",8,IF(D124="Sr. Manager",8,IF(D124="Manager",7,IF(D124="Asst. Manager",6,IF(D124="Team Lead",7,IF(D124="Asst. Team Lead",5,IF(D124="Sr. Associate",4,IF(D124="Associate",3,IF(D124="Full Stack Developer",5,IF(D124="Project Manager (S/W)",6,IF(D124="Marketing",4,4)))))))))))))))</f>
        <v>5</v>
      </c>
      <c r="R124" s="107">
        <f>IF('Employee Master'!B124="","",H124+J124+L124+O124+P124+Q124)</f>
        <v>22</v>
      </c>
      <c r="S124" s="108">
        <f>IF('Employee Master'!B124="","",3)</f>
        <v>3</v>
      </c>
      <c r="T124" s="104">
        <f>IF('Employee Master'!B124="","",MIN(S124*2,10))</f>
        <v>6</v>
      </c>
      <c r="U124" s="108">
        <f>IF('Employee Master'!B124="","",3)</f>
        <v>3</v>
      </c>
      <c r="V124" s="104">
        <f>IF('Employee Master'!B124="","",MIN(U124*2,10))</f>
        <v>6</v>
      </c>
      <c r="W124" s="108">
        <f>IF('Employee Master'!B124="","",3)</f>
        <v>3</v>
      </c>
      <c r="X124" s="104">
        <f>IF('Employee Master'!B124="","",MIN(W124*2,10))</f>
        <v>6</v>
      </c>
      <c r="Y124" s="108">
        <f>IF('Employee Master'!B124="","",3)</f>
        <v>3</v>
      </c>
      <c r="Z124" s="104">
        <f>IF('Employee Master'!B124="","",MIN(Y124*2,10))</f>
        <v>6</v>
      </c>
      <c r="AA124" s="109">
        <f>IF('Employee Master'!B124="","",T124+V124+X124+Z124)</f>
        <v>24</v>
      </c>
      <c r="AB124" s="110">
        <f>IF('Employee Master'!B124="","",R124+AA124)</f>
        <v>46</v>
      </c>
      <c r="AC124" s="27" t="str">
        <f>IF('Employee Master'!B124="","",IF(AB124&gt;=85,"Exceptional",IF(AB124&gt;=70,"High Performer",IF(AB124&gt;=50,"Meets Expectations",IF(AB124&gt;=30,"Below Expectations","Underperformer")))))</f>
        <v>Below Expectations</v>
      </c>
      <c r="AD124" s="51">
        <f>IF('Employee Master'!B124="","",'Employee Master'!M124)</f>
        <v>4500</v>
      </c>
      <c r="AE124" s="52">
        <f>IF('Employee Master'!B124="","",IF(AB124&gt;=85,Settings!B31,IF(AB124&gt;=70,Settings!B32,IF(AB124&gt;=50,Settings!B33,IF(AB124&gt;=30,Settings!B34,Settings!B35)))))</f>
        <v>0.03</v>
      </c>
      <c r="AF124" s="51">
        <f>IF('Employee Master'!B124="","",AD124*(1+AE124))</f>
        <v>4635</v>
      </c>
      <c r="AG124" s="51">
        <f>IF('Employee Master'!B124="","",AF124-AD124)</f>
        <v>135</v>
      </c>
      <c r="AH124" s="51">
        <f>IF('Employee Master'!B124="","",AG124*12)</f>
        <v>1620</v>
      </c>
    </row>
    <row r="125" spans="1:34" ht="23.25" customHeight="1" x14ac:dyDescent="0.2">
      <c r="A125" s="27">
        <f>IF('Employee Master'!B125="","",ROW()-3)</f>
        <v>122</v>
      </c>
      <c r="B125" s="27" t="str">
        <f>IF('Employee Master'!B125="","",'Employee Master'!C125)</f>
        <v>Kanika.G</v>
      </c>
      <c r="C125" s="27" t="str">
        <f>IF('Employee Master'!B125="","",'Employee Master'!D125)</f>
        <v>Remote</v>
      </c>
      <c r="D125" s="27" t="str">
        <f>IF('Employee Master'!B125="","",'Employee Master'!E125)</f>
        <v>Sr. Associate</v>
      </c>
      <c r="E125" s="27" t="str">
        <f>IF('Employee Master'!B125="","",'Employee Master'!G125)</f>
        <v>Jasleen.D</v>
      </c>
      <c r="F125" s="51">
        <f>IF('Employee Master'!B125="","",'⑥ Annual Performance'!R125)</f>
        <v>12</v>
      </c>
      <c r="G125" s="103">
        <f>IF('Employee Master'!B125="","",'⑥ Annual Performance'!J125)</f>
        <v>1.2083333333333333E-2</v>
      </c>
      <c r="H125" s="104">
        <f>IF('Employee Master'!B125="","",IF(G125&gt;=0.85,15,IF(G125&gt;=0.7,12,IF(G125&gt;=0.55,9,IF(G125&gt;=0.4,6,3)))))</f>
        <v>3</v>
      </c>
      <c r="I125" s="103">
        <f>IF('Employee Master'!B125="","",'⑥ Annual Performance'!Q125)</f>
        <v>0</v>
      </c>
      <c r="J125" s="104">
        <f>IF('Employee Master'!B125="","",IF(I125&gt;=0.98,10,IF(I125&gt;=0.95,8,IF(I125&gt;=0.9,6,IF(I125&gt;=0.85,4,2)))))</f>
        <v>2</v>
      </c>
      <c r="K125" s="105">
        <f>IF('Employee Master'!B125="","",'⑥ Annual Performance'!N125)</f>
        <v>0</v>
      </c>
      <c r="L125" s="104">
        <f>IF('Employee Master'!B125="","",IF(K125&gt;=1000,10,IF(K125&gt;=750,8,IF(K125&gt;=500,6,IF(K125&gt;=250,4,2)))))</f>
        <v>2</v>
      </c>
      <c r="M125" s="105">
        <f>IF('Employee Master'!B125="","",'⑥ Annual Performance'!K125)</f>
        <v>2</v>
      </c>
      <c r="N125" s="106">
        <f>IF('Employee Master'!B125="","",'⑥ Annual Performance'!L125)</f>
        <v>3.5</v>
      </c>
      <c r="O125" s="104">
        <f>IF('Employee Master'!B125="","",MIN(N125*2,10))</f>
        <v>7</v>
      </c>
      <c r="P125" s="104">
        <f>IF('Employee Master'!B125="","",IF(F125&gt;=36,5,IF(F125&gt;=24,4,IF(F125&gt;=12,3,IF(F125&gt;=6,2,1)))))</f>
        <v>3</v>
      </c>
      <c r="Q125" s="104">
        <f>IF('Employee Master'!B125="","",IF(D125="Sr. Controller",10,IF(D125="Coo",10,IF(D125="Controller",9,IF(D125="Asst. Controller",8,IF(D125="Sr. Manager",8,IF(D125="Manager",7,IF(D125="Asst. Manager",6,IF(D125="Team Lead",7,IF(D125="Asst. Team Lead",5,IF(D125="Sr. Associate",4,IF(D125="Associate",3,IF(D125="Full Stack Developer",5,IF(D125="Project Manager (S/W)",6,IF(D125="Marketing",4,4)))))))))))))))</f>
        <v>4</v>
      </c>
      <c r="R125" s="107">
        <f>IF('Employee Master'!B125="","",H125+J125+L125+O125+P125+Q125)</f>
        <v>21</v>
      </c>
      <c r="S125" s="108">
        <f>IF('Employee Master'!B125="","",3)</f>
        <v>3</v>
      </c>
      <c r="T125" s="104">
        <f>IF('Employee Master'!B125="","",MIN(S125*2,10))</f>
        <v>6</v>
      </c>
      <c r="U125" s="108">
        <f>IF('Employee Master'!B125="","",3)</f>
        <v>3</v>
      </c>
      <c r="V125" s="104">
        <f>IF('Employee Master'!B125="","",MIN(U125*2,10))</f>
        <v>6</v>
      </c>
      <c r="W125" s="108">
        <f>IF('Employee Master'!B125="","",3)</f>
        <v>3</v>
      </c>
      <c r="X125" s="104">
        <f>IF('Employee Master'!B125="","",MIN(W125*2,10))</f>
        <v>6</v>
      </c>
      <c r="Y125" s="108">
        <f>IF('Employee Master'!B125="","",3)</f>
        <v>3</v>
      </c>
      <c r="Z125" s="104">
        <f>IF('Employee Master'!B125="","",MIN(Y125*2,10))</f>
        <v>6</v>
      </c>
      <c r="AA125" s="109">
        <f>IF('Employee Master'!B125="","",T125+V125+X125+Z125)</f>
        <v>24</v>
      </c>
      <c r="AB125" s="110">
        <f>IF('Employee Master'!B125="","",R125+AA125)</f>
        <v>45</v>
      </c>
      <c r="AC125" s="27" t="str">
        <f>IF('Employee Master'!B125="","",IF(AB125&gt;=85,"Exceptional",IF(AB125&gt;=70,"High Performer",IF(AB125&gt;=50,"Meets Expectations",IF(AB125&gt;=30,"Below Expectations","Underperformer")))))</f>
        <v>Below Expectations</v>
      </c>
      <c r="AD125" s="51">
        <f>IF('Employee Master'!B125="","",'Employee Master'!M125)</f>
        <v>4354</v>
      </c>
      <c r="AE125" s="52">
        <f>IF('Employee Master'!B125="","",IF(AB125&gt;=85,Settings!B31,IF(AB125&gt;=70,Settings!B32,IF(AB125&gt;=50,Settings!B33,IF(AB125&gt;=30,Settings!B34,Settings!B35)))))</f>
        <v>0.03</v>
      </c>
      <c r="AF125" s="51">
        <f>IF('Employee Master'!B125="","",AD125*(1+AE125))</f>
        <v>4484.62</v>
      </c>
      <c r="AG125" s="51">
        <f>IF('Employee Master'!B125="","",AF125-AD125)</f>
        <v>130.61999999999989</v>
      </c>
      <c r="AH125" s="51">
        <f>IF('Employee Master'!B125="","",AG125*12)</f>
        <v>1567.4399999999987</v>
      </c>
    </row>
    <row r="126" spans="1:34" ht="23.25" customHeight="1" x14ac:dyDescent="0.2">
      <c r="A126" s="27">
        <f>IF('Employee Master'!B126="","",ROW()-3)</f>
        <v>123</v>
      </c>
      <c r="B126" s="27" t="str">
        <f>IF('Employee Master'!B126="","",'Employee Master'!C126)</f>
        <v>Hema.S</v>
      </c>
      <c r="C126" s="27" t="str">
        <f>IF('Employee Master'!B126="","",'Employee Master'!D126)</f>
        <v>Remote</v>
      </c>
      <c r="D126" s="27" t="str">
        <f>IF('Employee Master'!B126="","",'Employee Master'!E126)</f>
        <v>Sr. Associate</v>
      </c>
      <c r="E126" s="27" t="str">
        <f>IF('Employee Master'!B126="","",'Employee Master'!G126)</f>
        <v>Ayushi</v>
      </c>
      <c r="F126" s="51">
        <f>IF('Employee Master'!B126="","",'⑥ Annual Performance'!R126)</f>
        <v>12</v>
      </c>
      <c r="G126" s="103">
        <f>IF('Employee Master'!B126="","",'⑥ Annual Performance'!J126)</f>
        <v>1.5625E-2</v>
      </c>
      <c r="H126" s="104">
        <f>IF('Employee Master'!B126="","",IF(G126&gt;=0.85,15,IF(G126&gt;=0.7,12,IF(G126&gt;=0.55,9,IF(G126&gt;=0.4,6,3)))))</f>
        <v>3</v>
      </c>
      <c r="I126" s="103">
        <f>IF('Employee Master'!B126="","",'⑥ Annual Performance'!Q126)</f>
        <v>0</v>
      </c>
      <c r="J126" s="104">
        <f>IF('Employee Master'!B126="","",IF(I126&gt;=0.98,10,IF(I126&gt;=0.95,8,IF(I126&gt;=0.9,6,IF(I126&gt;=0.85,4,2)))))</f>
        <v>2</v>
      </c>
      <c r="K126" s="105">
        <f>IF('Employee Master'!B126="","",'⑥ Annual Performance'!N126)</f>
        <v>0</v>
      </c>
      <c r="L126" s="104">
        <f>IF('Employee Master'!B126="","",IF(K126&gt;=1000,10,IF(K126&gt;=750,8,IF(K126&gt;=500,6,IF(K126&gt;=250,4,2)))))</f>
        <v>2</v>
      </c>
      <c r="M126" s="105">
        <f>IF('Employee Master'!B126="","",'⑥ Annual Performance'!K126)</f>
        <v>2</v>
      </c>
      <c r="N126" s="106">
        <f>IF('Employee Master'!B126="","",'⑥ Annual Performance'!L126)</f>
        <v>3.5</v>
      </c>
      <c r="O126" s="104">
        <f>IF('Employee Master'!B126="","",MIN(N126*2,10))</f>
        <v>7</v>
      </c>
      <c r="P126" s="104">
        <f>IF('Employee Master'!B126="","",IF(F126&gt;=36,5,IF(F126&gt;=24,4,IF(F126&gt;=12,3,IF(F126&gt;=6,2,1)))))</f>
        <v>3</v>
      </c>
      <c r="Q126" s="104">
        <f>IF('Employee Master'!B126="","",IF(D126="Sr. Controller",10,IF(D126="Coo",10,IF(D126="Controller",9,IF(D126="Asst. Controller",8,IF(D126="Sr. Manager",8,IF(D126="Manager",7,IF(D126="Asst. Manager",6,IF(D126="Team Lead",7,IF(D126="Asst. Team Lead",5,IF(D126="Sr. Associate",4,IF(D126="Associate",3,IF(D126="Full Stack Developer",5,IF(D126="Project Manager (S/W)",6,IF(D126="Marketing",4,4)))))))))))))))</f>
        <v>4</v>
      </c>
      <c r="R126" s="107">
        <f>IF('Employee Master'!B126="","",H126+J126+L126+O126+P126+Q126)</f>
        <v>21</v>
      </c>
      <c r="S126" s="108">
        <f>IF('Employee Master'!B126="","",3)</f>
        <v>3</v>
      </c>
      <c r="T126" s="104">
        <f>IF('Employee Master'!B126="","",MIN(S126*2,10))</f>
        <v>6</v>
      </c>
      <c r="U126" s="108">
        <f>IF('Employee Master'!B126="","",3)</f>
        <v>3</v>
      </c>
      <c r="V126" s="104">
        <f>IF('Employee Master'!B126="","",MIN(U126*2,10))</f>
        <v>6</v>
      </c>
      <c r="W126" s="108">
        <f>IF('Employee Master'!B126="","",3)</f>
        <v>3</v>
      </c>
      <c r="X126" s="104">
        <f>IF('Employee Master'!B126="","",MIN(W126*2,10))</f>
        <v>6</v>
      </c>
      <c r="Y126" s="108">
        <f>IF('Employee Master'!B126="","",3)</f>
        <v>3</v>
      </c>
      <c r="Z126" s="104">
        <f>IF('Employee Master'!B126="","",MIN(Y126*2,10))</f>
        <v>6</v>
      </c>
      <c r="AA126" s="109">
        <f>IF('Employee Master'!B126="","",T126+V126+X126+Z126)</f>
        <v>24</v>
      </c>
      <c r="AB126" s="110">
        <f>IF('Employee Master'!B126="","",R126+AA126)</f>
        <v>45</v>
      </c>
      <c r="AC126" s="27" t="str">
        <f>IF('Employee Master'!B126="","",IF(AB126&gt;=85,"Exceptional",IF(AB126&gt;=70,"High Performer",IF(AB126&gt;=50,"Meets Expectations",IF(AB126&gt;=30,"Below Expectations","Underperformer")))))</f>
        <v>Below Expectations</v>
      </c>
      <c r="AD126" s="51">
        <f>IF('Employee Master'!B126="","",'Employee Master'!M126)</f>
        <v>0</v>
      </c>
      <c r="AE126" s="52">
        <f>IF('Employee Master'!B126="","",IF(AB126&gt;=85,Settings!B31,IF(AB126&gt;=70,Settings!B32,IF(AB126&gt;=50,Settings!B33,IF(AB126&gt;=30,Settings!B34,Settings!B35)))))</f>
        <v>0.03</v>
      </c>
      <c r="AF126" s="51">
        <f>IF('Employee Master'!B126="","",AD126*(1+AE126))</f>
        <v>0</v>
      </c>
      <c r="AG126" s="51">
        <f>IF('Employee Master'!B126="","",AF126-AD126)</f>
        <v>0</v>
      </c>
      <c r="AH126" s="51">
        <f>IF('Employee Master'!B126="","",AG126*12)</f>
        <v>0</v>
      </c>
    </row>
    <row r="127" spans="1:34" ht="23.25" customHeight="1" x14ac:dyDescent="0.2">
      <c r="A127" s="27">
        <f>IF('Employee Master'!B127="","",ROW()-3)</f>
        <v>124</v>
      </c>
      <c r="B127" s="27" t="str">
        <f>IF('Employee Master'!B127="","",'Employee Master'!C127)</f>
        <v>Binny.S</v>
      </c>
      <c r="C127" s="27" t="str">
        <f>IF('Employee Master'!B127="","",'Employee Master'!D127)</f>
        <v>In-house</v>
      </c>
      <c r="D127" s="27" t="str">
        <f>IF('Employee Master'!B127="","",'Employee Master'!E127)</f>
        <v>Asst. Team Lead</v>
      </c>
      <c r="E127" s="27" t="str">
        <f>IF('Employee Master'!B127="","",'Employee Master'!G127)</f>
        <v>Nikita Shah</v>
      </c>
      <c r="F127" s="51">
        <f>IF('Employee Master'!B127="","",'⑥ Annual Performance'!R127)</f>
        <v>12</v>
      </c>
      <c r="G127" s="103">
        <f>IF('Employee Master'!B127="","",'⑥ Annual Performance'!J127)</f>
        <v>0</v>
      </c>
      <c r="H127" s="104">
        <f>IF('Employee Master'!B127="","",IF(G127&gt;=0.85,15,IF(G127&gt;=0.7,12,IF(G127&gt;=0.55,9,IF(G127&gt;=0.4,6,3)))))</f>
        <v>3</v>
      </c>
      <c r="I127" s="103">
        <f>IF('Employee Master'!B127="","",'⑥ Annual Performance'!Q127)</f>
        <v>0</v>
      </c>
      <c r="J127" s="104">
        <f>IF('Employee Master'!B127="","",IF(I127&gt;=0.98,10,IF(I127&gt;=0.95,8,IF(I127&gt;=0.9,6,IF(I127&gt;=0.85,4,2)))))</f>
        <v>2</v>
      </c>
      <c r="K127" s="105">
        <f>IF('Employee Master'!B127="","",'⑥ Annual Performance'!N127)</f>
        <v>0</v>
      </c>
      <c r="L127" s="104">
        <f>IF('Employee Master'!B127="","",IF(K127&gt;=1000,10,IF(K127&gt;=750,8,IF(K127&gt;=500,6,IF(K127&gt;=250,4,2)))))</f>
        <v>2</v>
      </c>
      <c r="M127" s="105">
        <f>IF('Employee Master'!B127="","",'⑥ Annual Performance'!K127)</f>
        <v>0</v>
      </c>
      <c r="N127" s="106">
        <f>IF('Employee Master'!B127="","",'⑥ Annual Performance'!L127)</f>
        <v>3.5</v>
      </c>
      <c r="O127" s="104">
        <f>IF('Employee Master'!B127="","",MIN(N127*2,10))</f>
        <v>7</v>
      </c>
      <c r="P127" s="104">
        <f>IF('Employee Master'!B127="","",IF(F127&gt;=36,5,IF(F127&gt;=24,4,IF(F127&gt;=12,3,IF(F127&gt;=6,2,1)))))</f>
        <v>3</v>
      </c>
      <c r="Q127" s="104">
        <f>IF('Employee Master'!B127="","",IF(D127="Sr. Controller",10,IF(D127="Coo",10,IF(D127="Controller",9,IF(D127="Asst. Controller",8,IF(D127="Sr. Manager",8,IF(D127="Manager",7,IF(D127="Asst. Manager",6,IF(D127="Team Lead",7,IF(D127="Asst. Team Lead",5,IF(D127="Sr. Associate",4,IF(D127="Associate",3,IF(D127="Full Stack Developer",5,IF(D127="Project Manager (S/W)",6,IF(D127="Marketing",4,4)))))))))))))))</f>
        <v>5</v>
      </c>
      <c r="R127" s="107">
        <f>IF('Employee Master'!B127="","",H127+J127+L127+O127+P127+Q127)</f>
        <v>22</v>
      </c>
      <c r="S127" s="108">
        <f>IF('Employee Master'!B127="","",3)</f>
        <v>3</v>
      </c>
      <c r="T127" s="104">
        <f>IF('Employee Master'!B127="","",MIN(S127*2,10))</f>
        <v>6</v>
      </c>
      <c r="U127" s="108">
        <f>IF('Employee Master'!B127="","",3)</f>
        <v>3</v>
      </c>
      <c r="V127" s="104">
        <f>IF('Employee Master'!B127="","",MIN(U127*2,10))</f>
        <v>6</v>
      </c>
      <c r="W127" s="108">
        <f>IF('Employee Master'!B127="","",3)</f>
        <v>3</v>
      </c>
      <c r="X127" s="104">
        <f>IF('Employee Master'!B127="","",MIN(W127*2,10))</f>
        <v>6</v>
      </c>
      <c r="Y127" s="108">
        <f>IF('Employee Master'!B127="","",3)</f>
        <v>3</v>
      </c>
      <c r="Z127" s="104">
        <f>IF('Employee Master'!B127="","",MIN(Y127*2,10))</f>
        <v>6</v>
      </c>
      <c r="AA127" s="109">
        <f>IF('Employee Master'!B127="","",T127+V127+X127+Z127)</f>
        <v>24</v>
      </c>
      <c r="AB127" s="110">
        <f>IF('Employee Master'!B127="","",R127+AA127)</f>
        <v>46</v>
      </c>
      <c r="AC127" s="27" t="str">
        <f>IF('Employee Master'!B127="","",IF(AB127&gt;=85,"Exceptional",IF(AB127&gt;=70,"High Performer",IF(AB127&gt;=50,"Meets Expectations",IF(AB127&gt;=30,"Below Expectations","Underperformer")))))</f>
        <v>Below Expectations</v>
      </c>
      <c r="AD127" s="51">
        <f>IF('Employee Master'!B127="","",'Employee Master'!M127)</f>
        <v>0</v>
      </c>
      <c r="AE127" s="52">
        <f>IF('Employee Master'!B127="","",IF(AB127&gt;=85,Settings!B31,IF(AB127&gt;=70,Settings!B32,IF(AB127&gt;=50,Settings!B33,IF(AB127&gt;=30,Settings!B34,Settings!B35)))))</f>
        <v>0.03</v>
      </c>
      <c r="AF127" s="51">
        <f>IF('Employee Master'!B127="","",AD127*(1+AE127))</f>
        <v>0</v>
      </c>
      <c r="AG127" s="51">
        <f>IF('Employee Master'!B127="","",AF127-AD127)</f>
        <v>0</v>
      </c>
      <c r="AH127" s="51">
        <f>IF('Employee Master'!B127="","",AG127*12)</f>
        <v>0</v>
      </c>
    </row>
    <row r="128" spans="1:34" ht="23.25" customHeight="1" x14ac:dyDescent="0.2">
      <c r="A128" s="27">
        <f>IF('Employee Master'!B128="","",ROW()-3)</f>
        <v>125</v>
      </c>
      <c r="B128" s="27" t="str">
        <f>IF('Employee Master'!B128="","",'Employee Master'!C128)</f>
        <v>Shivani.S</v>
      </c>
      <c r="C128" s="27" t="str">
        <f>IF('Employee Master'!B128="","",'Employee Master'!D128)</f>
        <v>In-house</v>
      </c>
      <c r="D128" s="27" t="str">
        <f>IF('Employee Master'!B128="","",'Employee Master'!E128)</f>
        <v>Asst. Team Lead</v>
      </c>
      <c r="E128" s="27" t="str">
        <f>IF('Employee Master'!B128="","",'Employee Master'!G128)</f>
        <v>Ayushi</v>
      </c>
      <c r="F128" s="51">
        <f>IF('Employee Master'!B128="","",'⑥ Annual Performance'!R128)</f>
        <v>12</v>
      </c>
      <c r="G128" s="103">
        <f>IF('Employee Master'!B128="","",'⑥ Annual Performance'!J128)</f>
        <v>9.3749999999999997E-3</v>
      </c>
      <c r="H128" s="104">
        <f>IF('Employee Master'!B128="","",IF(G128&gt;=0.85,15,IF(G128&gt;=0.7,12,IF(G128&gt;=0.55,9,IF(G128&gt;=0.4,6,3)))))</f>
        <v>3</v>
      </c>
      <c r="I128" s="103">
        <f>IF('Employee Master'!B128="","",'⑥ Annual Performance'!Q128)</f>
        <v>0</v>
      </c>
      <c r="J128" s="104">
        <f>IF('Employee Master'!B128="","",IF(I128&gt;=0.98,10,IF(I128&gt;=0.95,8,IF(I128&gt;=0.9,6,IF(I128&gt;=0.85,4,2)))))</f>
        <v>2</v>
      </c>
      <c r="K128" s="105">
        <f>IF('Employee Master'!B128="","",'⑥ Annual Performance'!N128)</f>
        <v>0</v>
      </c>
      <c r="L128" s="104">
        <f>IF('Employee Master'!B128="","",IF(K128&gt;=1000,10,IF(K128&gt;=750,8,IF(K128&gt;=500,6,IF(K128&gt;=250,4,2)))))</f>
        <v>2</v>
      </c>
      <c r="M128" s="105">
        <f>IF('Employee Master'!B128="","",'⑥ Annual Performance'!K128)</f>
        <v>1</v>
      </c>
      <c r="N128" s="106">
        <f>IF('Employee Master'!B128="","",'⑥ Annual Performance'!L128)</f>
        <v>3.5</v>
      </c>
      <c r="O128" s="104">
        <f>IF('Employee Master'!B128="","",MIN(N128*2,10))</f>
        <v>7</v>
      </c>
      <c r="P128" s="104">
        <f>IF('Employee Master'!B128="","",IF(F128&gt;=36,5,IF(F128&gt;=24,4,IF(F128&gt;=12,3,IF(F128&gt;=6,2,1)))))</f>
        <v>3</v>
      </c>
      <c r="Q128" s="104">
        <f>IF('Employee Master'!B128="","",IF(D128="Sr. Controller",10,IF(D128="Coo",10,IF(D128="Controller",9,IF(D128="Asst. Controller",8,IF(D128="Sr. Manager",8,IF(D128="Manager",7,IF(D128="Asst. Manager",6,IF(D128="Team Lead",7,IF(D128="Asst. Team Lead",5,IF(D128="Sr. Associate",4,IF(D128="Associate",3,IF(D128="Full Stack Developer",5,IF(D128="Project Manager (S/W)",6,IF(D128="Marketing",4,4)))))))))))))))</f>
        <v>5</v>
      </c>
      <c r="R128" s="107">
        <f>IF('Employee Master'!B128="","",H128+J128+L128+O128+P128+Q128)</f>
        <v>22</v>
      </c>
      <c r="S128" s="108">
        <f>IF('Employee Master'!B128="","",3)</f>
        <v>3</v>
      </c>
      <c r="T128" s="104">
        <f>IF('Employee Master'!B128="","",MIN(S128*2,10))</f>
        <v>6</v>
      </c>
      <c r="U128" s="108">
        <f>IF('Employee Master'!B128="","",3)</f>
        <v>3</v>
      </c>
      <c r="V128" s="104">
        <f>IF('Employee Master'!B128="","",MIN(U128*2,10))</f>
        <v>6</v>
      </c>
      <c r="W128" s="108">
        <f>IF('Employee Master'!B128="","",3)</f>
        <v>3</v>
      </c>
      <c r="X128" s="104">
        <f>IF('Employee Master'!B128="","",MIN(W128*2,10))</f>
        <v>6</v>
      </c>
      <c r="Y128" s="108">
        <f>IF('Employee Master'!B128="","",3)</f>
        <v>3</v>
      </c>
      <c r="Z128" s="104">
        <f>IF('Employee Master'!B128="","",MIN(Y128*2,10))</f>
        <v>6</v>
      </c>
      <c r="AA128" s="109">
        <f>IF('Employee Master'!B128="","",T128+V128+X128+Z128)</f>
        <v>24</v>
      </c>
      <c r="AB128" s="110">
        <f>IF('Employee Master'!B128="","",R128+AA128)</f>
        <v>46</v>
      </c>
      <c r="AC128" s="27" t="str">
        <f>IF('Employee Master'!B128="","",IF(AB128&gt;=85,"Exceptional",IF(AB128&gt;=70,"High Performer",IF(AB128&gt;=50,"Meets Expectations",IF(AB128&gt;=30,"Below Expectations","Underperformer")))))</f>
        <v>Below Expectations</v>
      </c>
      <c r="AD128" s="51">
        <f>IF('Employee Master'!B128="","",'Employee Master'!M128)</f>
        <v>0</v>
      </c>
      <c r="AE128" s="52">
        <f>IF('Employee Master'!B128="","",IF(AB128&gt;=85,Settings!B31,IF(AB128&gt;=70,Settings!B32,IF(AB128&gt;=50,Settings!B33,IF(AB128&gt;=30,Settings!B34,Settings!B35)))))</f>
        <v>0.03</v>
      </c>
      <c r="AF128" s="51">
        <f>IF('Employee Master'!B128="","",AD128*(1+AE128))</f>
        <v>0</v>
      </c>
      <c r="AG128" s="51">
        <f>IF('Employee Master'!B128="","",AF128-AD128)</f>
        <v>0</v>
      </c>
      <c r="AH128" s="51">
        <f>IF('Employee Master'!B128="","",AG128*12)</f>
        <v>0</v>
      </c>
    </row>
    <row r="129" spans="1:34" ht="23.25" customHeight="1" x14ac:dyDescent="0.2">
      <c r="A129" s="27">
        <f>IF('Employee Master'!B129="","",ROW()-3)</f>
        <v>126</v>
      </c>
      <c r="B129" s="27" t="str">
        <f>IF('Employee Master'!B129="","",'Employee Master'!C129)</f>
        <v>Nikunj.K</v>
      </c>
      <c r="C129" s="27" t="str">
        <f>IF('Employee Master'!B129="","",'Employee Master'!D129)</f>
        <v>Remote</v>
      </c>
      <c r="D129" s="27" t="str">
        <f>IF('Employee Master'!B129="","",'Employee Master'!E129)</f>
        <v>Full Stack Developer</v>
      </c>
      <c r="E129" s="27" t="str">
        <f>IF('Employee Master'!B129="","",'Employee Master'!G129)</f>
        <v>Akhilesh Sirvi</v>
      </c>
      <c r="F129" s="51">
        <f>IF('Employee Master'!B129="","",'⑥ Annual Performance'!R129)</f>
        <v>12</v>
      </c>
      <c r="G129" s="103">
        <f>IF('Employee Master'!B129="","",'⑥ Annual Performance'!J129)</f>
        <v>0</v>
      </c>
      <c r="H129" s="104">
        <f>IF('Employee Master'!B129="","",IF(G129&gt;=0.85,15,IF(G129&gt;=0.7,12,IF(G129&gt;=0.55,9,IF(G129&gt;=0.4,6,3)))))</f>
        <v>3</v>
      </c>
      <c r="I129" s="103">
        <f>IF('Employee Master'!B129="","",'⑥ Annual Performance'!Q129)</f>
        <v>0</v>
      </c>
      <c r="J129" s="104">
        <f>IF('Employee Master'!B129="","",IF(I129&gt;=0.98,10,IF(I129&gt;=0.95,8,IF(I129&gt;=0.9,6,IF(I129&gt;=0.85,4,2)))))</f>
        <v>2</v>
      </c>
      <c r="K129" s="105">
        <f>IF('Employee Master'!B129="","",'⑥ Annual Performance'!N129)</f>
        <v>0</v>
      </c>
      <c r="L129" s="104">
        <f>IF('Employee Master'!B129="","",IF(K129&gt;=1000,10,IF(K129&gt;=750,8,IF(K129&gt;=500,6,IF(K129&gt;=250,4,2)))))</f>
        <v>2</v>
      </c>
      <c r="M129" s="105">
        <f>IF('Employee Master'!B129="","",'⑥ Annual Performance'!K129)</f>
        <v>0</v>
      </c>
      <c r="N129" s="106">
        <f>IF('Employee Master'!B129="","",'⑥ Annual Performance'!L129)</f>
        <v>3.5</v>
      </c>
      <c r="O129" s="104">
        <f>IF('Employee Master'!B129="","",MIN(N129*2,10))</f>
        <v>7</v>
      </c>
      <c r="P129" s="104">
        <f>IF('Employee Master'!B129="","",IF(F129&gt;=36,5,IF(F129&gt;=24,4,IF(F129&gt;=12,3,IF(F129&gt;=6,2,1)))))</f>
        <v>3</v>
      </c>
      <c r="Q129" s="104">
        <f>IF('Employee Master'!B129="","",IF(D129="Sr. Controller",10,IF(D129="Coo",10,IF(D129="Controller",9,IF(D129="Asst. Controller",8,IF(D129="Sr. Manager",8,IF(D129="Manager",7,IF(D129="Asst. Manager",6,IF(D129="Team Lead",7,IF(D129="Asst. Team Lead",5,IF(D129="Sr. Associate",4,IF(D129="Associate",3,IF(D129="Full Stack Developer",5,IF(D129="Project Manager (S/W)",6,IF(D129="Marketing",4,4)))))))))))))))</f>
        <v>5</v>
      </c>
      <c r="R129" s="107">
        <f>IF('Employee Master'!B129="","",H129+J129+L129+O129+P129+Q129)</f>
        <v>22</v>
      </c>
      <c r="S129" s="108">
        <f>IF('Employee Master'!B129="","",3)</f>
        <v>3</v>
      </c>
      <c r="T129" s="104">
        <f>IF('Employee Master'!B129="","",MIN(S129*2,10))</f>
        <v>6</v>
      </c>
      <c r="U129" s="108">
        <f>IF('Employee Master'!B129="","",3)</f>
        <v>3</v>
      </c>
      <c r="V129" s="104">
        <f>IF('Employee Master'!B129="","",MIN(U129*2,10))</f>
        <v>6</v>
      </c>
      <c r="W129" s="108">
        <f>IF('Employee Master'!B129="","",3)</f>
        <v>3</v>
      </c>
      <c r="X129" s="104">
        <f>IF('Employee Master'!B129="","",MIN(W129*2,10))</f>
        <v>6</v>
      </c>
      <c r="Y129" s="108">
        <f>IF('Employee Master'!B129="","",3)</f>
        <v>3</v>
      </c>
      <c r="Z129" s="104">
        <f>IF('Employee Master'!B129="","",MIN(Y129*2,10))</f>
        <v>6</v>
      </c>
      <c r="AA129" s="109">
        <f>IF('Employee Master'!B129="","",T129+V129+X129+Z129)</f>
        <v>24</v>
      </c>
      <c r="AB129" s="110">
        <f>IF('Employee Master'!B129="","",R129+AA129)</f>
        <v>46</v>
      </c>
      <c r="AC129" s="27" t="str">
        <f>IF('Employee Master'!B129="","",IF(AB129&gt;=85,"Exceptional",IF(AB129&gt;=70,"High Performer",IF(AB129&gt;=50,"Meets Expectations",IF(AB129&gt;=30,"Below Expectations","Underperformer")))))</f>
        <v>Below Expectations</v>
      </c>
      <c r="AD129" s="51">
        <f>IF('Employee Master'!B129="","",'Employee Master'!M129)</f>
        <v>0</v>
      </c>
      <c r="AE129" s="52">
        <f>IF('Employee Master'!B129="","",IF(AB129&gt;=85,Settings!B31,IF(AB129&gt;=70,Settings!B32,IF(AB129&gt;=50,Settings!B33,IF(AB129&gt;=30,Settings!B34,Settings!B35)))))</f>
        <v>0.03</v>
      </c>
      <c r="AF129" s="51">
        <f>IF('Employee Master'!B129="","",AD129*(1+AE129))</f>
        <v>0</v>
      </c>
      <c r="AG129" s="51">
        <f>IF('Employee Master'!B129="","",AF129-AD129)</f>
        <v>0</v>
      </c>
      <c r="AH129" s="51">
        <f>IF('Employee Master'!B129="","",AG129*12)</f>
        <v>0</v>
      </c>
    </row>
    <row r="130" spans="1:34" ht="23.25" customHeight="1" x14ac:dyDescent="0.2">
      <c r="A130" s="27">
        <f>IF('Employee Master'!B130="","",ROW()-3)</f>
        <v>127</v>
      </c>
      <c r="B130" s="27" t="str">
        <f>IF('Employee Master'!B130="","",'Employee Master'!C130)</f>
        <v>Alisha.A</v>
      </c>
      <c r="C130" s="27" t="str">
        <f>IF('Employee Master'!B130="","",'Employee Master'!D130)</f>
        <v>Remote</v>
      </c>
      <c r="D130" s="27" t="str">
        <f>IF('Employee Master'!B130="","",'Employee Master'!E130)</f>
        <v>Asst. Team Lead</v>
      </c>
      <c r="E130" s="27" t="str">
        <f>IF('Employee Master'!B130="","",'Employee Master'!G130)</f>
        <v>Jasleen.D</v>
      </c>
      <c r="F130" s="51">
        <f>IF('Employee Master'!B130="","",'⑥ Annual Performance'!R130)</f>
        <v>12</v>
      </c>
      <c r="G130" s="103">
        <f>IF('Employee Master'!B130="","",'⑥ Annual Performance'!J130)</f>
        <v>0</v>
      </c>
      <c r="H130" s="104">
        <f>IF('Employee Master'!B130="","",IF(G130&gt;=0.85,15,IF(G130&gt;=0.7,12,IF(G130&gt;=0.55,9,IF(G130&gt;=0.4,6,3)))))</f>
        <v>3</v>
      </c>
      <c r="I130" s="103">
        <f>IF('Employee Master'!B130="","",'⑥ Annual Performance'!Q130)</f>
        <v>0</v>
      </c>
      <c r="J130" s="104">
        <f>IF('Employee Master'!B130="","",IF(I130&gt;=0.98,10,IF(I130&gt;=0.95,8,IF(I130&gt;=0.9,6,IF(I130&gt;=0.85,4,2)))))</f>
        <v>2</v>
      </c>
      <c r="K130" s="105">
        <f>IF('Employee Master'!B130="","",'⑥ Annual Performance'!N130)</f>
        <v>0</v>
      </c>
      <c r="L130" s="104">
        <f>IF('Employee Master'!B130="","",IF(K130&gt;=1000,10,IF(K130&gt;=750,8,IF(K130&gt;=500,6,IF(K130&gt;=250,4,2)))))</f>
        <v>2</v>
      </c>
      <c r="M130" s="105">
        <f>IF('Employee Master'!B130="","",'⑥ Annual Performance'!K130)</f>
        <v>0</v>
      </c>
      <c r="N130" s="106">
        <f>IF('Employee Master'!B130="","",'⑥ Annual Performance'!L130)</f>
        <v>3.5</v>
      </c>
      <c r="O130" s="104">
        <f>IF('Employee Master'!B130="","",MIN(N130*2,10))</f>
        <v>7</v>
      </c>
      <c r="P130" s="104">
        <f>IF('Employee Master'!B130="","",IF(F130&gt;=36,5,IF(F130&gt;=24,4,IF(F130&gt;=12,3,IF(F130&gt;=6,2,1)))))</f>
        <v>3</v>
      </c>
      <c r="Q130" s="104">
        <f>IF('Employee Master'!B130="","",IF(D130="Sr. Controller",10,IF(D130="Coo",10,IF(D130="Controller",9,IF(D130="Asst. Controller",8,IF(D130="Sr. Manager",8,IF(D130="Manager",7,IF(D130="Asst. Manager",6,IF(D130="Team Lead",7,IF(D130="Asst. Team Lead",5,IF(D130="Sr. Associate",4,IF(D130="Associate",3,IF(D130="Full Stack Developer",5,IF(D130="Project Manager (S/W)",6,IF(D130="Marketing",4,4)))))))))))))))</f>
        <v>5</v>
      </c>
      <c r="R130" s="107">
        <f>IF('Employee Master'!B130="","",H130+J130+L130+O130+P130+Q130)</f>
        <v>22</v>
      </c>
      <c r="S130" s="108">
        <f>IF('Employee Master'!B130="","",3)</f>
        <v>3</v>
      </c>
      <c r="T130" s="104">
        <f>IF('Employee Master'!B130="","",MIN(S130*2,10))</f>
        <v>6</v>
      </c>
      <c r="U130" s="108">
        <f>IF('Employee Master'!B130="","",3)</f>
        <v>3</v>
      </c>
      <c r="V130" s="104">
        <f>IF('Employee Master'!B130="","",MIN(U130*2,10))</f>
        <v>6</v>
      </c>
      <c r="W130" s="108">
        <f>IF('Employee Master'!B130="","",3)</f>
        <v>3</v>
      </c>
      <c r="X130" s="104">
        <f>IF('Employee Master'!B130="","",MIN(W130*2,10))</f>
        <v>6</v>
      </c>
      <c r="Y130" s="108">
        <f>IF('Employee Master'!B130="","",3)</f>
        <v>3</v>
      </c>
      <c r="Z130" s="104">
        <f>IF('Employee Master'!B130="","",MIN(Y130*2,10))</f>
        <v>6</v>
      </c>
      <c r="AA130" s="109">
        <f>IF('Employee Master'!B130="","",T130+V130+X130+Z130)</f>
        <v>24</v>
      </c>
      <c r="AB130" s="110">
        <f>IF('Employee Master'!B130="","",R130+AA130)</f>
        <v>46</v>
      </c>
      <c r="AC130" s="27" t="str">
        <f>IF('Employee Master'!B130="","",IF(AB130&gt;=85,"Exceptional",IF(AB130&gt;=70,"High Performer",IF(AB130&gt;=50,"Meets Expectations",IF(AB130&gt;=30,"Below Expectations","Underperformer")))))</f>
        <v>Below Expectations</v>
      </c>
      <c r="AD130" s="51">
        <f>IF('Employee Master'!B130="","",'Employee Master'!M130)</f>
        <v>0</v>
      </c>
      <c r="AE130" s="52">
        <f>IF('Employee Master'!B130="","",IF(AB130&gt;=85,Settings!B31,IF(AB130&gt;=70,Settings!B32,IF(AB130&gt;=50,Settings!B33,IF(AB130&gt;=30,Settings!B34,Settings!B35)))))</f>
        <v>0.03</v>
      </c>
      <c r="AF130" s="51">
        <f>IF('Employee Master'!B130="","",AD130*(1+AE130))</f>
        <v>0</v>
      </c>
      <c r="AG130" s="51">
        <f>IF('Employee Master'!B130="","",AF130-AD130)</f>
        <v>0</v>
      </c>
      <c r="AH130" s="51">
        <f>IF('Employee Master'!B130="","",AG130*12)</f>
        <v>0</v>
      </c>
    </row>
    <row r="131" spans="1:34" ht="23.25" customHeight="1" x14ac:dyDescent="0.2">
      <c r="A131" s="27">
        <f>IF('Employee Master'!B131="","",ROW()-3)</f>
        <v>128</v>
      </c>
      <c r="B131" s="27" t="str">
        <f>IF('Employee Master'!B131="","",'Employee Master'!C131)</f>
        <v>Tavishi.S</v>
      </c>
      <c r="C131" s="27" t="str">
        <f>IF('Employee Master'!B131="","",'Employee Master'!D131)</f>
        <v>Remote</v>
      </c>
      <c r="D131" s="27" t="str">
        <f>IF('Employee Master'!B131="","",'Employee Master'!E131)</f>
        <v>Sr. Associate</v>
      </c>
      <c r="E131" s="27" t="str">
        <f>IF('Employee Master'!B131="","",'Employee Master'!G131)</f>
        <v>Nikita Shah</v>
      </c>
      <c r="F131" s="51">
        <f>IF('Employee Master'!B131="","",'⑥ Annual Performance'!R131)</f>
        <v>12</v>
      </c>
      <c r="G131" s="103">
        <f>IF('Employee Master'!B131="","",'⑥ Annual Performance'!J131)</f>
        <v>0</v>
      </c>
      <c r="H131" s="104">
        <f>IF('Employee Master'!B131="","",IF(G131&gt;=0.85,15,IF(G131&gt;=0.7,12,IF(G131&gt;=0.55,9,IF(G131&gt;=0.4,6,3)))))</f>
        <v>3</v>
      </c>
      <c r="I131" s="103">
        <f>IF('Employee Master'!B131="","",'⑥ Annual Performance'!Q131)</f>
        <v>0</v>
      </c>
      <c r="J131" s="104">
        <f>IF('Employee Master'!B131="","",IF(I131&gt;=0.98,10,IF(I131&gt;=0.95,8,IF(I131&gt;=0.9,6,IF(I131&gt;=0.85,4,2)))))</f>
        <v>2</v>
      </c>
      <c r="K131" s="105">
        <f>IF('Employee Master'!B131="","",'⑥ Annual Performance'!N131)</f>
        <v>0</v>
      </c>
      <c r="L131" s="104">
        <f>IF('Employee Master'!B131="","",IF(K131&gt;=1000,10,IF(K131&gt;=750,8,IF(K131&gt;=500,6,IF(K131&gt;=250,4,2)))))</f>
        <v>2</v>
      </c>
      <c r="M131" s="105">
        <f>IF('Employee Master'!B131="","",'⑥ Annual Performance'!K131)</f>
        <v>0</v>
      </c>
      <c r="N131" s="106">
        <f>IF('Employee Master'!B131="","",'⑥ Annual Performance'!L131)</f>
        <v>3.5</v>
      </c>
      <c r="O131" s="104">
        <f>IF('Employee Master'!B131="","",MIN(N131*2,10))</f>
        <v>7</v>
      </c>
      <c r="P131" s="104">
        <f>IF('Employee Master'!B131="","",IF(F131&gt;=36,5,IF(F131&gt;=24,4,IF(F131&gt;=12,3,IF(F131&gt;=6,2,1)))))</f>
        <v>3</v>
      </c>
      <c r="Q131" s="104">
        <f>IF('Employee Master'!B131="","",IF(D131="Sr. Controller",10,IF(D131="Coo",10,IF(D131="Controller",9,IF(D131="Asst. Controller",8,IF(D131="Sr. Manager",8,IF(D131="Manager",7,IF(D131="Asst. Manager",6,IF(D131="Team Lead",7,IF(D131="Asst. Team Lead",5,IF(D131="Sr. Associate",4,IF(D131="Associate",3,IF(D131="Full Stack Developer",5,IF(D131="Project Manager (S/W)",6,IF(D131="Marketing",4,4)))))))))))))))</f>
        <v>4</v>
      </c>
      <c r="R131" s="107">
        <f>IF('Employee Master'!B131="","",H131+J131+L131+O131+P131+Q131)</f>
        <v>21</v>
      </c>
      <c r="S131" s="108">
        <f>IF('Employee Master'!B131="","",3)</f>
        <v>3</v>
      </c>
      <c r="T131" s="104">
        <f>IF('Employee Master'!B131="","",MIN(S131*2,10))</f>
        <v>6</v>
      </c>
      <c r="U131" s="108">
        <f>IF('Employee Master'!B131="","",3)</f>
        <v>3</v>
      </c>
      <c r="V131" s="104">
        <f>IF('Employee Master'!B131="","",MIN(U131*2,10))</f>
        <v>6</v>
      </c>
      <c r="W131" s="108">
        <f>IF('Employee Master'!B131="","",3)</f>
        <v>3</v>
      </c>
      <c r="X131" s="104">
        <f>IF('Employee Master'!B131="","",MIN(W131*2,10))</f>
        <v>6</v>
      </c>
      <c r="Y131" s="108">
        <f>IF('Employee Master'!B131="","",3)</f>
        <v>3</v>
      </c>
      <c r="Z131" s="104">
        <f>IF('Employee Master'!B131="","",MIN(Y131*2,10))</f>
        <v>6</v>
      </c>
      <c r="AA131" s="109">
        <f>IF('Employee Master'!B131="","",T131+V131+X131+Z131)</f>
        <v>24</v>
      </c>
      <c r="AB131" s="110">
        <f>IF('Employee Master'!B131="","",R131+AA131)</f>
        <v>45</v>
      </c>
      <c r="AC131" s="27" t="str">
        <f>IF('Employee Master'!B131="","",IF(AB131&gt;=85,"Exceptional",IF(AB131&gt;=70,"High Performer",IF(AB131&gt;=50,"Meets Expectations",IF(AB131&gt;=30,"Below Expectations","Underperformer")))))</f>
        <v>Below Expectations</v>
      </c>
      <c r="AD131" s="51">
        <f>IF('Employee Master'!B131="","",'Employee Master'!M131)</f>
        <v>0</v>
      </c>
      <c r="AE131" s="52">
        <f>IF('Employee Master'!B131="","",IF(AB131&gt;=85,Settings!B31,IF(AB131&gt;=70,Settings!B32,IF(AB131&gt;=50,Settings!B33,IF(AB131&gt;=30,Settings!B34,Settings!B35)))))</f>
        <v>0.03</v>
      </c>
      <c r="AF131" s="51">
        <f>IF('Employee Master'!B131="","",AD131*(1+AE131))</f>
        <v>0</v>
      </c>
      <c r="AG131" s="51">
        <f>IF('Employee Master'!B131="","",AF131-AD131)</f>
        <v>0</v>
      </c>
      <c r="AH131" s="51">
        <f>IF('Employee Master'!B131="","",AG131*12)</f>
        <v>0</v>
      </c>
    </row>
    <row r="132" spans="1:34" ht="23.25" customHeight="1" x14ac:dyDescent="0.2">
      <c r="A132" s="27">
        <f>IF('Employee Master'!B132="","",ROW()-3)</f>
        <v>129</v>
      </c>
      <c r="B132" s="27" t="str">
        <f>IF('Employee Master'!B132="","",'Employee Master'!C132)</f>
        <v>Lithika.B</v>
      </c>
      <c r="C132" s="27" t="str">
        <f>IF('Employee Master'!B132="","",'Employee Master'!D132)</f>
        <v>Remote</v>
      </c>
      <c r="D132" s="27" t="str">
        <f>IF('Employee Master'!B132="","",'Employee Master'!E132)</f>
        <v>Sr. Associate</v>
      </c>
      <c r="E132" s="27" t="str">
        <f>IF('Employee Master'!B132="","",'Employee Master'!G132)</f>
        <v>Ayushi</v>
      </c>
      <c r="F132" s="51">
        <f>IF('Employee Master'!B132="","",'⑥ Annual Performance'!R132)</f>
        <v>12</v>
      </c>
      <c r="G132" s="103">
        <f>IF('Employee Master'!B132="","",'⑥ Annual Performance'!J132)</f>
        <v>0</v>
      </c>
      <c r="H132" s="104">
        <f>IF('Employee Master'!B132="","",IF(G132&gt;=0.85,15,IF(G132&gt;=0.7,12,IF(G132&gt;=0.55,9,IF(G132&gt;=0.4,6,3)))))</f>
        <v>3</v>
      </c>
      <c r="I132" s="103">
        <f>IF('Employee Master'!B132="","",'⑥ Annual Performance'!Q132)</f>
        <v>0</v>
      </c>
      <c r="J132" s="104">
        <f>IF('Employee Master'!B132="","",IF(I132&gt;=0.98,10,IF(I132&gt;=0.95,8,IF(I132&gt;=0.9,6,IF(I132&gt;=0.85,4,2)))))</f>
        <v>2</v>
      </c>
      <c r="K132" s="105">
        <f>IF('Employee Master'!B132="","",'⑥ Annual Performance'!N132)</f>
        <v>0</v>
      </c>
      <c r="L132" s="104">
        <f>IF('Employee Master'!B132="","",IF(K132&gt;=1000,10,IF(K132&gt;=750,8,IF(K132&gt;=500,6,IF(K132&gt;=250,4,2)))))</f>
        <v>2</v>
      </c>
      <c r="M132" s="105">
        <f>IF('Employee Master'!B132="","",'⑥ Annual Performance'!K132)</f>
        <v>0</v>
      </c>
      <c r="N132" s="106">
        <f>IF('Employee Master'!B132="","",'⑥ Annual Performance'!L132)</f>
        <v>3.5</v>
      </c>
      <c r="O132" s="104">
        <f>IF('Employee Master'!B132="","",MIN(N132*2,10))</f>
        <v>7</v>
      </c>
      <c r="P132" s="104">
        <f>IF('Employee Master'!B132="","",IF(F132&gt;=36,5,IF(F132&gt;=24,4,IF(F132&gt;=12,3,IF(F132&gt;=6,2,1)))))</f>
        <v>3</v>
      </c>
      <c r="Q132" s="104">
        <f>IF('Employee Master'!B132="","",IF(D132="Sr. Controller",10,IF(D132="Coo",10,IF(D132="Controller",9,IF(D132="Asst. Controller",8,IF(D132="Sr. Manager",8,IF(D132="Manager",7,IF(D132="Asst. Manager",6,IF(D132="Team Lead",7,IF(D132="Asst. Team Lead",5,IF(D132="Sr. Associate",4,IF(D132="Associate",3,IF(D132="Full Stack Developer",5,IF(D132="Project Manager (S/W)",6,IF(D132="Marketing",4,4)))))))))))))))</f>
        <v>4</v>
      </c>
      <c r="R132" s="107">
        <f>IF('Employee Master'!B132="","",H132+J132+L132+O132+P132+Q132)</f>
        <v>21</v>
      </c>
      <c r="S132" s="108">
        <f>IF('Employee Master'!B132="","",3)</f>
        <v>3</v>
      </c>
      <c r="T132" s="104">
        <f>IF('Employee Master'!B132="","",MIN(S132*2,10))</f>
        <v>6</v>
      </c>
      <c r="U132" s="108">
        <f>IF('Employee Master'!B132="","",3)</f>
        <v>3</v>
      </c>
      <c r="V132" s="104">
        <f>IF('Employee Master'!B132="","",MIN(U132*2,10))</f>
        <v>6</v>
      </c>
      <c r="W132" s="108">
        <f>IF('Employee Master'!B132="","",3)</f>
        <v>3</v>
      </c>
      <c r="X132" s="104">
        <f>IF('Employee Master'!B132="","",MIN(W132*2,10))</f>
        <v>6</v>
      </c>
      <c r="Y132" s="108">
        <f>IF('Employee Master'!B132="","",3)</f>
        <v>3</v>
      </c>
      <c r="Z132" s="104">
        <f>IF('Employee Master'!B132="","",MIN(Y132*2,10))</f>
        <v>6</v>
      </c>
      <c r="AA132" s="109">
        <f>IF('Employee Master'!B132="","",T132+V132+X132+Z132)</f>
        <v>24</v>
      </c>
      <c r="AB132" s="110">
        <f>IF('Employee Master'!B132="","",R132+AA132)</f>
        <v>45</v>
      </c>
      <c r="AC132" s="27" t="str">
        <f>IF('Employee Master'!B132="","",IF(AB132&gt;=85,"Exceptional",IF(AB132&gt;=70,"High Performer",IF(AB132&gt;=50,"Meets Expectations",IF(AB132&gt;=30,"Below Expectations","Underperformer")))))</f>
        <v>Below Expectations</v>
      </c>
      <c r="AD132" s="51">
        <f>IF('Employee Master'!B132="","",'Employee Master'!M132)</f>
        <v>0</v>
      </c>
      <c r="AE132" s="52">
        <f>IF('Employee Master'!B132="","",IF(AB132&gt;=85,Settings!B31,IF(AB132&gt;=70,Settings!B32,IF(AB132&gt;=50,Settings!B33,IF(AB132&gt;=30,Settings!B34,Settings!B35)))))</f>
        <v>0.03</v>
      </c>
      <c r="AF132" s="51">
        <f>IF('Employee Master'!B132="","",AD132*(1+AE132))</f>
        <v>0</v>
      </c>
      <c r="AG132" s="51">
        <f>IF('Employee Master'!B132="","",AF132-AD132)</f>
        <v>0</v>
      </c>
      <c r="AH132" s="51">
        <f>IF('Employee Master'!B132="","",AG132*12)</f>
        <v>0</v>
      </c>
    </row>
    <row r="133" spans="1:34" ht="23.25" customHeight="1" x14ac:dyDescent="0.2">
      <c r="A133" s="27">
        <f>IF('Employee Master'!B133="","",ROW()-3)</f>
        <v>130</v>
      </c>
      <c r="B133" s="27" t="str">
        <f>IF('Employee Master'!B133="","",'Employee Master'!C133)</f>
        <v>Tithi.G</v>
      </c>
      <c r="C133" s="27" t="str">
        <f>IF('Employee Master'!B133="","",'Employee Master'!D133)</f>
        <v>In-house</v>
      </c>
      <c r="D133" s="27" t="str">
        <f>IF('Employee Master'!B133="","",'Employee Master'!E133)</f>
        <v>Sr. Controller</v>
      </c>
      <c r="E133" s="27" t="str">
        <f>IF('Employee Master'!B133="","",'Employee Master'!G133)</f>
        <v>--</v>
      </c>
      <c r="F133" s="51">
        <f>IF('Employee Master'!B133="","",'⑥ Annual Performance'!R133)</f>
        <v>12</v>
      </c>
      <c r="G133" s="103">
        <f>IF('Employee Master'!B133="","",'⑥ Annual Performance'!J133)</f>
        <v>0</v>
      </c>
      <c r="H133" s="104">
        <f>IF('Employee Master'!B133="","",IF(G133&gt;=0.85,15,IF(G133&gt;=0.7,12,IF(G133&gt;=0.55,9,IF(G133&gt;=0.4,6,3)))))</f>
        <v>3</v>
      </c>
      <c r="I133" s="103">
        <f>IF('Employee Master'!B133="","",'⑥ Annual Performance'!Q133)</f>
        <v>0</v>
      </c>
      <c r="J133" s="104">
        <f>IF('Employee Master'!B133="","",IF(I133&gt;=0.98,10,IF(I133&gt;=0.95,8,IF(I133&gt;=0.9,6,IF(I133&gt;=0.85,4,2)))))</f>
        <v>2</v>
      </c>
      <c r="K133" s="105">
        <f>IF('Employee Master'!B133="","",'⑥ Annual Performance'!N133)</f>
        <v>0</v>
      </c>
      <c r="L133" s="104">
        <f>IF('Employee Master'!B133="","",IF(K133&gt;=1000,10,IF(K133&gt;=750,8,IF(K133&gt;=500,6,IF(K133&gt;=250,4,2)))))</f>
        <v>2</v>
      </c>
      <c r="M133" s="105">
        <f>IF('Employee Master'!B133="","",'⑥ Annual Performance'!K133)</f>
        <v>0</v>
      </c>
      <c r="N133" s="106">
        <f>IF('Employee Master'!B133="","",'⑥ Annual Performance'!L133)</f>
        <v>3.5</v>
      </c>
      <c r="O133" s="104">
        <f>IF('Employee Master'!B133="","",MIN(N133*2,10))</f>
        <v>7</v>
      </c>
      <c r="P133" s="104">
        <f>IF('Employee Master'!B133="","",IF(F133&gt;=36,5,IF(F133&gt;=24,4,IF(F133&gt;=12,3,IF(F133&gt;=6,2,1)))))</f>
        <v>3</v>
      </c>
      <c r="Q133" s="104">
        <f>IF('Employee Master'!B133="","",IF(D133="Sr. Controller",10,IF(D133="Coo",10,IF(D133="Controller",9,IF(D133="Asst. Controller",8,IF(D133="Sr. Manager",8,IF(D133="Manager",7,IF(D133="Asst. Manager",6,IF(D133="Team Lead",7,IF(D133="Asst. Team Lead",5,IF(D133="Sr. Associate",4,IF(D133="Associate",3,IF(D133="Full Stack Developer",5,IF(D133="Project Manager (S/W)",6,IF(D133="Marketing",4,4)))))))))))))))</f>
        <v>10</v>
      </c>
      <c r="R133" s="107">
        <f>IF('Employee Master'!B133="","",H133+J133+L133+O133+P133+Q133)</f>
        <v>27</v>
      </c>
      <c r="S133" s="108">
        <f>IF('Employee Master'!B133="","",3)</f>
        <v>3</v>
      </c>
      <c r="T133" s="104">
        <f>IF('Employee Master'!B133="","",MIN(S133*2,10))</f>
        <v>6</v>
      </c>
      <c r="U133" s="108">
        <f>IF('Employee Master'!B133="","",3)</f>
        <v>3</v>
      </c>
      <c r="V133" s="104">
        <f>IF('Employee Master'!B133="","",MIN(U133*2,10))</f>
        <v>6</v>
      </c>
      <c r="W133" s="108">
        <f>IF('Employee Master'!B133="","",3)</f>
        <v>3</v>
      </c>
      <c r="X133" s="104">
        <f>IF('Employee Master'!B133="","",MIN(W133*2,10))</f>
        <v>6</v>
      </c>
      <c r="Y133" s="108">
        <f>IF('Employee Master'!B133="","",3)</f>
        <v>3</v>
      </c>
      <c r="Z133" s="104">
        <f>IF('Employee Master'!B133="","",MIN(Y133*2,10))</f>
        <v>6</v>
      </c>
      <c r="AA133" s="109">
        <f>IF('Employee Master'!B133="","",T133+V133+X133+Z133)</f>
        <v>24</v>
      </c>
      <c r="AB133" s="110">
        <f>IF('Employee Master'!B133="","",R133+AA133)</f>
        <v>51</v>
      </c>
      <c r="AC133" s="27" t="str">
        <f>IF('Employee Master'!B133="","",IF(AB133&gt;=85,"Exceptional",IF(AB133&gt;=70,"High Performer",IF(AB133&gt;=50,"Meets Expectations",IF(AB133&gt;=30,"Below Expectations","Underperformer")))))</f>
        <v>Meets Expectations</v>
      </c>
      <c r="AD133" s="51">
        <f>IF('Employee Master'!B133="","",'Employee Master'!M133)</f>
        <v>73924</v>
      </c>
      <c r="AE133" s="52">
        <f>IF('Employee Master'!B133="","",IF(AB133&gt;=85,Settings!B31,IF(AB133&gt;=70,Settings!B32,IF(AB133&gt;=50,Settings!B33,IF(AB133&gt;=30,Settings!B34,Settings!B35)))))</f>
        <v>7.4999999999999997E-2</v>
      </c>
      <c r="AF133" s="51">
        <f>IF('Employee Master'!B133="","",AD133*(1+AE133))</f>
        <v>79468.3</v>
      </c>
      <c r="AG133" s="51">
        <f>IF('Employee Master'!B133="","",AF133-AD133)</f>
        <v>5544.3000000000029</v>
      </c>
      <c r="AH133" s="51">
        <f>IF('Employee Master'!B133="","",AG133*12)</f>
        <v>66531.600000000035</v>
      </c>
    </row>
    <row r="134" spans="1:34" ht="23.25" customHeight="1" x14ac:dyDescent="0.2">
      <c r="A134" s="27">
        <f>IF('Employee Master'!B134="","",ROW()-3)</f>
        <v>131</v>
      </c>
      <c r="B134" s="27" t="str">
        <f>IF('Employee Master'!B134="","",'Employee Master'!C134)</f>
        <v>Isha.G</v>
      </c>
      <c r="C134" s="27" t="str">
        <f>IF('Employee Master'!B134="","",'Employee Master'!D134)</f>
        <v>Remote</v>
      </c>
      <c r="D134" s="27" t="str">
        <f>IF('Employee Master'!B134="","",'Employee Master'!E134)</f>
        <v>Project Manager (S/W)</v>
      </c>
      <c r="E134" s="27" t="str">
        <f>IF('Employee Master'!B134="","",'Employee Master'!G134)</f>
        <v>--</v>
      </c>
      <c r="F134" s="51">
        <f>IF('Employee Master'!B134="","",'⑥ Annual Performance'!R134)</f>
        <v>12</v>
      </c>
      <c r="G134" s="103">
        <f>IF('Employee Master'!B134="","",'⑥ Annual Performance'!J134)</f>
        <v>0</v>
      </c>
      <c r="H134" s="104">
        <f>IF('Employee Master'!B134="","",IF(G134&gt;=0.85,15,IF(G134&gt;=0.7,12,IF(G134&gt;=0.55,9,IF(G134&gt;=0.4,6,3)))))</f>
        <v>3</v>
      </c>
      <c r="I134" s="103">
        <f>IF('Employee Master'!B134="","",'⑥ Annual Performance'!Q134)</f>
        <v>0</v>
      </c>
      <c r="J134" s="104">
        <f>IF('Employee Master'!B134="","",IF(I134&gt;=0.98,10,IF(I134&gt;=0.95,8,IF(I134&gt;=0.9,6,IF(I134&gt;=0.85,4,2)))))</f>
        <v>2</v>
      </c>
      <c r="K134" s="105">
        <f>IF('Employee Master'!B134="","",'⑥ Annual Performance'!N134)</f>
        <v>0</v>
      </c>
      <c r="L134" s="104">
        <f>IF('Employee Master'!B134="","",IF(K134&gt;=1000,10,IF(K134&gt;=750,8,IF(K134&gt;=500,6,IF(K134&gt;=250,4,2)))))</f>
        <v>2</v>
      </c>
      <c r="M134" s="105">
        <f>IF('Employee Master'!B134="","",'⑥ Annual Performance'!K134)</f>
        <v>0</v>
      </c>
      <c r="N134" s="106">
        <f>IF('Employee Master'!B134="","",'⑥ Annual Performance'!L134)</f>
        <v>3.5</v>
      </c>
      <c r="O134" s="104">
        <f>IF('Employee Master'!B134="","",MIN(N134*2,10))</f>
        <v>7</v>
      </c>
      <c r="P134" s="104">
        <f>IF('Employee Master'!B134="","",IF(F134&gt;=36,5,IF(F134&gt;=24,4,IF(F134&gt;=12,3,IF(F134&gt;=6,2,1)))))</f>
        <v>3</v>
      </c>
      <c r="Q134" s="104">
        <f>IF('Employee Master'!B134="","",IF(D134="Sr. Controller",10,IF(D134="Coo",10,IF(D134="Controller",9,IF(D134="Asst. Controller",8,IF(D134="Sr. Manager",8,IF(D134="Manager",7,IF(D134="Asst. Manager",6,IF(D134="Team Lead",7,IF(D134="Asst. Team Lead",5,IF(D134="Sr. Associate",4,IF(D134="Associate",3,IF(D134="Full Stack Developer",5,IF(D134="Project Manager (S/W)",6,IF(D134="Marketing",4,4)))))))))))))))</f>
        <v>6</v>
      </c>
      <c r="R134" s="107">
        <f>IF('Employee Master'!B134="","",H134+J134+L134+O134+P134+Q134)</f>
        <v>23</v>
      </c>
      <c r="S134" s="108">
        <f>IF('Employee Master'!B134="","",3)</f>
        <v>3</v>
      </c>
      <c r="T134" s="104">
        <f>IF('Employee Master'!B134="","",MIN(S134*2,10))</f>
        <v>6</v>
      </c>
      <c r="U134" s="108">
        <f>IF('Employee Master'!B134="","",3)</f>
        <v>3</v>
      </c>
      <c r="V134" s="104">
        <f>IF('Employee Master'!B134="","",MIN(U134*2,10))</f>
        <v>6</v>
      </c>
      <c r="W134" s="108">
        <f>IF('Employee Master'!B134="","",3)</f>
        <v>3</v>
      </c>
      <c r="X134" s="104">
        <f>IF('Employee Master'!B134="","",MIN(W134*2,10))</f>
        <v>6</v>
      </c>
      <c r="Y134" s="108">
        <f>IF('Employee Master'!B134="","",3)</f>
        <v>3</v>
      </c>
      <c r="Z134" s="104">
        <f>IF('Employee Master'!B134="","",MIN(Y134*2,10))</f>
        <v>6</v>
      </c>
      <c r="AA134" s="109">
        <f>IF('Employee Master'!B134="","",T134+V134+X134+Z134)</f>
        <v>24</v>
      </c>
      <c r="AB134" s="110">
        <f>IF('Employee Master'!B134="","",R134+AA134)</f>
        <v>47</v>
      </c>
      <c r="AC134" s="27" t="str">
        <f>IF('Employee Master'!B134="","",IF(AB134&gt;=85,"Exceptional",IF(AB134&gt;=70,"High Performer",IF(AB134&gt;=50,"Meets Expectations",IF(AB134&gt;=30,"Below Expectations","Underperformer")))))</f>
        <v>Below Expectations</v>
      </c>
      <c r="AD134" s="51">
        <f>IF('Employee Master'!B134="","",'Employee Master'!M134)</f>
        <v>0</v>
      </c>
      <c r="AE134" s="52">
        <f>IF('Employee Master'!B134="","",IF(AB134&gt;=85,Settings!B31,IF(AB134&gt;=70,Settings!B32,IF(AB134&gt;=50,Settings!B33,IF(AB134&gt;=30,Settings!B34,Settings!B35)))))</f>
        <v>0.03</v>
      </c>
      <c r="AF134" s="51">
        <f>IF('Employee Master'!B134="","",AD134*(1+AE134))</f>
        <v>0</v>
      </c>
      <c r="AG134" s="51">
        <f>IF('Employee Master'!B134="","",AF134-AD134)</f>
        <v>0</v>
      </c>
      <c r="AH134" s="51">
        <f>IF('Employee Master'!B134="","",AG134*12)</f>
        <v>0</v>
      </c>
    </row>
    <row r="135" spans="1:34" ht="23.25" customHeight="1" x14ac:dyDescent="0.2">
      <c r="A135" s="27">
        <f>IF('Employee Master'!B135="","",ROW()-3)</f>
        <v>132</v>
      </c>
      <c r="B135" s="27" t="str">
        <f>IF('Employee Master'!B135="","",'Employee Master'!C135)</f>
        <v>Shubham.S</v>
      </c>
      <c r="C135" s="27" t="str">
        <f>IF('Employee Master'!B135="","",'Employee Master'!D135)</f>
        <v>Remote</v>
      </c>
      <c r="D135" s="27" t="str">
        <f>IF('Employee Master'!B135="","",'Employee Master'!E135)</f>
        <v>Sr. Associate</v>
      </c>
      <c r="E135" s="27" t="str">
        <f>IF('Employee Master'!B135="","",'Employee Master'!G135)</f>
        <v>Ammie</v>
      </c>
      <c r="F135" s="51">
        <f>IF('Employee Master'!B135="","",'⑥ Annual Performance'!R135)</f>
        <v>12</v>
      </c>
      <c r="G135" s="103">
        <f>IF('Employee Master'!B135="","",'⑥ Annual Performance'!J135)</f>
        <v>0</v>
      </c>
      <c r="H135" s="104">
        <f>IF('Employee Master'!B135="","",IF(G135&gt;=0.85,15,IF(G135&gt;=0.7,12,IF(G135&gt;=0.55,9,IF(G135&gt;=0.4,6,3)))))</f>
        <v>3</v>
      </c>
      <c r="I135" s="103">
        <f>IF('Employee Master'!B135="","",'⑥ Annual Performance'!Q135)</f>
        <v>0</v>
      </c>
      <c r="J135" s="104">
        <f>IF('Employee Master'!B135="","",IF(I135&gt;=0.98,10,IF(I135&gt;=0.95,8,IF(I135&gt;=0.9,6,IF(I135&gt;=0.85,4,2)))))</f>
        <v>2</v>
      </c>
      <c r="K135" s="105">
        <f>IF('Employee Master'!B135="","",'⑥ Annual Performance'!N135)</f>
        <v>0</v>
      </c>
      <c r="L135" s="104">
        <f>IF('Employee Master'!B135="","",IF(K135&gt;=1000,10,IF(K135&gt;=750,8,IF(K135&gt;=500,6,IF(K135&gt;=250,4,2)))))</f>
        <v>2</v>
      </c>
      <c r="M135" s="105">
        <f>IF('Employee Master'!B135="","",'⑥ Annual Performance'!K135)</f>
        <v>0</v>
      </c>
      <c r="N135" s="106">
        <f>IF('Employee Master'!B135="","",'⑥ Annual Performance'!L135)</f>
        <v>3.5</v>
      </c>
      <c r="O135" s="104">
        <f>IF('Employee Master'!B135="","",MIN(N135*2,10))</f>
        <v>7</v>
      </c>
      <c r="P135" s="104">
        <f>IF('Employee Master'!B135="","",IF(F135&gt;=36,5,IF(F135&gt;=24,4,IF(F135&gt;=12,3,IF(F135&gt;=6,2,1)))))</f>
        <v>3</v>
      </c>
      <c r="Q135" s="104">
        <f>IF('Employee Master'!B135="","",IF(D135="Sr. Controller",10,IF(D135="Coo",10,IF(D135="Controller",9,IF(D135="Asst. Controller",8,IF(D135="Sr. Manager",8,IF(D135="Manager",7,IF(D135="Asst. Manager",6,IF(D135="Team Lead",7,IF(D135="Asst. Team Lead",5,IF(D135="Sr. Associate",4,IF(D135="Associate",3,IF(D135="Full Stack Developer",5,IF(D135="Project Manager (S/W)",6,IF(D135="Marketing",4,4)))))))))))))))</f>
        <v>4</v>
      </c>
      <c r="R135" s="107">
        <f>IF('Employee Master'!B135="","",H135+J135+L135+O135+P135+Q135)</f>
        <v>21</v>
      </c>
      <c r="S135" s="108">
        <f>IF('Employee Master'!B135="","",3)</f>
        <v>3</v>
      </c>
      <c r="T135" s="104">
        <f>IF('Employee Master'!B135="","",MIN(S135*2,10))</f>
        <v>6</v>
      </c>
      <c r="U135" s="108">
        <f>IF('Employee Master'!B135="","",3)</f>
        <v>3</v>
      </c>
      <c r="V135" s="104">
        <f>IF('Employee Master'!B135="","",MIN(U135*2,10))</f>
        <v>6</v>
      </c>
      <c r="W135" s="108">
        <f>IF('Employee Master'!B135="","",3)</f>
        <v>3</v>
      </c>
      <c r="X135" s="104">
        <f>IF('Employee Master'!B135="","",MIN(W135*2,10))</f>
        <v>6</v>
      </c>
      <c r="Y135" s="108">
        <f>IF('Employee Master'!B135="","",3)</f>
        <v>3</v>
      </c>
      <c r="Z135" s="104">
        <f>IF('Employee Master'!B135="","",MIN(Y135*2,10))</f>
        <v>6</v>
      </c>
      <c r="AA135" s="109">
        <f>IF('Employee Master'!B135="","",T135+V135+X135+Z135)</f>
        <v>24</v>
      </c>
      <c r="AB135" s="110">
        <f>IF('Employee Master'!B135="","",R135+AA135)</f>
        <v>45</v>
      </c>
      <c r="AC135" s="27" t="str">
        <f>IF('Employee Master'!B135="","",IF(AB135&gt;=85,"Exceptional",IF(AB135&gt;=70,"High Performer",IF(AB135&gt;=50,"Meets Expectations",IF(AB135&gt;=30,"Below Expectations","Underperformer")))))</f>
        <v>Below Expectations</v>
      </c>
      <c r="AD135" s="51">
        <f>IF('Employee Master'!B135="","",'Employee Master'!M135)</f>
        <v>0</v>
      </c>
      <c r="AE135" s="52">
        <f>IF('Employee Master'!B135="","",IF(AB135&gt;=85,Settings!B31,IF(AB135&gt;=70,Settings!B32,IF(AB135&gt;=50,Settings!B33,IF(AB135&gt;=30,Settings!B34,Settings!B35)))))</f>
        <v>0.03</v>
      </c>
      <c r="AF135" s="51">
        <f>IF('Employee Master'!B135="","",AD135*(1+AE135))</f>
        <v>0</v>
      </c>
      <c r="AG135" s="51">
        <f>IF('Employee Master'!B135="","",AF135-AD135)</f>
        <v>0</v>
      </c>
      <c r="AH135" s="51">
        <f>IF('Employee Master'!B135="","",AG135*12)</f>
        <v>0</v>
      </c>
    </row>
    <row r="136" spans="1:34" ht="23.25" customHeight="1" x14ac:dyDescent="0.2">
      <c r="A136" s="27">
        <f>IF('Employee Master'!B136="","",ROW()-3)</f>
        <v>133</v>
      </c>
      <c r="B136" s="27" t="str">
        <f>IF('Employee Master'!B136="","",'Employee Master'!C136)</f>
        <v>Tanushree.G</v>
      </c>
      <c r="C136" s="27" t="str">
        <f>IF('Employee Master'!B136="","",'Employee Master'!D136)</f>
        <v>Remote</v>
      </c>
      <c r="D136" s="27" t="str">
        <f>IF('Employee Master'!B136="","",'Employee Master'!E136)</f>
        <v>Sr. Associate</v>
      </c>
      <c r="E136" s="27" t="str">
        <f>IF('Employee Master'!B136="","",'Employee Master'!G136)</f>
        <v>Ammie</v>
      </c>
      <c r="F136" s="51">
        <f>IF('Employee Master'!B136="","",'⑥ Annual Performance'!R136)</f>
        <v>12</v>
      </c>
      <c r="G136" s="103">
        <f>IF('Employee Master'!B136="","",'⑥ Annual Performance'!J136)</f>
        <v>0</v>
      </c>
      <c r="H136" s="104">
        <f>IF('Employee Master'!B136="","",IF(G136&gt;=0.85,15,IF(G136&gt;=0.7,12,IF(G136&gt;=0.55,9,IF(G136&gt;=0.4,6,3)))))</f>
        <v>3</v>
      </c>
      <c r="I136" s="103">
        <f>IF('Employee Master'!B136="","",'⑥ Annual Performance'!Q136)</f>
        <v>0</v>
      </c>
      <c r="J136" s="104">
        <f>IF('Employee Master'!B136="","",IF(I136&gt;=0.98,10,IF(I136&gt;=0.95,8,IF(I136&gt;=0.9,6,IF(I136&gt;=0.85,4,2)))))</f>
        <v>2</v>
      </c>
      <c r="K136" s="105">
        <f>IF('Employee Master'!B136="","",'⑥ Annual Performance'!N136)</f>
        <v>0</v>
      </c>
      <c r="L136" s="104">
        <f>IF('Employee Master'!B136="","",IF(K136&gt;=1000,10,IF(K136&gt;=750,8,IF(K136&gt;=500,6,IF(K136&gt;=250,4,2)))))</f>
        <v>2</v>
      </c>
      <c r="M136" s="105">
        <f>IF('Employee Master'!B136="","",'⑥ Annual Performance'!K136)</f>
        <v>0</v>
      </c>
      <c r="N136" s="106">
        <f>IF('Employee Master'!B136="","",'⑥ Annual Performance'!L136)</f>
        <v>3.5</v>
      </c>
      <c r="O136" s="104">
        <f>IF('Employee Master'!B136="","",MIN(N136*2,10))</f>
        <v>7</v>
      </c>
      <c r="P136" s="104">
        <f>IF('Employee Master'!B136="","",IF(F136&gt;=36,5,IF(F136&gt;=24,4,IF(F136&gt;=12,3,IF(F136&gt;=6,2,1)))))</f>
        <v>3</v>
      </c>
      <c r="Q136" s="104">
        <f>IF('Employee Master'!B136="","",IF(D136="Sr. Controller",10,IF(D136="Coo",10,IF(D136="Controller",9,IF(D136="Asst. Controller",8,IF(D136="Sr. Manager",8,IF(D136="Manager",7,IF(D136="Asst. Manager",6,IF(D136="Team Lead",7,IF(D136="Asst. Team Lead",5,IF(D136="Sr. Associate",4,IF(D136="Associate",3,IF(D136="Full Stack Developer",5,IF(D136="Project Manager (S/W)",6,IF(D136="Marketing",4,4)))))))))))))))</f>
        <v>4</v>
      </c>
      <c r="R136" s="107">
        <f>IF('Employee Master'!B136="","",H136+J136+L136+O136+P136+Q136)</f>
        <v>21</v>
      </c>
      <c r="S136" s="108">
        <f>IF('Employee Master'!B136="","",3)</f>
        <v>3</v>
      </c>
      <c r="T136" s="104">
        <f>IF('Employee Master'!B136="","",MIN(S136*2,10))</f>
        <v>6</v>
      </c>
      <c r="U136" s="108">
        <f>IF('Employee Master'!B136="","",3)</f>
        <v>3</v>
      </c>
      <c r="V136" s="104">
        <f>IF('Employee Master'!B136="","",MIN(U136*2,10))</f>
        <v>6</v>
      </c>
      <c r="W136" s="108">
        <f>IF('Employee Master'!B136="","",3)</f>
        <v>3</v>
      </c>
      <c r="X136" s="104">
        <f>IF('Employee Master'!B136="","",MIN(W136*2,10))</f>
        <v>6</v>
      </c>
      <c r="Y136" s="108">
        <f>IF('Employee Master'!B136="","",3)</f>
        <v>3</v>
      </c>
      <c r="Z136" s="104">
        <f>IF('Employee Master'!B136="","",MIN(Y136*2,10))</f>
        <v>6</v>
      </c>
      <c r="AA136" s="109">
        <f>IF('Employee Master'!B136="","",T136+V136+X136+Z136)</f>
        <v>24</v>
      </c>
      <c r="AB136" s="110">
        <f>IF('Employee Master'!B136="","",R136+AA136)</f>
        <v>45</v>
      </c>
      <c r="AC136" s="27" t="str">
        <f>IF('Employee Master'!B136="","",IF(AB136&gt;=85,"Exceptional",IF(AB136&gt;=70,"High Performer",IF(AB136&gt;=50,"Meets Expectations",IF(AB136&gt;=30,"Below Expectations","Underperformer")))))</f>
        <v>Below Expectations</v>
      </c>
      <c r="AD136" s="51">
        <f>IF('Employee Master'!B136="","",'Employee Master'!M136)</f>
        <v>0</v>
      </c>
      <c r="AE136" s="52">
        <f>IF('Employee Master'!B136="","",IF(AB136&gt;=85,Settings!B31,IF(AB136&gt;=70,Settings!B32,IF(AB136&gt;=50,Settings!B33,IF(AB136&gt;=30,Settings!B34,Settings!B35)))))</f>
        <v>0.03</v>
      </c>
      <c r="AF136" s="51">
        <f>IF('Employee Master'!B136="","",AD136*(1+AE136))</f>
        <v>0</v>
      </c>
      <c r="AG136" s="51">
        <f>IF('Employee Master'!B136="","",AF136-AD136)</f>
        <v>0</v>
      </c>
      <c r="AH136" s="51">
        <f>IF('Employee Master'!B136="","",AG136*12)</f>
        <v>0</v>
      </c>
    </row>
    <row r="137" spans="1:34" ht="23.25" customHeight="1" x14ac:dyDescent="0.2">
      <c r="A137" s="27">
        <f>IF('Employee Master'!B137="","",ROW()-3)</f>
        <v>134</v>
      </c>
      <c r="B137" s="27" t="str">
        <f>IF('Employee Master'!B137="","",'Employee Master'!C137)</f>
        <v>Syed.M</v>
      </c>
      <c r="C137" s="27" t="str">
        <f>IF('Employee Master'!B137="","",'Employee Master'!D137)</f>
        <v>Remote</v>
      </c>
      <c r="D137" s="27" t="str">
        <f>IF('Employee Master'!B137="","",'Employee Master'!E137)</f>
        <v>Sr. Associate</v>
      </c>
      <c r="E137" s="27" t="str">
        <f>IF('Employee Master'!B137="","",'Employee Master'!G137)</f>
        <v>Ammie</v>
      </c>
      <c r="F137" s="51">
        <f>IF('Employee Master'!B137="","",'⑥ Annual Performance'!R137)</f>
        <v>12</v>
      </c>
      <c r="G137" s="103">
        <f>IF('Employee Master'!B137="","",'⑥ Annual Performance'!J137)</f>
        <v>0</v>
      </c>
      <c r="H137" s="104">
        <f>IF('Employee Master'!B137="","",IF(G137&gt;=0.85,15,IF(G137&gt;=0.7,12,IF(G137&gt;=0.55,9,IF(G137&gt;=0.4,6,3)))))</f>
        <v>3</v>
      </c>
      <c r="I137" s="103">
        <f>IF('Employee Master'!B137="","",'⑥ Annual Performance'!Q137)</f>
        <v>0</v>
      </c>
      <c r="J137" s="104">
        <f>IF('Employee Master'!B137="","",IF(I137&gt;=0.98,10,IF(I137&gt;=0.95,8,IF(I137&gt;=0.9,6,IF(I137&gt;=0.85,4,2)))))</f>
        <v>2</v>
      </c>
      <c r="K137" s="105">
        <f>IF('Employee Master'!B137="","",'⑥ Annual Performance'!N137)</f>
        <v>0</v>
      </c>
      <c r="L137" s="104">
        <f>IF('Employee Master'!B137="","",IF(K137&gt;=1000,10,IF(K137&gt;=750,8,IF(K137&gt;=500,6,IF(K137&gt;=250,4,2)))))</f>
        <v>2</v>
      </c>
      <c r="M137" s="105">
        <f>IF('Employee Master'!B137="","",'⑥ Annual Performance'!K137)</f>
        <v>0</v>
      </c>
      <c r="N137" s="106">
        <f>IF('Employee Master'!B137="","",'⑥ Annual Performance'!L137)</f>
        <v>3.5</v>
      </c>
      <c r="O137" s="104">
        <f>IF('Employee Master'!B137="","",MIN(N137*2,10))</f>
        <v>7</v>
      </c>
      <c r="P137" s="104">
        <f>IF('Employee Master'!B137="","",IF(F137&gt;=36,5,IF(F137&gt;=24,4,IF(F137&gt;=12,3,IF(F137&gt;=6,2,1)))))</f>
        <v>3</v>
      </c>
      <c r="Q137" s="104">
        <f>IF('Employee Master'!B137="","",IF(D137="Sr. Controller",10,IF(D137="Coo",10,IF(D137="Controller",9,IF(D137="Asst. Controller",8,IF(D137="Sr. Manager",8,IF(D137="Manager",7,IF(D137="Asst. Manager",6,IF(D137="Team Lead",7,IF(D137="Asst. Team Lead",5,IF(D137="Sr. Associate",4,IF(D137="Associate",3,IF(D137="Full Stack Developer",5,IF(D137="Project Manager (S/W)",6,IF(D137="Marketing",4,4)))))))))))))))</f>
        <v>4</v>
      </c>
      <c r="R137" s="107">
        <f>IF('Employee Master'!B137="","",H137+J137+L137+O137+P137+Q137)</f>
        <v>21</v>
      </c>
      <c r="S137" s="108">
        <f>IF('Employee Master'!B137="","",3)</f>
        <v>3</v>
      </c>
      <c r="T137" s="104">
        <f>IF('Employee Master'!B137="","",MIN(S137*2,10))</f>
        <v>6</v>
      </c>
      <c r="U137" s="108">
        <f>IF('Employee Master'!B137="","",3)</f>
        <v>3</v>
      </c>
      <c r="V137" s="104">
        <f>IF('Employee Master'!B137="","",MIN(U137*2,10))</f>
        <v>6</v>
      </c>
      <c r="W137" s="108">
        <f>IF('Employee Master'!B137="","",3)</f>
        <v>3</v>
      </c>
      <c r="X137" s="104">
        <f>IF('Employee Master'!B137="","",MIN(W137*2,10))</f>
        <v>6</v>
      </c>
      <c r="Y137" s="108">
        <f>IF('Employee Master'!B137="","",3)</f>
        <v>3</v>
      </c>
      <c r="Z137" s="104">
        <f>IF('Employee Master'!B137="","",MIN(Y137*2,10))</f>
        <v>6</v>
      </c>
      <c r="AA137" s="109">
        <f>IF('Employee Master'!B137="","",T137+V137+X137+Z137)</f>
        <v>24</v>
      </c>
      <c r="AB137" s="110">
        <f>IF('Employee Master'!B137="","",R137+AA137)</f>
        <v>45</v>
      </c>
      <c r="AC137" s="27" t="str">
        <f>IF('Employee Master'!B137="","",IF(AB137&gt;=85,"Exceptional",IF(AB137&gt;=70,"High Performer",IF(AB137&gt;=50,"Meets Expectations",IF(AB137&gt;=30,"Below Expectations","Underperformer")))))</f>
        <v>Below Expectations</v>
      </c>
      <c r="AD137" s="51">
        <f>IF('Employee Master'!B137="","",'Employee Master'!M137)</f>
        <v>0</v>
      </c>
      <c r="AE137" s="52">
        <f>IF('Employee Master'!B137="","",IF(AB137&gt;=85,Settings!B31,IF(AB137&gt;=70,Settings!B32,IF(AB137&gt;=50,Settings!B33,IF(AB137&gt;=30,Settings!B34,Settings!B35)))))</f>
        <v>0.03</v>
      </c>
      <c r="AF137" s="51">
        <f>IF('Employee Master'!B137="","",AD137*(1+AE137))</f>
        <v>0</v>
      </c>
      <c r="AG137" s="51">
        <f>IF('Employee Master'!B137="","",AF137-AD137)</f>
        <v>0</v>
      </c>
      <c r="AH137" s="51">
        <f>IF('Employee Master'!B137="","",AG137*12)</f>
        <v>0</v>
      </c>
    </row>
    <row r="138" spans="1:34" ht="23.25" customHeight="1" x14ac:dyDescent="0.2">
      <c r="A138" s="27">
        <f>IF('Employee Master'!B138="","",ROW()-3)</f>
        <v>135</v>
      </c>
      <c r="B138" s="27" t="str">
        <f>IF('Employee Master'!B138="","",'Employee Master'!C138)</f>
        <v>Biswajit.D</v>
      </c>
      <c r="C138" s="27" t="str">
        <f>IF('Employee Master'!B138="","",'Employee Master'!D138)</f>
        <v>Remote</v>
      </c>
      <c r="D138" s="27" t="str">
        <f>IF('Employee Master'!B138="","",'Employee Master'!E138)</f>
        <v>Sr. Associate</v>
      </c>
      <c r="E138" s="27" t="str">
        <f>IF('Employee Master'!B138="","",'Employee Master'!G138)</f>
        <v>Ammie</v>
      </c>
      <c r="F138" s="51">
        <f>IF('Employee Master'!B138="","",'⑥ Annual Performance'!R138)</f>
        <v>12</v>
      </c>
      <c r="G138" s="103">
        <f>IF('Employee Master'!B138="","",'⑥ Annual Performance'!J138)</f>
        <v>0</v>
      </c>
      <c r="H138" s="104">
        <f>IF('Employee Master'!B138="","",IF(G138&gt;=0.85,15,IF(G138&gt;=0.7,12,IF(G138&gt;=0.55,9,IF(G138&gt;=0.4,6,3)))))</f>
        <v>3</v>
      </c>
      <c r="I138" s="103">
        <f>IF('Employee Master'!B138="","",'⑥ Annual Performance'!Q138)</f>
        <v>0</v>
      </c>
      <c r="J138" s="104">
        <f>IF('Employee Master'!B138="","",IF(I138&gt;=0.98,10,IF(I138&gt;=0.95,8,IF(I138&gt;=0.9,6,IF(I138&gt;=0.85,4,2)))))</f>
        <v>2</v>
      </c>
      <c r="K138" s="105">
        <f>IF('Employee Master'!B138="","",'⑥ Annual Performance'!N138)</f>
        <v>0</v>
      </c>
      <c r="L138" s="104">
        <f>IF('Employee Master'!B138="","",IF(K138&gt;=1000,10,IF(K138&gt;=750,8,IF(K138&gt;=500,6,IF(K138&gt;=250,4,2)))))</f>
        <v>2</v>
      </c>
      <c r="M138" s="105">
        <f>IF('Employee Master'!B138="","",'⑥ Annual Performance'!K138)</f>
        <v>0</v>
      </c>
      <c r="N138" s="106">
        <f>IF('Employee Master'!B138="","",'⑥ Annual Performance'!L138)</f>
        <v>3.5</v>
      </c>
      <c r="O138" s="104">
        <f>IF('Employee Master'!B138="","",MIN(N138*2,10))</f>
        <v>7</v>
      </c>
      <c r="P138" s="104">
        <f>IF('Employee Master'!B138="","",IF(F138&gt;=36,5,IF(F138&gt;=24,4,IF(F138&gt;=12,3,IF(F138&gt;=6,2,1)))))</f>
        <v>3</v>
      </c>
      <c r="Q138" s="104">
        <f>IF('Employee Master'!B138="","",IF(D138="Sr. Controller",10,IF(D138="Coo",10,IF(D138="Controller",9,IF(D138="Asst. Controller",8,IF(D138="Sr. Manager",8,IF(D138="Manager",7,IF(D138="Asst. Manager",6,IF(D138="Team Lead",7,IF(D138="Asst. Team Lead",5,IF(D138="Sr. Associate",4,IF(D138="Associate",3,IF(D138="Full Stack Developer",5,IF(D138="Project Manager (S/W)",6,IF(D138="Marketing",4,4)))))))))))))))</f>
        <v>4</v>
      </c>
      <c r="R138" s="107">
        <f>IF('Employee Master'!B138="","",H138+J138+L138+O138+P138+Q138)</f>
        <v>21</v>
      </c>
      <c r="S138" s="108">
        <f>IF('Employee Master'!B138="","",3)</f>
        <v>3</v>
      </c>
      <c r="T138" s="104">
        <f>IF('Employee Master'!B138="","",MIN(S138*2,10))</f>
        <v>6</v>
      </c>
      <c r="U138" s="108">
        <f>IF('Employee Master'!B138="","",3)</f>
        <v>3</v>
      </c>
      <c r="V138" s="104">
        <f>IF('Employee Master'!B138="","",MIN(U138*2,10))</f>
        <v>6</v>
      </c>
      <c r="W138" s="108">
        <f>IF('Employee Master'!B138="","",3)</f>
        <v>3</v>
      </c>
      <c r="X138" s="104">
        <f>IF('Employee Master'!B138="","",MIN(W138*2,10))</f>
        <v>6</v>
      </c>
      <c r="Y138" s="108">
        <f>IF('Employee Master'!B138="","",3)</f>
        <v>3</v>
      </c>
      <c r="Z138" s="104">
        <f>IF('Employee Master'!B138="","",MIN(Y138*2,10))</f>
        <v>6</v>
      </c>
      <c r="AA138" s="109">
        <f>IF('Employee Master'!B138="","",T138+V138+X138+Z138)</f>
        <v>24</v>
      </c>
      <c r="AB138" s="110">
        <f>IF('Employee Master'!B138="","",R138+AA138)</f>
        <v>45</v>
      </c>
      <c r="AC138" s="27" t="str">
        <f>IF('Employee Master'!B138="","",IF(AB138&gt;=85,"Exceptional",IF(AB138&gt;=70,"High Performer",IF(AB138&gt;=50,"Meets Expectations",IF(AB138&gt;=30,"Below Expectations","Underperformer")))))</f>
        <v>Below Expectations</v>
      </c>
      <c r="AD138" s="51">
        <f>IF('Employee Master'!B138="","",'Employee Master'!M138)</f>
        <v>0</v>
      </c>
      <c r="AE138" s="52">
        <f>IF('Employee Master'!B138="","",IF(AB138&gt;=85,Settings!B31,IF(AB138&gt;=70,Settings!B32,IF(AB138&gt;=50,Settings!B33,IF(AB138&gt;=30,Settings!B34,Settings!B35)))))</f>
        <v>0.03</v>
      </c>
      <c r="AF138" s="51">
        <f>IF('Employee Master'!B138="","",AD138*(1+AE138))</f>
        <v>0</v>
      </c>
      <c r="AG138" s="51">
        <f>IF('Employee Master'!B138="","",AF138-AD138)</f>
        <v>0</v>
      </c>
      <c r="AH138" s="51">
        <f>IF('Employee Master'!B138="","",AG138*12)</f>
        <v>0</v>
      </c>
    </row>
    <row r="139" spans="1:34" ht="23.25" customHeight="1" x14ac:dyDescent="0.2">
      <c r="A139" s="27">
        <f>IF('Employee Master'!B139="","",ROW()-3)</f>
        <v>136</v>
      </c>
      <c r="B139" s="27" t="str">
        <f>IF('Employee Master'!B139="","",'Employee Master'!C139)</f>
        <v>Ayush.G</v>
      </c>
      <c r="C139" s="27" t="str">
        <f>IF('Employee Master'!B139="","",'Employee Master'!D139)</f>
        <v>In-house</v>
      </c>
      <c r="D139" s="27" t="str">
        <f>IF('Employee Master'!B139="","",'Employee Master'!E139)</f>
        <v>Full Stack Developer</v>
      </c>
      <c r="E139" s="27" t="str">
        <f>IF('Employee Master'!B139="","",'Employee Master'!G139)</f>
        <v>Akhilesh Sirvi</v>
      </c>
      <c r="F139" s="51">
        <f>IF('Employee Master'!B139="","",'⑥ Annual Performance'!R139)</f>
        <v>12</v>
      </c>
      <c r="G139" s="103">
        <f>IF('Employee Master'!B139="","",'⑥ Annual Performance'!J139)</f>
        <v>0</v>
      </c>
      <c r="H139" s="104">
        <f>IF('Employee Master'!B139="","",IF(G139&gt;=0.85,15,IF(G139&gt;=0.7,12,IF(G139&gt;=0.55,9,IF(G139&gt;=0.4,6,3)))))</f>
        <v>3</v>
      </c>
      <c r="I139" s="103">
        <f>IF('Employee Master'!B139="","",'⑥ Annual Performance'!Q139)</f>
        <v>0</v>
      </c>
      <c r="J139" s="104">
        <f>IF('Employee Master'!B139="","",IF(I139&gt;=0.98,10,IF(I139&gt;=0.95,8,IF(I139&gt;=0.9,6,IF(I139&gt;=0.85,4,2)))))</f>
        <v>2</v>
      </c>
      <c r="K139" s="105">
        <f>IF('Employee Master'!B139="","",'⑥ Annual Performance'!N139)</f>
        <v>0</v>
      </c>
      <c r="L139" s="104">
        <f>IF('Employee Master'!B139="","",IF(K139&gt;=1000,10,IF(K139&gt;=750,8,IF(K139&gt;=500,6,IF(K139&gt;=250,4,2)))))</f>
        <v>2</v>
      </c>
      <c r="M139" s="105">
        <f>IF('Employee Master'!B139="","",'⑥ Annual Performance'!K139)</f>
        <v>0</v>
      </c>
      <c r="N139" s="106">
        <f>IF('Employee Master'!B139="","",'⑥ Annual Performance'!L139)</f>
        <v>3.5</v>
      </c>
      <c r="O139" s="104">
        <f>IF('Employee Master'!B139="","",MIN(N139*2,10))</f>
        <v>7</v>
      </c>
      <c r="P139" s="104">
        <f>IF('Employee Master'!B139="","",IF(F139&gt;=36,5,IF(F139&gt;=24,4,IF(F139&gt;=12,3,IF(F139&gt;=6,2,1)))))</f>
        <v>3</v>
      </c>
      <c r="Q139" s="104">
        <f>IF('Employee Master'!B139="","",IF(D139="Sr. Controller",10,IF(D139="Coo",10,IF(D139="Controller",9,IF(D139="Asst. Controller",8,IF(D139="Sr. Manager",8,IF(D139="Manager",7,IF(D139="Asst. Manager",6,IF(D139="Team Lead",7,IF(D139="Asst. Team Lead",5,IF(D139="Sr. Associate",4,IF(D139="Associate",3,IF(D139="Full Stack Developer",5,IF(D139="Project Manager (S/W)",6,IF(D139="Marketing",4,4)))))))))))))))</f>
        <v>5</v>
      </c>
      <c r="R139" s="107">
        <f>IF('Employee Master'!B139="","",H139+J139+L139+O139+P139+Q139)</f>
        <v>22</v>
      </c>
      <c r="S139" s="108">
        <f>IF('Employee Master'!B139="","",3)</f>
        <v>3</v>
      </c>
      <c r="T139" s="104">
        <f>IF('Employee Master'!B139="","",MIN(S139*2,10))</f>
        <v>6</v>
      </c>
      <c r="U139" s="108">
        <f>IF('Employee Master'!B139="","",3)</f>
        <v>3</v>
      </c>
      <c r="V139" s="104">
        <f>IF('Employee Master'!B139="","",MIN(U139*2,10))</f>
        <v>6</v>
      </c>
      <c r="W139" s="108">
        <f>IF('Employee Master'!B139="","",3)</f>
        <v>3</v>
      </c>
      <c r="X139" s="104">
        <f>IF('Employee Master'!B139="","",MIN(W139*2,10))</f>
        <v>6</v>
      </c>
      <c r="Y139" s="108">
        <f>IF('Employee Master'!B139="","",3)</f>
        <v>3</v>
      </c>
      <c r="Z139" s="104">
        <f>IF('Employee Master'!B139="","",MIN(Y139*2,10))</f>
        <v>6</v>
      </c>
      <c r="AA139" s="109">
        <f>IF('Employee Master'!B139="","",T139+V139+X139+Z139)</f>
        <v>24</v>
      </c>
      <c r="AB139" s="110">
        <f>IF('Employee Master'!B139="","",R139+AA139)</f>
        <v>46</v>
      </c>
      <c r="AC139" s="27" t="str">
        <f>IF('Employee Master'!B139="","",IF(AB139&gt;=85,"Exceptional",IF(AB139&gt;=70,"High Performer",IF(AB139&gt;=50,"Meets Expectations",IF(AB139&gt;=30,"Below Expectations","Underperformer")))))</f>
        <v>Below Expectations</v>
      </c>
      <c r="AD139" s="51">
        <f>IF('Employee Master'!B139="","",'Employee Master'!M139)</f>
        <v>0</v>
      </c>
      <c r="AE139" s="52">
        <f>IF('Employee Master'!B139="","",IF(AB139&gt;=85,Settings!B31,IF(AB139&gt;=70,Settings!B32,IF(AB139&gt;=50,Settings!B33,IF(AB139&gt;=30,Settings!B34,Settings!B35)))))</f>
        <v>0.03</v>
      </c>
      <c r="AF139" s="51">
        <f>IF('Employee Master'!B139="","",AD139*(1+AE139))</f>
        <v>0</v>
      </c>
      <c r="AG139" s="51">
        <f>IF('Employee Master'!B139="","",AF139-AD139)</f>
        <v>0</v>
      </c>
      <c r="AH139" s="51">
        <f>IF('Employee Master'!B139="","",AG139*12)</f>
        <v>0</v>
      </c>
    </row>
    <row r="140" spans="1:34" ht="23.25" customHeight="1" x14ac:dyDescent="0.2">
      <c r="A140" s="27">
        <f>IF('Employee Master'!B140="","",ROW()-3)</f>
        <v>137</v>
      </c>
      <c r="B140" s="27" t="str">
        <f>IF('Employee Master'!B140="","",'Employee Master'!C140)</f>
        <v>Aman.J</v>
      </c>
      <c r="C140" s="27" t="str">
        <f>IF('Employee Master'!B140="","",'Employee Master'!D140)</f>
        <v>Remote</v>
      </c>
      <c r="D140" s="27" t="str">
        <f>IF('Employee Master'!B140="","",'Employee Master'!E140)</f>
        <v>Sr. Associate</v>
      </c>
      <c r="E140" s="27" t="str">
        <f>IF('Employee Master'!B140="","",'Employee Master'!G140)</f>
        <v>Nikita Shah</v>
      </c>
      <c r="F140" s="51">
        <f>IF('Employee Master'!B140="","",'⑥ Annual Performance'!R140)</f>
        <v>12</v>
      </c>
      <c r="G140" s="103">
        <f>IF('Employee Master'!B140="","",'⑥ Annual Performance'!J140)</f>
        <v>0</v>
      </c>
      <c r="H140" s="104">
        <f>IF('Employee Master'!B140="","",IF(G140&gt;=0.85,15,IF(G140&gt;=0.7,12,IF(G140&gt;=0.55,9,IF(G140&gt;=0.4,6,3)))))</f>
        <v>3</v>
      </c>
      <c r="I140" s="103">
        <f>IF('Employee Master'!B140="","",'⑥ Annual Performance'!Q140)</f>
        <v>0</v>
      </c>
      <c r="J140" s="104">
        <f>IF('Employee Master'!B140="","",IF(I140&gt;=0.98,10,IF(I140&gt;=0.95,8,IF(I140&gt;=0.9,6,IF(I140&gt;=0.85,4,2)))))</f>
        <v>2</v>
      </c>
      <c r="K140" s="105">
        <f>IF('Employee Master'!B140="","",'⑥ Annual Performance'!N140)</f>
        <v>0</v>
      </c>
      <c r="L140" s="104">
        <f>IF('Employee Master'!B140="","",IF(K140&gt;=1000,10,IF(K140&gt;=750,8,IF(K140&gt;=500,6,IF(K140&gt;=250,4,2)))))</f>
        <v>2</v>
      </c>
      <c r="M140" s="105">
        <f>IF('Employee Master'!B140="","",'⑥ Annual Performance'!K140)</f>
        <v>0</v>
      </c>
      <c r="N140" s="106">
        <f>IF('Employee Master'!B140="","",'⑥ Annual Performance'!L140)</f>
        <v>3.5</v>
      </c>
      <c r="O140" s="104">
        <f>IF('Employee Master'!B140="","",MIN(N140*2,10))</f>
        <v>7</v>
      </c>
      <c r="P140" s="104">
        <f>IF('Employee Master'!B140="","",IF(F140&gt;=36,5,IF(F140&gt;=24,4,IF(F140&gt;=12,3,IF(F140&gt;=6,2,1)))))</f>
        <v>3</v>
      </c>
      <c r="Q140" s="104">
        <f>IF('Employee Master'!B140="","",IF(D140="Sr. Controller",10,IF(D140="Coo",10,IF(D140="Controller",9,IF(D140="Asst. Controller",8,IF(D140="Sr. Manager",8,IF(D140="Manager",7,IF(D140="Asst. Manager",6,IF(D140="Team Lead",7,IF(D140="Asst. Team Lead",5,IF(D140="Sr. Associate",4,IF(D140="Associate",3,IF(D140="Full Stack Developer",5,IF(D140="Project Manager (S/W)",6,IF(D140="Marketing",4,4)))))))))))))))</f>
        <v>4</v>
      </c>
      <c r="R140" s="107">
        <f>IF('Employee Master'!B140="","",H140+J140+L140+O140+P140+Q140)</f>
        <v>21</v>
      </c>
      <c r="S140" s="108">
        <f>IF('Employee Master'!B140="","",3)</f>
        <v>3</v>
      </c>
      <c r="T140" s="104">
        <f>IF('Employee Master'!B140="","",MIN(S140*2,10))</f>
        <v>6</v>
      </c>
      <c r="U140" s="108">
        <f>IF('Employee Master'!B140="","",3)</f>
        <v>3</v>
      </c>
      <c r="V140" s="104">
        <f>IF('Employee Master'!B140="","",MIN(U140*2,10))</f>
        <v>6</v>
      </c>
      <c r="W140" s="108">
        <f>IF('Employee Master'!B140="","",3)</f>
        <v>3</v>
      </c>
      <c r="X140" s="104">
        <f>IF('Employee Master'!B140="","",MIN(W140*2,10))</f>
        <v>6</v>
      </c>
      <c r="Y140" s="108">
        <f>IF('Employee Master'!B140="","",3)</f>
        <v>3</v>
      </c>
      <c r="Z140" s="104">
        <f>IF('Employee Master'!B140="","",MIN(Y140*2,10))</f>
        <v>6</v>
      </c>
      <c r="AA140" s="109">
        <f>IF('Employee Master'!B140="","",T140+V140+X140+Z140)</f>
        <v>24</v>
      </c>
      <c r="AB140" s="110">
        <f>IF('Employee Master'!B140="","",R140+AA140)</f>
        <v>45</v>
      </c>
      <c r="AC140" s="27" t="str">
        <f>IF('Employee Master'!B140="","",IF(AB140&gt;=85,"Exceptional",IF(AB140&gt;=70,"High Performer",IF(AB140&gt;=50,"Meets Expectations",IF(AB140&gt;=30,"Below Expectations","Underperformer")))))</f>
        <v>Below Expectations</v>
      </c>
      <c r="AD140" s="51">
        <f>IF('Employee Master'!B140="","",'Employee Master'!M140)</f>
        <v>0</v>
      </c>
      <c r="AE140" s="52">
        <f>IF('Employee Master'!B140="","",IF(AB140&gt;=85,Settings!B31,IF(AB140&gt;=70,Settings!B32,IF(AB140&gt;=50,Settings!B33,IF(AB140&gt;=30,Settings!B34,Settings!B35)))))</f>
        <v>0.03</v>
      </c>
      <c r="AF140" s="51">
        <f>IF('Employee Master'!B140="","",AD140*(1+AE140))</f>
        <v>0</v>
      </c>
      <c r="AG140" s="51">
        <f>IF('Employee Master'!B140="","",AF140-AD140)</f>
        <v>0</v>
      </c>
      <c r="AH140" s="51">
        <f>IF('Employee Master'!B140="","",AG140*12)</f>
        <v>0</v>
      </c>
    </row>
    <row r="141" spans="1:34" ht="23.25" customHeight="1" x14ac:dyDescent="0.2">
      <c r="A141" s="27">
        <f>IF('Employee Master'!B141="","",ROW()-3)</f>
        <v>138</v>
      </c>
      <c r="B141" s="27" t="str">
        <f>IF('Employee Master'!B141="","",'Employee Master'!C141)</f>
        <v>Matt.H</v>
      </c>
      <c r="C141" s="27" t="str">
        <f>IF('Employee Master'!B141="","",'Employee Master'!D141)</f>
        <v>Remote</v>
      </c>
      <c r="D141" s="27" t="str">
        <f>IF('Employee Master'!B141="","",'Employee Master'!E141)</f>
        <v>Associate</v>
      </c>
      <c r="E141" s="27" t="str">
        <f>IF('Employee Master'!B141="","",'Employee Master'!G141)</f>
        <v>Angela</v>
      </c>
      <c r="F141" s="51">
        <f>IF('Employee Master'!B141="","",'⑥ Annual Performance'!R141)</f>
        <v>12</v>
      </c>
      <c r="G141" s="103">
        <f>IF('Employee Master'!B141="","",'⑥ Annual Performance'!J141)</f>
        <v>0</v>
      </c>
      <c r="H141" s="104">
        <f>IF('Employee Master'!B141="","",IF(G141&gt;=0.85,15,IF(G141&gt;=0.7,12,IF(G141&gt;=0.55,9,IF(G141&gt;=0.4,6,3)))))</f>
        <v>3</v>
      </c>
      <c r="I141" s="103">
        <f>IF('Employee Master'!B141="","",'⑥ Annual Performance'!Q141)</f>
        <v>0</v>
      </c>
      <c r="J141" s="104">
        <f>IF('Employee Master'!B141="","",IF(I141&gt;=0.98,10,IF(I141&gt;=0.95,8,IF(I141&gt;=0.9,6,IF(I141&gt;=0.85,4,2)))))</f>
        <v>2</v>
      </c>
      <c r="K141" s="105">
        <f>IF('Employee Master'!B141="","",'⑥ Annual Performance'!N141)</f>
        <v>0</v>
      </c>
      <c r="L141" s="104">
        <f>IF('Employee Master'!B141="","",IF(K141&gt;=1000,10,IF(K141&gt;=750,8,IF(K141&gt;=500,6,IF(K141&gt;=250,4,2)))))</f>
        <v>2</v>
      </c>
      <c r="M141" s="105">
        <f>IF('Employee Master'!B141="","",'⑥ Annual Performance'!K141)</f>
        <v>0</v>
      </c>
      <c r="N141" s="106">
        <f>IF('Employee Master'!B141="","",'⑥ Annual Performance'!L141)</f>
        <v>3.5</v>
      </c>
      <c r="O141" s="104">
        <f>IF('Employee Master'!B141="","",MIN(N141*2,10))</f>
        <v>7</v>
      </c>
      <c r="P141" s="104">
        <f>IF('Employee Master'!B141="","",IF(F141&gt;=36,5,IF(F141&gt;=24,4,IF(F141&gt;=12,3,IF(F141&gt;=6,2,1)))))</f>
        <v>3</v>
      </c>
      <c r="Q141" s="104">
        <f>IF('Employee Master'!B141="","",IF(D141="Sr. Controller",10,IF(D141="Coo",10,IF(D141="Controller",9,IF(D141="Asst. Controller",8,IF(D141="Sr. Manager",8,IF(D141="Manager",7,IF(D141="Asst. Manager",6,IF(D141="Team Lead",7,IF(D141="Asst. Team Lead",5,IF(D141="Sr. Associate",4,IF(D141="Associate",3,IF(D141="Full Stack Developer",5,IF(D141="Project Manager (S/W)",6,IF(D141="Marketing",4,4)))))))))))))))</f>
        <v>3</v>
      </c>
      <c r="R141" s="107">
        <f>IF('Employee Master'!B141="","",H141+J141+L141+O141+P141+Q141)</f>
        <v>20</v>
      </c>
      <c r="S141" s="108">
        <f>IF('Employee Master'!B141="","",3)</f>
        <v>3</v>
      </c>
      <c r="T141" s="104">
        <f>IF('Employee Master'!B141="","",MIN(S141*2,10))</f>
        <v>6</v>
      </c>
      <c r="U141" s="108">
        <f>IF('Employee Master'!B141="","",3)</f>
        <v>3</v>
      </c>
      <c r="V141" s="104">
        <f>IF('Employee Master'!B141="","",MIN(U141*2,10))</f>
        <v>6</v>
      </c>
      <c r="W141" s="108">
        <f>IF('Employee Master'!B141="","",3)</f>
        <v>3</v>
      </c>
      <c r="X141" s="104">
        <f>IF('Employee Master'!B141="","",MIN(W141*2,10))</f>
        <v>6</v>
      </c>
      <c r="Y141" s="108">
        <f>IF('Employee Master'!B141="","",3)</f>
        <v>3</v>
      </c>
      <c r="Z141" s="104">
        <f>IF('Employee Master'!B141="","",MIN(Y141*2,10))</f>
        <v>6</v>
      </c>
      <c r="AA141" s="109">
        <f>IF('Employee Master'!B141="","",T141+V141+X141+Z141)</f>
        <v>24</v>
      </c>
      <c r="AB141" s="110">
        <f>IF('Employee Master'!B141="","",R141+AA141)</f>
        <v>44</v>
      </c>
      <c r="AC141" s="27" t="str">
        <f>IF('Employee Master'!B141="","",IF(AB141&gt;=85,"Exceptional",IF(AB141&gt;=70,"High Performer",IF(AB141&gt;=50,"Meets Expectations",IF(AB141&gt;=30,"Below Expectations","Underperformer")))))</f>
        <v>Below Expectations</v>
      </c>
      <c r="AD141" s="51">
        <f>IF('Employee Master'!B141="","",'Employee Master'!M141)</f>
        <v>0</v>
      </c>
      <c r="AE141" s="52">
        <f>IF('Employee Master'!B141="","",IF(AB141&gt;=85,Settings!B31,IF(AB141&gt;=70,Settings!B32,IF(AB141&gt;=50,Settings!B33,IF(AB141&gt;=30,Settings!B34,Settings!B35)))))</f>
        <v>0.03</v>
      </c>
      <c r="AF141" s="51">
        <f>IF('Employee Master'!B141="","",AD141*(1+AE141))</f>
        <v>0</v>
      </c>
      <c r="AG141" s="51">
        <f>IF('Employee Master'!B141="","",AF141-AD141)</f>
        <v>0</v>
      </c>
      <c r="AH141" s="51">
        <f>IF('Employee Master'!B141="","",AG141*12)</f>
        <v>0</v>
      </c>
    </row>
    <row r="142" spans="1:34" ht="23.25" customHeight="1" x14ac:dyDescent="0.2">
      <c r="A142" s="27">
        <f>IF('Employee Master'!B142="","",ROW()-3)</f>
        <v>139</v>
      </c>
      <c r="B142" s="27" t="str">
        <f>IF('Employee Master'!B142="","",'Employee Master'!C142)</f>
        <v>Puja.G</v>
      </c>
      <c r="C142" s="27" t="str">
        <f>IF('Employee Master'!B142="","",'Employee Master'!D142)</f>
        <v>Remote</v>
      </c>
      <c r="D142" s="27" t="str">
        <f>IF('Employee Master'!B142="","",'Employee Master'!E142)</f>
        <v>Sr. Associate</v>
      </c>
      <c r="E142" s="27" t="str">
        <f>IF('Employee Master'!B142="","",'Employee Master'!G142)</f>
        <v>Ammie</v>
      </c>
      <c r="F142" s="51">
        <f>IF('Employee Master'!B142="","",'⑥ Annual Performance'!R142)</f>
        <v>12</v>
      </c>
      <c r="G142" s="103">
        <f>IF('Employee Master'!B142="","",'⑥ Annual Performance'!J142)</f>
        <v>0</v>
      </c>
      <c r="H142" s="104">
        <f>IF('Employee Master'!B142="","",IF(G142&gt;=0.85,15,IF(G142&gt;=0.7,12,IF(G142&gt;=0.55,9,IF(G142&gt;=0.4,6,3)))))</f>
        <v>3</v>
      </c>
      <c r="I142" s="103">
        <f>IF('Employee Master'!B142="","",'⑥ Annual Performance'!Q142)</f>
        <v>0</v>
      </c>
      <c r="J142" s="104">
        <f>IF('Employee Master'!B142="","",IF(I142&gt;=0.98,10,IF(I142&gt;=0.95,8,IF(I142&gt;=0.9,6,IF(I142&gt;=0.85,4,2)))))</f>
        <v>2</v>
      </c>
      <c r="K142" s="105">
        <f>IF('Employee Master'!B142="","",'⑥ Annual Performance'!N142)</f>
        <v>0</v>
      </c>
      <c r="L142" s="104">
        <f>IF('Employee Master'!B142="","",IF(K142&gt;=1000,10,IF(K142&gt;=750,8,IF(K142&gt;=500,6,IF(K142&gt;=250,4,2)))))</f>
        <v>2</v>
      </c>
      <c r="M142" s="105">
        <f>IF('Employee Master'!B142="","",'⑥ Annual Performance'!K142)</f>
        <v>0</v>
      </c>
      <c r="N142" s="106">
        <f>IF('Employee Master'!B142="","",'⑥ Annual Performance'!L142)</f>
        <v>3.5</v>
      </c>
      <c r="O142" s="104">
        <f>IF('Employee Master'!B142="","",MIN(N142*2,10))</f>
        <v>7</v>
      </c>
      <c r="P142" s="104">
        <f>IF('Employee Master'!B142="","",IF(F142&gt;=36,5,IF(F142&gt;=24,4,IF(F142&gt;=12,3,IF(F142&gt;=6,2,1)))))</f>
        <v>3</v>
      </c>
      <c r="Q142" s="104">
        <f>IF('Employee Master'!B142="","",IF(D142="Sr. Controller",10,IF(D142="Coo",10,IF(D142="Controller",9,IF(D142="Asst. Controller",8,IF(D142="Sr. Manager",8,IF(D142="Manager",7,IF(D142="Asst. Manager",6,IF(D142="Team Lead",7,IF(D142="Asst. Team Lead",5,IF(D142="Sr. Associate",4,IF(D142="Associate",3,IF(D142="Full Stack Developer",5,IF(D142="Project Manager (S/W)",6,IF(D142="Marketing",4,4)))))))))))))))</f>
        <v>4</v>
      </c>
      <c r="R142" s="107">
        <f>IF('Employee Master'!B142="","",H142+J142+L142+O142+P142+Q142)</f>
        <v>21</v>
      </c>
      <c r="S142" s="108">
        <f>IF('Employee Master'!B142="","",3)</f>
        <v>3</v>
      </c>
      <c r="T142" s="104">
        <f>IF('Employee Master'!B142="","",MIN(S142*2,10))</f>
        <v>6</v>
      </c>
      <c r="U142" s="108">
        <f>IF('Employee Master'!B142="","",3)</f>
        <v>3</v>
      </c>
      <c r="V142" s="104">
        <f>IF('Employee Master'!B142="","",MIN(U142*2,10))</f>
        <v>6</v>
      </c>
      <c r="W142" s="108">
        <f>IF('Employee Master'!B142="","",3)</f>
        <v>3</v>
      </c>
      <c r="X142" s="104">
        <f>IF('Employee Master'!B142="","",MIN(W142*2,10))</f>
        <v>6</v>
      </c>
      <c r="Y142" s="108">
        <f>IF('Employee Master'!B142="","",3)</f>
        <v>3</v>
      </c>
      <c r="Z142" s="104">
        <f>IF('Employee Master'!B142="","",MIN(Y142*2,10))</f>
        <v>6</v>
      </c>
      <c r="AA142" s="109">
        <f>IF('Employee Master'!B142="","",T142+V142+X142+Z142)</f>
        <v>24</v>
      </c>
      <c r="AB142" s="110">
        <f>IF('Employee Master'!B142="","",R142+AA142)</f>
        <v>45</v>
      </c>
      <c r="AC142" s="27" t="str">
        <f>IF('Employee Master'!B142="","",IF(AB142&gt;=85,"Exceptional",IF(AB142&gt;=70,"High Performer",IF(AB142&gt;=50,"Meets Expectations",IF(AB142&gt;=30,"Below Expectations","Underperformer")))))</f>
        <v>Below Expectations</v>
      </c>
      <c r="AD142" s="51">
        <f>IF('Employee Master'!B142="","",'Employee Master'!M142)</f>
        <v>0</v>
      </c>
      <c r="AE142" s="52">
        <f>IF('Employee Master'!B142="","",IF(AB142&gt;=85,Settings!B31,IF(AB142&gt;=70,Settings!B32,IF(AB142&gt;=50,Settings!B33,IF(AB142&gt;=30,Settings!B34,Settings!B35)))))</f>
        <v>0.03</v>
      </c>
      <c r="AF142" s="51">
        <f>IF('Employee Master'!B142="","",AD142*(1+AE142))</f>
        <v>0</v>
      </c>
      <c r="AG142" s="51">
        <f>IF('Employee Master'!B142="","",AF142-AD142)</f>
        <v>0</v>
      </c>
      <c r="AH142" s="51">
        <f>IF('Employee Master'!B142="","",AG142*12)</f>
        <v>0</v>
      </c>
    </row>
    <row r="143" spans="1:34" ht="23.25" customHeight="1" x14ac:dyDescent="0.2">
      <c r="A143" s="27">
        <f>IF('Employee Master'!B143="","",ROW()-3)</f>
        <v>140</v>
      </c>
      <c r="B143" s="27" t="str">
        <f>IF('Employee Master'!B143="","",'Employee Master'!C143)</f>
        <v>Keily.S</v>
      </c>
      <c r="C143" s="27" t="str">
        <f>IF('Employee Master'!B143="","",'Employee Master'!D143)</f>
        <v>Remote</v>
      </c>
      <c r="D143" s="27" t="str">
        <f>IF('Employee Master'!B143="","",'Employee Master'!E143)</f>
        <v>Associate</v>
      </c>
      <c r="E143" s="27" t="str">
        <f>IF('Employee Master'!B143="","",'Employee Master'!G143)</f>
        <v>Angela</v>
      </c>
      <c r="F143" s="51">
        <f>IF('Employee Master'!B143="","",'⑥ Annual Performance'!R143)</f>
        <v>12</v>
      </c>
      <c r="G143" s="103">
        <f>IF('Employee Master'!B143="","",'⑥ Annual Performance'!J143)</f>
        <v>0</v>
      </c>
      <c r="H143" s="104">
        <f>IF('Employee Master'!B143="","",IF(G143&gt;=0.85,15,IF(G143&gt;=0.7,12,IF(G143&gt;=0.55,9,IF(G143&gt;=0.4,6,3)))))</f>
        <v>3</v>
      </c>
      <c r="I143" s="103">
        <f>IF('Employee Master'!B143="","",'⑥ Annual Performance'!Q143)</f>
        <v>0</v>
      </c>
      <c r="J143" s="104">
        <f>IF('Employee Master'!B143="","",IF(I143&gt;=0.98,10,IF(I143&gt;=0.95,8,IF(I143&gt;=0.9,6,IF(I143&gt;=0.85,4,2)))))</f>
        <v>2</v>
      </c>
      <c r="K143" s="105">
        <f>IF('Employee Master'!B143="","",'⑥ Annual Performance'!N143)</f>
        <v>0</v>
      </c>
      <c r="L143" s="104">
        <f>IF('Employee Master'!B143="","",IF(K143&gt;=1000,10,IF(K143&gt;=750,8,IF(K143&gt;=500,6,IF(K143&gt;=250,4,2)))))</f>
        <v>2</v>
      </c>
      <c r="M143" s="105">
        <f>IF('Employee Master'!B143="","",'⑥ Annual Performance'!K143)</f>
        <v>0</v>
      </c>
      <c r="N143" s="106">
        <f>IF('Employee Master'!B143="","",'⑥ Annual Performance'!L143)</f>
        <v>3.5</v>
      </c>
      <c r="O143" s="104">
        <f>IF('Employee Master'!B143="","",MIN(N143*2,10))</f>
        <v>7</v>
      </c>
      <c r="P143" s="104">
        <f>IF('Employee Master'!B143="","",IF(F143&gt;=36,5,IF(F143&gt;=24,4,IF(F143&gt;=12,3,IF(F143&gt;=6,2,1)))))</f>
        <v>3</v>
      </c>
      <c r="Q143" s="104">
        <f>IF('Employee Master'!B143="","",IF(D143="Sr. Controller",10,IF(D143="Coo",10,IF(D143="Controller",9,IF(D143="Asst. Controller",8,IF(D143="Sr. Manager",8,IF(D143="Manager",7,IF(D143="Asst. Manager",6,IF(D143="Team Lead",7,IF(D143="Asst. Team Lead",5,IF(D143="Sr. Associate",4,IF(D143="Associate",3,IF(D143="Full Stack Developer",5,IF(D143="Project Manager (S/W)",6,IF(D143="Marketing",4,4)))))))))))))))</f>
        <v>3</v>
      </c>
      <c r="R143" s="107">
        <f>IF('Employee Master'!B143="","",H143+J143+L143+O143+P143+Q143)</f>
        <v>20</v>
      </c>
      <c r="S143" s="108">
        <f>IF('Employee Master'!B143="","",3)</f>
        <v>3</v>
      </c>
      <c r="T143" s="104">
        <f>IF('Employee Master'!B143="","",MIN(S143*2,10))</f>
        <v>6</v>
      </c>
      <c r="U143" s="108">
        <f>IF('Employee Master'!B143="","",3)</f>
        <v>3</v>
      </c>
      <c r="V143" s="104">
        <f>IF('Employee Master'!B143="","",MIN(U143*2,10))</f>
        <v>6</v>
      </c>
      <c r="W143" s="108">
        <f>IF('Employee Master'!B143="","",3)</f>
        <v>3</v>
      </c>
      <c r="X143" s="104">
        <f>IF('Employee Master'!B143="","",MIN(W143*2,10))</f>
        <v>6</v>
      </c>
      <c r="Y143" s="108">
        <f>IF('Employee Master'!B143="","",3)</f>
        <v>3</v>
      </c>
      <c r="Z143" s="104">
        <f>IF('Employee Master'!B143="","",MIN(Y143*2,10))</f>
        <v>6</v>
      </c>
      <c r="AA143" s="109">
        <f>IF('Employee Master'!B143="","",T143+V143+X143+Z143)</f>
        <v>24</v>
      </c>
      <c r="AB143" s="110">
        <f>IF('Employee Master'!B143="","",R143+AA143)</f>
        <v>44</v>
      </c>
      <c r="AC143" s="27" t="str">
        <f>IF('Employee Master'!B143="","",IF(AB143&gt;=85,"Exceptional",IF(AB143&gt;=70,"High Performer",IF(AB143&gt;=50,"Meets Expectations",IF(AB143&gt;=30,"Below Expectations","Underperformer")))))</f>
        <v>Below Expectations</v>
      </c>
      <c r="AD143" s="51">
        <f>IF('Employee Master'!B143="","",'Employee Master'!M143)</f>
        <v>0</v>
      </c>
      <c r="AE143" s="52">
        <f>IF('Employee Master'!B143="","",IF(AB143&gt;=85,Settings!B31,IF(AB143&gt;=70,Settings!B32,IF(AB143&gt;=50,Settings!B33,IF(AB143&gt;=30,Settings!B34,Settings!B35)))))</f>
        <v>0.03</v>
      </c>
      <c r="AF143" s="51">
        <f>IF('Employee Master'!B143="","",AD143*(1+AE143))</f>
        <v>0</v>
      </c>
      <c r="AG143" s="51">
        <f>IF('Employee Master'!B143="","",AF143-AD143)</f>
        <v>0</v>
      </c>
      <c r="AH143" s="51">
        <f>IF('Employee Master'!B143="","",AG143*12)</f>
        <v>0</v>
      </c>
    </row>
    <row r="144" spans="1:34" ht="23.25" customHeight="1" x14ac:dyDescent="0.2">
      <c r="A144" s="27">
        <f>IF('Employee Master'!B144="","",ROW()-3)</f>
        <v>141</v>
      </c>
      <c r="B144" s="27" t="str">
        <f>IF('Employee Master'!B144="","",'Employee Master'!C144)</f>
        <v>Bhavana.T</v>
      </c>
      <c r="C144" s="27" t="str">
        <f>IF('Employee Master'!B144="","",'Employee Master'!D144)</f>
        <v>In-house</v>
      </c>
      <c r="D144" s="27" t="str">
        <f>IF('Employee Master'!B144="","",'Employee Master'!E144)</f>
        <v>Asst. Team Lead</v>
      </c>
      <c r="E144" s="27" t="str">
        <f>IF('Employee Master'!B144="","",'Employee Master'!G144)</f>
        <v>Sukhmeen.K</v>
      </c>
      <c r="F144" s="51">
        <f>IF('Employee Master'!B144="","",'⑥ Annual Performance'!R144)</f>
        <v>12</v>
      </c>
      <c r="G144" s="103">
        <f>IF('Employee Master'!B144="","",'⑥ Annual Performance'!J144)</f>
        <v>0</v>
      </c>
      <c r="H144" s="104">
        <f>IF('Employee Master'!B144="","",IF(G144&gt;=0.85,15,IF(G144&gt;=0.7,12,IF(G144&gt;=0.55,9,IF(G144&gt;=0.4,6,3)))))</f>
        <v>3</v>
      </c>
      <c r="I144" s="103">
        <f>IF('Employee Master'!B144="","",'⑥ Annual Performance'!Q144)</f>
        <v>0</v>
      </c>
      <c r="J144" s="104">
        <f>IF('Employee Master'!B144="","",IF(I144&gt;=0.98,10,IF(I144&gt;=0.95,8,IF(I144&gt;=0.9,6,IF(I144&gt;=0.85,4,2)))))</f>
        <v>2</v>
      </c>
      <c r="K144" s="105">
        <f>IF('Employee Master'!B144="","",'⑥ Annual Performance'!N144)</f>
        <v>0</v>
      </c>
      <c r="L144" s="104">
        <f>IF('Employee Master'!B144="","",IF(K144&gt;=1000,10,IF(K144&gt;=750,8,IF(K144&gt;=500,6,IF(K144&gt;=250,4,2)))))</f>
        <v>2</v>
      </c>
      <c r="M144" s="105">
        <f>IF('Employee Master'!B144="","",'⑥ Annual Performance'!K144)</f>
        <v>0</v>
      </c>
      <c r="N144" s="106">
        <f>IF('Employee Master'!B144="","",'⑥ Annual Performance'!L144)</f>
        <v>3.5</v>
      </c>
      <c r="O144" s="104">
        <f>IF('Employee Master'!B144="","",MIN(N144*2,10))</f>
        <v>7</v>
      </c>
      <c r="P144" s="104">
        <f>IF('Employee Master'!B144="","",IF(F144&gt;=36,5,IF(F144&gt;=24,4,IF(F144&gt;=12,3,IF(F144&gt;=6,2,1)))))</f>
        <v>3</v>
      </c>
      <c r="Q144" s="104">
        <f>IF('Employee Master'!B144="","",IF(D144="Sr. Controller",10,IF(D144="Coo",10,IF(D144="Controller",9,IF(D144="Asst. Controller",8,IF(D144="Sr. Manager",8,IF(D144="Manager",7,IF(D144="Asst. Manager",6,IF(D144="Team Lead",7,IF(D144="Asst. Team Lead",5,IF(D144="Sr. Associate",4,IF(D144="Associate",3,IF(D144="Full Stack Developer",5,IF(D144="Project Manager (S/W)",6,IF(D144="Marketing",4,4)))))))))))))))</f>
        <v>5</v>
      </c>
      <c r="R144" s="107">
        <f>IF('Employee Master'!B144="","",H144+J144+L144+O144+P144+Q144)</f>
        <v>22</v>
      </c>
      <c r="S144" s="108">
        <f>IF('Employee Master'!B144="","",3)</f>
        <v>3</v>
      </c>
      <c r="T144" s="104">
        <f>IF('Employee Master'!B144="","",MIN(S144*2,10))</f>
        <v>6</v>
      </c>
      <c r="U144" s="108">
        <f>IF('Employee Master'!B144="","",3)</f>
        <v>3</v>
      </c>
      <c r="V144" s="104">
        <f>IF('Employee Master'!B144="","",MIN(U144*2,10))</f>
        <v>6</v>
      </c>
      <c r="W144" s="108">
        <f>IF('Employee Master'!B144="","",3)</f>
        <v>3</v>
      </c>
      <c r="X144" s="104">
        <f>IF('Employee Master'!B144="","",MIN(W144*2,10))</f>
        <v>6</v>
      </c>
      <c r="Y144" s="108">
        <f>IF('Employee Master'!B144="","",3)</f>
        <v>3</v>
      </c>
      <c r="Z144" s="104">
        <f>IF('Employee Master'!B144="","",MIN(Y144*2,10))</f>
        <v>6</v>
      </c>
      <c r="AA144" s="109">
        <f>IF('Employee Master'!B144="","",T144+V144+X144+Z144)</f>
        <v>24</v>
      </c>
      <c r="AB144" s="110">
        <f>IF('Employee Master'!B144="","",R144+AA144)</f>
        <v>46</v>
      </c>
      <c r="AC144" s="27" t="str">
        <f>IF('Employee Master'!B144="","",IF(AB144&gt;=85,"Exceptional",IF(AB144&gt;=70,"High Performer",IF(AB144&gt;=50,"Meets Expectations",IF(AB144&gt;=30,"Below Expectations","Underperformer")))))</f>
        <v>Below Expectations</v>
      </c>
      <c r="AD144" s="51">
        <f>IF('Employee Master'!B144="","",'Employee Master'!M144)</f>
        <v>0</v>
      </c>
      <c r="AE144" s="52">
        <f>IF('Employee Master'!B144="","",IF(AB144&gt;=85,Settings!B31,IF(AB144&gt;=70,Settings!B32,IF(AB144&gt;=50,Settings!B33,IF(AB144&gt;=30,Settings!B34,Settings!B35)))))</f>
        <v>0.03</v>
      </c>
      <c r="AF144" s="51">
        <f>IF('Employee Master'!B144="","",AD144*(1+AE144))</f>
        <v>0</v>
      </c>
      <c r="AG144" s="51">
        <f>IF('Employee Master'!B144="","",AF144-AD144)</f>
        <v>0</v>
      </c>
      <c r="AH144" s="51">
        <f>IF('Employee Master'!B144="","",AG144*12)</f>
        <v>0</v>
      </c>
    </row>
    <row r="145" spans="1:34" ht="23.25" customHeight="1" x14ac:dyDescent="0.2">
      <c r="A145" s="27">
        <f>IF('Employee Master'!B145="","",ROW()-3)</f>
        <v>142</v>
      </c>
      <c r="B145" s="27" t="str">
        <f>IF('Employee Master'!B145="","",'Employee Master'!C145)</f>
        <v>Shubhanshi.A</v>
      </c>
      <c r="C145" s="27" t="str">
        <f>IF('Employee Master'!B145="","",'Employee Master'!D145)</f>
        <v>In-house</v>
      </c>
      <c r="D145" s="27" t="str">
        <f>IF('Employee Master'!B145="","",'Employee Master'!E145)</f>
        <v>Sr. Associate</v>
      </c>
      <c r="E145" s="27" t="str">
        <f>IF('Employee Master'!B145="","",'Employee Master'!G145)</f>
        <v>Ammie</v>
      </c>
      <c r="F145" s="51">
        <f>IF('Employee Master'!B145="","",'⑥ Annual Performance'!R145)</f>
        <v>12</v>
      </c>
      <c r="G145" s="103">
        <f>IF('Employee Master'!B145="","",'⑥ Annual Performance'!J145)</f>
        <v>0</v>
      </c>
      <c r="H145" s="104">
        <f>IF('Employee Master'!B145="","",IF(G145&gt;=0.85,15,IF(G145&gt;=0.7,12,IF(G145&gt;=0.55,9,IF(G145&gt;=0.4,6,3)))))</f>
        <v>3</v>
      </c>
      <c r="I145" s="103">
        <f>IF('Employee Master'!B145="","",'⑥ Annual Performance'!Q145)</f>
        <v>0</v>
      </c>
      <c r="J145" s="104">
        <f>IF('Employee Master'!B145="","",IF(I145&gt;=0.98,10,IF(I145&gt;=0.95,8,IF(I145&gt;=0.9,6,IF(I145&gt;=0.85,4,2)))))</f>
        <v>2</v>
      </c>
      <c r="K145" s="105">
        <f>IF('Employee Master'!B145="","",'⑥ Annual Performance'!N145)</f>
        <v>0</v>
      </c>
      <c r="L145" s="104">
        <f>IF('Employee Master'!B145="","",IF(K145&gt;=1000,10,IF(K145&gt;=750,8,IF(K145&gt;=500,6,IF(K145&gt;=250,4,2)))))</f>
        <v>2</v>
      </c>
      <c r="M145" s="105">
        <f>IF('Employee Master'!B145="","",'⑥ Annual Performance'!K145)</f>
        <v>0</v>
      </c>
      <c r="N145" s="106">
        <f>IF('Employee Master'!B145="","",'⑥ Annual Performance'!L145)</f>
        <v>3.5</v>
      </c>
      <c r="O145" s="104">
        <f>IF('Employee Master'!B145="","",MIN(N145*2,10))</f>
        <v>7</v>
      </c>
      <c r="P145" s="104">
        <f>IF('Employee Master'!B145="","",IF(F145&gt;=36,5,IF(F145&gt;=24,4,IF(F145&gt;=12,3,IF(F145&gt;=6,2,1)))))</f>
        <v>3</v>
      </c>
      <c r="Q145" s="104">
        <f>IF('Employee Master'!B145="","",IF(D145="Sr. Controller",10,IF(D145="Coo",10,IF(D145="Controller",9,IF(D145="Asst. Controller",8,IF(D145="Sr. Manager",8,IF(D145="Manager",7,IF(D145="Asst. Manager",6,IF(D145="Team Lead",7,IF(D145="Asst. Team Lead",5,IF(D145="Sr. Associate",4,IF(D145="Associate",3,IF(D145="Full Stack Developer",5,IF(D145="Project Manager (S/W)",6,IF(D145="Marketing",4,4)))))))))))))))</f>
        <v>4</v>
      </c>
      <c r="R145" s="107">
        <f>IF('Employee Master'!B145="","",H145+J145+L145+O145+P145+Q145)</f>
        <v>21</v>
      </c>
      <c r="S145" s="108">
        <f>IF('Employee Master'!B145="","",3)</f>
        <v>3</v>
      </c>
      <c r="T145" s="104">
        <f>IF('Employee Master'!B145="","",MIN(S145*2,10))</f>
        <v>6</v>
      </c>
      <c r="U145" s="108">
        <f>IF('Employee Master'!B145="","",3)</f>
        <v>3</v>
      </c>
      <c r="V145" s="104">
        <f>IF('Employee Master'!B145="","",MIN(U145*2,10))</f>
        <v>6</v>
      </c>
      <c r="W145" s="108">
        <f>IF('Employee Master'!B145="","",3)</f>
        <v>3</v>
      </c>
      <c r="X145" s="104">
        <f>IF('Employee Master'!B145="","",MIN(W145*2,10))</f>
        <v>6</v>
      </c>
      <c r="Y145" s="108">
        <f>IF('Employee Master'!B145="","",3)</f>
        <v>3</v>
      </c>
      <c r="Z145" s="104">
        <f>IF('Employee Master'!B145="","",MIN(Y145*2,10))</f>
        <v>6</v>
      </c>
      <c r="AA145" s="109">
        <f>IF('Employee Master'!B145="","",T145+V145+X145+Z145)</f>
        <v>24</v>
      </c>
      <c r="AB145" s="110">
        <f>IF('Employee Master'!B145="","",R145+AA145)</f>
        <v>45</v>
      </c>
      <c r="AC145" s="27" t="str">
        <f>IF('Employee Master'!B145="","",IF(AB145&gt;=85,"Exceptional",IF(AB145&gt;=70,"High Performer",IF(AB145&gt;=50,"Meets Expectations",IF(AB145&gt;=30,"Below Expectations","Underperformer")))))</f>
        <v>Below Expectations</v>
      </c>
      <c r="AD145" s="51">
        <f>IF('Employee Master'!B145="","",'Employee Master'!M145)</f>
        <v>0</v>
      </c>
      <c r="AE145" s="52">
        <f>IF('Employee Master'!B145="","",IF(AB145&gt;=85,Settings!B31,IF(AB145&gt;=70,Settings!B32,IF(AB145&gt;=50,Settings!B33,IF(AB145&gt;=30,Settings!B34,Settings!B35)))))</f>
        <v>0.03</v>
      </c>
      <c r="AF145" s="51">
        <f>IF('Employee Master'!B145="","",AD145*(1+AE145))</f>
        <v>0</v>
      </c>
      <c r="AG145" s="51">
        <f>IF('Employee Master'!B145="","",AF145-AD145)</f>
        <v>0</v>
      </c>
      <c r="AH145" s="51">
        <f>IF('Employee Master'!B145="","",AG145*12)</f>
        <v>0</v>
      </c>
    </row>
    <row r="146" spans="1:34" ht="23.25" customHeight="1" x14ac:dyDescent="0.2">
      <c r="A146" s="27" t="str">
        <f>IF('Employee Master'!B146="","",ROW()-3)</f>
        <v/>
      </c>
      <c r="B146" s="27" t="str">
        <f>IF('Employee Master'!B146="","",'Employee Master'!C146)</f>
        <v/>
      </c>
      <c r="C146" s="27" t="str">
        <f>IF('Employee Master'!B146="","",'Employee Master'!D146)</f>
        <v/>
      </c>
      <c r="D146" s="27" t="str">
        <f>IF('Employee Master'!B146="","",'Employee Master'!E146)</f>
        <v/>
      </c>
      <c r="E146" s="27" t="str">
        <f>IF('Employee Master'!B146="","",'Employee Master'!G146)</f>
        <v/>
      </c>
      <c r="F146" s="51" t="str">
        <f>IF('Employee Master'!B146="","",'⑥ Annual Performance'!R146)</f>
        <v/>
      </c>
      <c r="G146" s="103" t="str">
        <f>IF('Employee Master'!B146="","",'⑥ Annual Performance'!J146)</f>
        <v/>
      </c>
      <c r="H146" s="104" t="str">
        <f>IF('Employee Master'!B146="","",IF(G146&gt;=0.85,15,IF(G146&gt;=0.7,12,IF(G146&gt;=0.55,9,IF(G146&gt;=0.4,6,3)))))</f>
        <v/>
      </c>
      <c r="I146" s="103" t="str">
        <f>IF('Employee Master'!B146="","",'⑥ Annual Performance'!Q146)</f>
        <v/>
      </c>
      <c r="J146" s="104" t="str">
        <f>IF('Employee Master'!B146="","",IF(I146&gt;=0.98,10,IF(I146&gt;=0.95,8,IF(I146&gt;=0.9,6,IF(I146&gt;=0.85,4,2)))))</f>
        <v/>
      </c>
      <c r="K146" s="105" t="str">
        <f>IF('Employee Master'!B146="","",'⑥ Annual Performance'!N146)</f>
        <v/>
      </c>
      <c r="L146" s="104" t="str">
        <f>IF('Employee Master'!B146="","",IF(K146&gt;=1000,10,IF(K146&gt;=750,8,IF(K146&gt;=500,6,IF(K146&gt;=250,4,2)))))</f>
        <v/>
      </c>
      <c r="M146" s="105" t="str">
        <f>IF('Employee Master'!B146="","",'⑥ Annual Performance'!K146)</f>
        <v/>
      </c>
      <c r="N146" s="106" t="str">
        <f>IF('Employee Master'!B146="","",'⑥ Annual Performance'!L146)</f>
        <v/>
      </c>
      <c r="O146" s="104" t="str">
        <f>IF('Employee Master'!B146="","",MIN(N146*2,10))</f>
        <v/>
      </c>
      <c r="P146" s="104" t="str">
        <f>IF('Employee Master'!B146="","",IF(F146&gt;=36,5,IF(F146&gt;=24,4,IF(F146&gt;=12,3,IF(F146&gt;=6,2,1)))))</f>
        <v/>
      </c>
      <c r="Q146" s="104" t="str">
        <f>IF('Employee Master'!B146="","",IF(D146="Sr. Controller",10,IF(D146="Coo",10,IF(D146="Controller",9,IF(D146="Asst. Controller",8,IF(D146="Sr. Manager",8,IF(D146="Manager",7,IF(D146="Asst. Manager",6,IF(D146="Team Lead",7,IF(D146="Asst. Team Lead",5,IF(D146="Sr. Associate",4,IF(D146="Associate",3,IF(D146="Full Stack Developer",5,IF(D146="Project Manager (S/W)",6,IF(D146="Marketing",4,4)))))))))))))))</f>
        <v/>
      </c>
      <c r="R146" s="107" t="str">
        <f>IF('Employee Master'!B146="","",H146+J146+L146+O146+P146+Q146)</f>
        <v/>
      </c>
      <c r="S146" s="108" t="str">
        <f>IF('Employee Master'!B146="","",3)</f>
        <v/>
      </c>
      <c r="T146" s="104" t="str">
        <f>IF('Employee Master'!B146="","",MIN(S146*2,10))</f>
        <v/>
      </c>
      <c r="U146" s="108" t="str">
        <f>IF('Employee Master'!B146="","",3)</f>
        <v/>
      </c>
      <c r="V146" s="104" t="str">
        <f>IF('Employee Master'!B146="","",MIN(U146*2,10))</f>
        <v/>
      </c>
      <c r="W146" s="108" t="str">
        <f>IF('Employee Master'!B146="","",3)</f>
        <v/>
      </c>
      <c r="X146" s="104" t="str">
        <f>IF('Employee Master'!B146="","",MIN(W146*2,10))</f>
        <v/>
      </c>
      <c r="Y146" s="108" t="str">
        <f>IF('Employee Master'!B146="","",3)</f>
        <v/>
      </c>
      <c r="Z146" s="104" t="str">
        <f>IF('Employee Master'!B146="","",MIN(Y146*2,10))</f>
        <v/>
      </c>
      <c r="AA146" s="109" t="str">
        <f>IF('Employee Master'!B146="","",T146+V146+X146+Z146)</f>
        <v/>
      </c>
      <c r="AB146" s="110" t="str">
        <f>IF('Employee Master'!B146="","",R146+AA146)</f>
        <v/>
      </c>
      <c r="AC146" s="27" t="str">
        <f>IF('Employee Master'!B146="","",IF(AB146&gt;=85,"Exceptional",IF(AB146&gt;=70,"High Performer",IF(AB146&gt;=50,"Meets Expectations",IF(AB146&gt;=30,"Below Expectations","Underperformer")))))</f>
        <v/>
      </c>
      <c r="AD146" s="51" t="str">
        <f>IF('Employee Master'!B146="","",'Employee Master'!M146)</f>
        <v/>
      </c>
      <c r="AE146" s="52" t="str">
        <f>IF('Employee Master'!B146="","",IF(AB146&gt;=85,Settings!B31,IF(AB146&gt;=70,Settings!B32,IF(AB146&gt;=50,Settings!B33,IF(AB146&gt;=30,Settings!B34,Settings!B35)))))</f>
        <v/>
      </c>
      <c r="AF146" s="51" t="str">
        <f>IF('Employee Master'!B146="","",AD146*(1+AE146))</f>
        <v/>
      </c>
      <c r="AG146" s="51" t="str">
        <f>IF('Employee Master'!B146="","",AF146-AD146)</f>
        <v/>
      </c>
      <c r="AH146" s="51" t="str">
        <f>IF('Employee Master'!B146="","",AG146*12)</f>
        <v/>
      </c>
    </row>
    <row r="147" spans="1:34" ht="15" customHeight="1" x14ac:dyDescent="0.2">
      <c r="A147" s="27" t="str">
        <f>IF('Employee Master'!B147="","",ROW()-3)</f>
        <v/>
      </c>
      <c r="B147" s="27" t="str">
        <f>IF('Employee Master'!B147="","",'Employee Master'!C147)</f>
        <v/>
      </c>
      <c r="C147" s="27" t="str">
        <f>IF('Employee Master'!B147="","",'Employee Master'!D147)</f>
        <v/>
      </c>
      <c r="D147" s="27" t="str">
        <f>IF('Employee Master'!B147="","",'Employee Master'!E147)</f>
        <v/>
      </c>
      <c r="E147" s="27" t="str">
        <f>IF('Employee Master'!B147="","",'Employee Master'!G147)</f>
        <v/>
      </c>
      <c r="F147" s="51" t="str">
        <f>IF('Employee Master'!B147="","",'⑥ Annual Performance'!R147)</f>
        <v/>
      </c>
      <c r="G147" s="103" t="str">
        <f>IF('Employee Master'!B147="","",'⑥ Annual Performance'!J147)</f>
        <v/>
      </c>
      <c r="H147" s="104" t="str">
        <f>IF('Employee Master'!B147="","",IF(G147&gt;=0.85,15,IF(G147&gt;=0.7,12,IF(G147&gt;=0.55,9,IF(G147&gt;=0.4,6,3)))))</f>
        <v/>
      </c>
      <c r="I147" s="103" t="str">
        <f>IF('Employee Master'!B147="","",'⑥ Annual Performance'!Q147)</f>
        <v/>
      </c>
      <c r="J147" s="104" t="str">
        <f>IF('Employee Master'!B147="","",IF(I147&gt;=0.98,10,IF(I147&gt;=0.95,8,IF(I147&gt;=0.9,6,IF(I147&gt;=0.85,4,2)))))</f>
        <v/>
      </c>
      <c r="K147" s="105" t="str">
        <f>IF('Employee Master'!B147="","",'⑥ Annual Performance'!N147)</f>
        <v/>
      </c>
      <c r="L147" s="104" t="str">
        <f>IF('Employee Master'!B147="","",IF(K147&gt;=1000,10,IF(K147&gt;=750,8,IF(K147&gt;=500,6,IF(K147&gt;=250,4,2)))))</f>
        <v/>
      </c>
      <c r="M147" s="105" t="str">
        <f>IF('Employee Master'!B147="","",'⑥ Annual Performance'!K147)</f>
        <v/>
      </c>
      <c r="N147" s="106" t="str">
        <f>IF('Employee Master'!B147="","",'⑥ Annual Performance'!L147)</f>
        <v/>
      </c>
      <c r="O147" s="104" t="str">
        <f>IF('Employee Master'!B147="","",MIN(N147*2,10))</f>
        <v/>
      </c>
      <c r="P147" s="104" t="str">
        <f>IF('Employee Master'!B147="","",IF(F147&gt;=36,5,IF(F147&gt;=24,4,IF(F147&gt;=12,3,IF(F147&gt;=6,2,1)))))</f>
        <v/>
      </c>
      <c r="Q147" s="104" t="str">
        <f>IF('Employee Master'!B147="","",IF(D147="Sr. Controller",10,IF(D147="Coo",10,IF(D147="Controller",9,IF(D147="Asst. Controller",8,IF(D147="Sr. Manager",8,IF(D147="Manager",7,IF(D147="Asst. Manager",6,IF(D147="Team Lead",7,IF(D147="Asst. Team Lead",5,IF(D147="Sr. Associate",4,IF(D147="Associate",3,IF(D147="Full Stack Developer",5,IF(D147="Project Manager (S/W)",6,IF(D147="Marketing",4,4)))))))))))))))</f>
        <v/>
      </c>
      <c r="R147" s="107" t="str">
        <f>IF('Employee Master'!B147="","",H147+J147+L147+O147+P147+Q147)</f>
        <v/>
      </c>
      <c r="S147" s="108" t="str">
        <f>IF('Employee Master'!B147="","",3)</f>
        <v/>
      </c>
      <c r="T147" s="104" t="str">
        <f>IF('Employee Master'!B147="","",MIN(S147*2,10))</f>
        <v/>
      </c>
      <c r="U147" s="108" t="str">
        <f>IF('Employee Master'!B147="","",3)</f>
        <v/>
      </c>
      <c r="V147" s="104" t="str">
        <f>IF('Employee Master'!B147="","",MIN(U147*2,10))</f>
        <v/>
      </c>
      <c r="W147" s="108" t="str">
        <f>IF('Employee Master'!B147="","",3)</f>
        <v/>
      </c>
      <c r="X147" s="104" t="str">
        <f>IF('Employee Master'!B147="","",MIN(W147*2,10))</f>
        <v/>
      </c>
      <c r="Y147" s="108" t="str">
        <f>IF('Employee Master'!B147="","",3)</f>
        <v/>
      </c>
      <c r="Z147" s="104" t="str">
        <f>IF('Employee Master'!B147="","",MIN(Y147*2,10))</f>
        <v/>
      </c>
      <c r="AA147" s="109" t="str">
        <f>IF('Employee Master'!B147="","",T147+V147+X147+Z147)</f>
        <v/>
      </c>
      <c r="AB147" s="110" t="str">
        <f>IF('Employee Master'!B147="","",R147+AA147)</f>
        <v/>
      </c>
      <c r="AC147" s="27" t="str">
        <f>IF('Employee Master'!B147="","",IF(AB147&gt;=85,"Exceptional",IF(AB147&gt;=70,"High Performer",IF(AB147&gt;=50,"Meets Expectations",IF(AB147&gt;=30,"Below Expectations","Underperformer")))))</f>
        <v/>
      </c>
      <c r="AD147" s="51" t="str">
        <f>IF('Employee Master'!B147="","",'Employee Master'!M147)</f>
        <v/>
      </c>
      <c r="AE147" s="52" t="str">
        <f>IF('Employee Master'!B147="","",IF(AB147&gt;=85,Settings!B31,IF(AB147&gt;=70,Settings!B32,IF(AB147&gt;=50,Settings!B33,IF(AB147&gt;=30,Settings!B34,Settings!B35)))))</f>
        <v/>
      </c>
      <c r="AF147" s="51" t="str">
        <f>IF('Employee Master'!B147="","",AD147*(1+AE147))</f>
        <v/>
      </c>
      <c r="AG147" s="51" t="str">
        <f>IF('Employee Master'!B147="","",AF147-AD147)</f>
        <v/>
      </c>
      <c r="AH147" s="51" t="str">
        <f>IF('Employee Master'!B147="","",AG147*12)</f>
        <v/>
      </c>
    </row>
    <row r="148" spans="1:34" ht="15" customHeight="1" x14ac:dyDescent="0.2">
      <c r="A148" s="27" t="str">
        <f>IF('Employee Master'!B148="","",ROW()-3)</f>
        <v/>
      </c>
      <c r="B148" s="27" t="str">
        <f>IF('Employee Master'!B148="","",'Employee Master'!C148)</f>
        <v/>
      </c>
      <c r="C148" s="27" t="str">
        <f>IF('Employee Master'!B148="","",'Employee Master'!D148)</f>
        <v/>
      </c>
      <c r="D148" s="27" t="str">
        <f>IF('Employee Master'!B148="","",'Employee Master'!E148)</f>
        <v/>
      </c>
      <c r="E148" s="27" t="str">
        <f>IF('Employee Master'!B148="","",'Employee Master'!G148)</f>
        <v/>
      </c>
      <c r="F148" s="51" t="str">
        <f>IF('Employee Master'!B148="","",'⑥ Annual Performance'!R148)</f>
        <v/>
      </c>
      <c r="G148" s="103" t="str">
        <f>IF('Employee Master'!B148="","",'⑥ Annual Performance'!J148)</f>
        <v/>
      </c>
      <c r="H148" s="104" t="str">
        <f>IF('Employee Master'!B148="","",IF(G148&gt;=0.85,15,IF(G148&gt;=0.7,12,IF(G148&gt;=0.55,9,IF(G148&gt;=0.4,6,3)))))</f>
        <v/>
      </c>
      <c r="I148" s="103" t="str">
        <f>IF('Employee Master'!B148="","",'⑥ Annual Performance'!Q148)</f>
        <v/>
      </c>
      <c r="J148" s="104" t="str">
        <f>IF('Employee Master'!B148="","",IF(I148&gt;=0.98,10,IF(I148&gt;=0.95,8,IF(I148&gt;=0.9,6,IF(I148&gt;=0.85,4,2)))))</f>
        <v/>
      </c>
      <c r="K148" s="105" t="str">
        <f>IF('Employee Master'!B148="","",'⑥ Annual Performance'!N148)</f>
        <v/>
      </c>
      <c r="L148" s="104" t="str">
        <f>IF('Employee Master'!B148="","",IF(K148&gt;=1000,10,IF(K148&gt;=750,8,IF(K148&gt;=500,6,IF(K148&gt;=250,4,2)))))</f>
        <v/>
      </c>
      <c r="M148" s="105" t="str">
        <f>IF('Employee Master'!B148="","",'⑥ Annual Performance'!K148)</f>
        <v/>
      </c>
      <c r="N148" s="106" t="str">
        <f>IF('Employee Master'!B148="","",'⑥ Annual Performance'!L148)</f>
        <v/>
      </c>
      <c r="O148" s="104" t="str">
        <f>IF('Employee Master'!B148="","",MIN(N148*2,10))</f>
        <v/>
      </c>
      <c r="P148" s="104" t="str">
        <f>IF('Employee Master'!B148="","",IF(F148&gt;=36,5,IF(F148&gt;=24,4,IF(F148&gt;=12,3,IF(F148&gt;=6,2,1)))))</f>
        <v/>
      </c>
      <c r="Q148" s="104" t="str">
        <f>IF('Employee Master'!B148="","",IF(D148="Sr. Controller",10,IF(D148="Coo",10,IF(D148="Controller",9,IF(D148="Asst. Controller",8,IF(D148="Sr. Manager",8,IF(D148="Manager",7,IF(D148="Asst. Manager",6,IF(D148="Team Lead",7,IF(D148="Asst. Team Lead",5,IF(D148="Sr. Associate",4,IF(D148="Associate",3,IF(D148="Full Stack Developer",5,IF(D148="Project Manager (S/W)",6,IF(D148="Marketing",4,4)))))))))))))))</f>
        <v/>
      </c>
      <c r="R148" s="107" t="str">
        <f>IF('Employee Master'!B148="","",H148+J148+L148+O148+P148+Q148)</f>
        <v/>
      </c>
      <c r="S148" s="108" t="str">
        <f>IF('Employee Master'!B148="","",3)</f>
        <v/>
      </c>
      <c r="T148" s="104" t="str">
        <f>IF('Employee Master'!B148="","",MIN(S148*2,10))</f>
        <v/>
      </c>
      <c r="U148" s="108" t="str">
        <f>IF('Employee Master'!B148="","",3)</f>
        <v/>
      </c>
      <c r="V148" s="104" t="str">
        <f>IF('Employee Master'!B148="","",MIN(U148*2,10))</f>
        <v/>
      </c>
      <c r="W148" s="108" t="str">
        <f>IF('Employee Master'!B148="","",3)</f>
        <v/>
      </c>
      <c r="X148" s="104" t="str">
        <f>IF('Employee Master'!B148="","",MIN(W148*2,10))</f>
        <v/>
      </c>
      <c r="Y148" s="108" t="str">
        <f>IF('Employee Master'!B148="","",3)</f>
        <v/>
      </c>
      <c r="Z148" s="104" t="str">
        <f>IF('Employee Master'!B148="","",MIN(Y148*2,10))</f>
        <v/>
      </c>
      <c r="AA148" s="109" t="str">
        <f>IF('Employee Master'!B148="","",T148+V148+X148+Z148)</f>
        <v/>
      </c>
      <c r="AB148" s="110" t="str">
        <f>IF('Employee Master'!B148="","",R148+AA148)</f>
        <v/>
      </c>
      <c r="AC148" s="27" t="str">
        <f>IF('Employee Master'!B148="","",IF(AB148&gt;=85,"Exceptional",IF(AB148&gt;=70,"High Performer",IF(AB148&gt;=50,"Meets Expectations",IF(AB148&gt;=30,"Below Expectations","Underperformer")))))</f>
        <v/>
      </c>
      <c r="AD148" s="51" t="str">
        <f>IF('Employee Master'!B148="","",'Employee Master'!M148)</f>
        <v/>
      </c>
      <c r="AE148" s="52" t="str">
        <f>IF('Employee Master'!B148="","",IF(AB148&gt;=85,Settings!B31,IF(AB148&gt;=70,Settings!B32,IF(AB148&gt;=50,Settings!B33,IF(AB148&gt;=30,Settings!B34,Settings!B35)))))</f>
        <v/>
      </c>
      <c r="AF148" s="51" t="str">
        <f>IF('Employee Master'!B148="","",AD148*(1+AE148))</f>
        <v/>
      </c>
      <c r="AG148" s="51" t="str">
        <f>IF('Employee Master'!B148="","",AF148-AD148)</f>
        <v/>
      </c>
      <c r="AH148" s="51" t="str">
        <f>IF('Employee Master'!B148="","",AG148*12)</f>
        <v/>
      </c>
    </row>
    <row r="149" spans="1:34" ht="15" customHeight="1" x14ac:dyDescent="0.2">
      <c r="A149" s="27" t="str">
        <f>IF('Employee Master'!B149="","",ROW()-3)</f>
        <v/>
      </c>
      <c r="B149" s="27" t="str">
        <f>IF('Employee Master'!B149="","",'Employee Master'!C149)</f>
        <v/>
      </c>
      <c r="C149" s="27" t="str">
        <f>IF('Employee Master'!B149="","",'Employee Master'!D149)</f>
        <v/>
      </c>
      <c r="D149" s="27" t="str">
        <f>IF('Employee Master'!B149="","",'Employee Master'!E149)</f>
        <v/>
      </c>
      <c r="E149" s="27" t="str">
        <f>IF('Employee Master'!B149="","",'Employee Master'!G149)</f>
        <v/>
      </c>
      <c r="F149" s="51" t="str">
        <f>IF('Employee Master'!B149="","",'⑥ Annual Performance'!R149)</f>
        <v/>
      </c>
      <c r="G149" s="103" t="str">
        <f>IF('Employee Master'!B149="","",'⑥ Annual Performance'!J149)</f>
        <v/>
      </c>
      <c r="H149" s="104" t="str">
        <f>IF('Employee Master'!B149="","",IF(G149&gt;=0.85,15,IF(G149&gt;=0.7,12,IF(G149&gt;=0.55,9,IF(G149&gt;=0.4,6,3)))))</f>
        <v/>
      </c>
      <c r="I149" s="103" t="str">
        <f>IF('Employee Master'!B149="","",'⑥ Annual Performance'!Q149)</f>
        <v/>
      </c>
      <c r="J149" s="104" t="str">
        <f>IF('Employee Master'!B149="","",IF(I149&gt;=0.98,10,IF(I149&gt;=0.95,8,IF(I149&gt;=0.9,6,IF(I149&gt;=0.85,4,2)))))</f>
        <v/>
      </c>
      <c r="K149" s="105" t="str">
        <f>IF('Employee Master'!B149="","",'⑥ Annual Performance'!N149)</f>
        <v/>
      </c>
      <c r="L149" s="104" t="str">
        <f>IF('Employee Master'!B149="","",IF(K149&gt;=1000,10,IF(K149&gt;=750,8,IF(K149&gt;=500,6,IF(K149&gt;=250,4,2)))))</f>
        <v/>
      </c>
      <c r="M149" s="105" t="str">
        <f>IF('Employee Master'!B149="","",'⑥ Annual Performance'!K149)</f>
        <v/>
      </c>
      <c r="N149" s="106" t="str">
        <f>IF('Employee Master'!B149="","",'⑥ Annual Performance'!L149)</f>
        <v/>
      </c>
      <c r="O149" s="104" t="str">
        <f>IF('Employee Master'!B149="","",MIN(N149*2,10))</f>
        <v/>
      </c>
      <c r="P149" s="104" t="str">
        <f>IF('Employee Master'!B149="","",IF(F149&gt;=36,5,IF(F149&gt;=24,4,IF(F149&gt;=12,3,IF(F149&gt;=6,2,1)))))</f>
        <v/>
      </c>
      <c r="Q149" s="104" t="str">
        <f>IF('Employee Master'!B149="","",IF(D149="Sr. Controller",10,IF(D149="Coo",10,IF(D149="Controller",9,IF(D149="Asst. Controller",8,IF(D149="Sr. Manager",8,IF(D149="Manager",7,IF(D149="Asst. Manager",6,IF(D149="Team Lead",7,IF(D149="Asst. Team Lead",5,IF(D149="Sr. Associate",4,IF(D149="Associate",3,IF(D149="Full Stack Developer",5,IF(D149="Project Manager (S/W)",6,IF(D149="Marketing",4,4)))))))))))))))</f>
        <v/>
      </c>
      <c r="R149" s="107" t="str">
        <f>IF('Employee Master'!B149="","",H149+J149+L149+O149+P149+Q149)</f>
        <v/>
      </c>
      <c r="S149" s="108" t="str">
        <f>IF('Employee Master'!B149="","",3)</f>
        <v/>
      </c>
      <c r="T149" s="104" t="str">
        <f>IF('Employee Master'!B149="","",MIN(S149*2,10))</f>
        <v/>
      </c>
      <c r="U149" s="108" t="str">
        <f>IF('Employee Master'!B149="","",3)</f>
        <v/>
      </c>
      <c r="V149" s="104" t="str">
        <f>IF('Employee Master'!B149="","",MIN(U149*2,10))</f>
        <v/>
      </c>
      <c r="W149" s="108" t="str">
        <f>IF('Employee Master'!B149="","",3)</f>
        <v/>
      </c>
      <c r="X149" s="104" t="str">
        <f>IF('Employee Master'!B149="","",MIN(W149*2,10))</f>
        <v/>
      </c>
      <c r="Y149" s="108" t="str">
        <f>IF('Employee Master'!B149="","",3)</f>
        <v/>
      </c>
      <c r="Z149" s="104" t="str">
        <f>IF('Employee Master'!B149="","",MIN(Y149*2,10))</f>
        <v/>
      </c>
      <c r="AA149" s="109" t="str">
        <f>IF('Employee Master'!B149="","",T149+V149+X149+Z149)</f>
        <v/>
      </c>
      <c r="AB149" s="110" t="str">
        <f>IF('Employee Master'!B149="","",R149+AA149)</f>
        <v/>
      </c>
      <c r="AC149" s="27" t="str">
        <f>IF('Employee Master'!B149="","",IF(AB149&gt;=85,"Exceptional",IF(AB149&gt;=70,"High Performer",IF(AB149&gt;=50,"Meets Expectations",IF(AB149&gt;=30,"Below Expectations","Underperformer")))))</f>
        <v/>
      </c>
      <c r="AD149" s="51" t="str">
        <f>IF('Employee Master'!B149="","",'Employee Master'!M149)</f>
        <v/>
      </c>
      <c r="AE149" s="52" t="str">
        <f>IF('Employee Master'!B149="","",IF(AB149&gt;=85,Settings!B31,IF(AB149&gt;=70,Settings!B32,IF(AB149&gt;=50,Settings!B33,IF(AB149&gt;=30,Settings!B34,Settings!B35)))))</f>
        <v/>
      </c>
      <c r="AF149" s="51" t="str">
        <f>IF('Employee Master'!B149="","",AD149*(1+AE149))</f>
        <v/>
      </c>
      <c r="AG149" s="51" t="str">
        <f>IF('Employee Master'!B149="","",AF149-AD149)</f>
        <v/>
      </c>
      <c r="AH149" s="51" t="str">
        <f>IF('Employee Master'!B149="","",AG149*12)</f>
        <v/>
      </c>
    </row>
    <row r="150" spans="1:34" ht="15" customHeight="1" x14ac:dyDescent="0.2">
      <c r="A150" s="27" t="str">
        <f>IF('Employee Master'!B150="","",ROW()-3)</f>
        <v/>
      </c>
      <c r="B150" s="27" t="str">
        <f>IF('Employee Master'!B150="","",'Employee Master'!C150)</f>
        <v/>
      </c>
      <c r="C150" s="27" t="str">
        <f>IF('Employee Master'!B150="","",'Employee Master'!D150)</f>
        <v/>
      </c>
      <c r="D150" s="27" t="str">
        <f>IF('Employee Master'!B150="","",'Employee Master'!E150)</f>
        <v/>
      </c>
      <c r="E150" s="27" t="str">
        <f>IF('Employee Master'!B150="","",'Employee Master'!G150)</f>
        <v/>
      </c>
      <c r="F150" s="51" t="str">
        <f>IF('Employee Master'!B150="","",'⑥ Annual Performance'!R150)</f>
        <v/>
      </c>
      <c r="G150" s="103" t="str">
        <f>IF('Employee Master'!B150="","",'⑥ Annual Performance'!J150)</f>
        <v/>
      </c>
      <c r="H150" s="104" t="str">
        <f>IF('Employee Master'!B150="","",IF(G150&gt;=0.85,15,IF(G150&gt;=0.7,12,IF(G150&gt;=0.55,9,IF(G150&gt;=0.4,6,3)))))</f>
        <v/>
      </c>
      <c r="I150" s="103" t="str">
        <f>IF('Employee Master'!B150="","",'⑥ Annual Performance'!Q150)</f>
        <v/>
      </c>
      <c r="J150" s="104" t="str">
        <f>IF('Employee Master'!B150="","",IF(I150&gt;=0.98,10,IF(I150&gt;=0.95,8,IF(I150&gt;=0.9,6,IF(I150&gt;=0.85,4,2)))))</f>
        <v/>
      </c>
      <c r="K150" s="105" t="str">
        <f>IF('Employee Master'!B150="","",'⑥ Annual Performance'!N150)</f>
        <v/>
      </c>
      <c r="L150" s="104" t="str">
        <f>IF('Employee Master'!B150="","",IF(K150&gt;=1000,10,IF(K150&gt;=750,8,IF(K150&gt;=500,6,IF(K150&gt;=250,4,2)))))</f>
        <v/>
      </c>
      <c r="M150" s="105" t="str">
        <f>IF('Employee Master'!B150="","",'⑥ Annual Performance'!K150)</f>
        <v/>
      </c>
      <c r="N150" s="106" t="str">
        <f>IF('Employee Master'!B150="","",'⑥ Annual Performance'!L150)</f>
        <v/>
      </c>
      <c r="O150" s="104" t="str">
        <f>IF('Employee Master'!B150="","",MIN(N150*2,10))</f>
        <v/>
      </c>
      <c r="P150" s="104" t="str">
        <f>IF('Employee Master'!B150="","",IF(F150&gt;=36,5,IF(F150&gt;=24,4,IF(F150&gt;=12,3,IF(F150&gt;=6,2,1)))))</f>
        <v/>
      </c>
      <c r="Q150" s="104" t="str">
        <f>IF('Employee Master'!B150="","",IF(D150="Sr. Controller",10,IF(D150="Coo",10,IF(D150="Controller",9,IF(D150="Asst. Controller",8,IF(D150="Sr. Manager",8,IF(D150="Manager",7,IF(D150="Asst. Manager",6,IF(D150="Team Lead",7,IF(D150="Asst. Team Lead",5,IF(D150="Sr. Associate",4,IF(D150="Associate",3,IF(D150="Full Stack Developer",5,IF(D150="Project Manager (S/W)",6,IF(D150="Marketing",4,4)))))))))))))))</f>
        <v/>
      </c>
      <c r="R150" s="107" t="str">
        <f>IF('Employee Master'!B150="","",H150+J150+L150+O150+P150+Q150)</f>
        <v/>
      </c>
      <c r="S150" s="108" t="str">
        <f>IF('Employee Master'!B150="","",3)</f>
        <v/>
      </c>
      <c r="T150" s="104" t="str">
        <f>IF('Employee Master'!B150="","",MIN(S150*2,10))</f>
        <v/>
      </c>
      <c r="U150" s="108" t="str">
        <f>IF('Employee Master'!B150="","",3)</f>
        <v/>
      </c>
      <c r="V150" s="104" t="str">
        <f>IF('Employee Master'!B150="","",MIN(U150*2,10))</f>
        <v/>
      </c>
      <c r="W150" s="108" t="str">
        <f>IF('Employee Master'!B150="","",3)</f>
        <v/>
      </c>
      <c r="X150" s="104" t="str">
        <f>IF('Employee Master'!B150="","",MIN(W150*2,10))</f>
        <v/>
      </c>
      <c r="Y150" s="108" t="str">
        <f>IF('Employee Master'!B150="","",3)</f>
        <v/>
      </c>
      <c r="Z150" s="104" t="str">
        <f>IF('Employee Master'!B150="","",MIN(Y150*2,10))</f>
        <v/>
      </c>
      <c r="AA150" s="109" t="str">
        <f>IF('Employee Master'!B150="","",T150+V150+X150+Z150)</f>
        <v/>
      </c>
      <c r="AB150" s="110" t="str">
        <f>IF('Employee Master'!B150="","",R150+AA150)</f>
        <v/>
      </c>
      <c r="AC150" s="27" t="str">
        <f>IF('Employee Master'!B150="","",IF(AB150&gt;=85,"Exceptional",IF(AB150&gt;=70,"High Performer",IF(AB150&gt;=50,"Meets Expectations",IF(AB150&gt;=30,"Below Expectations","Underperformer")))))</f>
        <v/>
      </c>
      <c r="AD150" s="51" t="str">
        <f>IF('Employee Master'!B150="","",'Employee Master'!M150)</f>
        <v/>
      </c>
      <c r="AE150" s="52" t="str">
        <f>IF('Employee Master'!B150="","",IF(AB150&gt;=85,Settings!B31,IF(AB150&gt;=70,Settings!B32,IF(AB150&gt;=50,Settings!B33,IF(AB150&gt;=30,Settings!B34,Settings!B35)))))</f>
        <v/>
      </c>
      <c r="AF150" s="51" t="str">
        <f>IF('Employee Master'!B150="","",AD150*(1+AE150))</f>
        <v/>
      </c>
      <c r="AG150" s="51" t="str">
        <f>IF('Employee Master'!B150="","",AF150-AD150)</f>
        <v/>
      </c>
      <c r="AH150" s="51" t="str">
        <f>IF('Employee Master'!B150="","",AG150*12)</f>
        <v/>
      </c>
    </row>
    <row r="151" spans="1:34" ht="15" customHeight="1" x14ac:dyDescent="0.2">
      <c r="A151" s="27" t="str">
        <f>IF('Employee Master'!B151="","",ROW()-3)</f>
        <v/>
      </c>
      <c r="B151" s="27" t="str">
        <f>IF('Employee Master'!B151="","",'Employee Master'!C151)</f>
        <v/>
      </c>
      <c r="C151" s="27" t="str">
        <f>IF('Employee Master'!B151="","",'Employee Master'!D151)</f>
        <v/>
      </c>
      <c r="D151" s="27" t="str">
        <f>IF('Employee Master'!B151="","",'Employee Master'!E151)</f>
        <v/>
      </c>
      <c r="E151" s="27" t="str">
        <f>IF('Employee Master'!B151="","",'Employee Master'!G151)</f>
        <v/>
      </c>
      <c r="F151" s="51" t="str">
        <f>IF('Employee Master'!B151="","",'⑥ Annual Performance'!R151)</f>
        <v/>
      </c>
      <c r="G151" s="103" t="str">
        <f>IF('Employee Master'!B151="","",'⑥ Annual Performance'!J151)</f>
        <v/>
      </c>
      <c r="H151" s="104" t="str">
        <f>IF('Employee Master'!B151="","",IF(G151&gt;=0.85,15,IF(G151&gt;=0.7,12,IF(G151&gt;=0.55,9,IF(G151&gt;=0.4,6,3)))))</f>
        <v/>
      </c>
      <c r="I151" s="103" t="str">
        <f>IF('Employee Master'!B151="","",'⑥ Annual Performance'!Q151)</f>
        <v/>
      </c>
      <c r="J151" s="104" t="str">
        <f>IF('Employee Master'!B151="","",IF(I151&gt;=0.98,10,IF(I151&gt;=0.95,8,IF(I151&gt;=0.9,6,IF(I151&gt;=0.85,4,2)))))</f>
        <v/>
      </c>
      <c r="K151" s="105" t="str">
        <f>IF('Employee Master'!B151="","",'⑥ Annual Performance'!N151)</f>
        <v/>
      </c>
      <c r="L151" s="104" t="str">
        <f>IF('Employee Master'!B151="","",IF(K151&gt;=1000,10,IF(K151&gt;=750,8,IF(K151&gt;=500,6,IF(K151&gt;=250,4,2)))))</f>
        <v/>
      </c>
      <c r="M151" s="105" t="str">
        <f>IF('Employee Master'!B151="","",'⑥ Annual Performance'!K151)</f>
        <v/>
      </c>
      <c r="N151" s="106" t="str">
        <f>IF('Employee Master'!B151="","",'⑥ Annual Performance'!L151)</f>
        <v/>
      </c>
      <c r="O151" s="104" t="str">
        <f>IF('Employee Master'!B151="","",MIN(N151*2,10))</f>
        <v/>
      </c>
      <c r="P151" s="104" t="str">
        <f>IF('Employee Master'!B151="","",IF(F151&gt;=36,5,IF(F151&gt;=24,4,IF(F151&gt;=12,3,IF(F151&gt;=6,2,1)))))</f>
        <v/>
      </c>
      <c r="Q151" s="104" t="str">
        <f>IF('Employee Master'!B151="","",IF(D151="Sr. Controller",10,IF(D151="Coo",10,IF(D151="Controller",9,IF(D151="Asst. Controller",8,IF(D151="Sr. Manager",8,IF(D151="Manager",7,IF(D151="Asst. Manager",6,IF(D151="Team Lead",7,IF(D151="Asst. Team Lead",5,IF(D151="Sr. Associate",4,IF(D151="Associate",3,IF(D151="Full Stack Developer",5,IF(D151="Project Manager (S/W)",6,IF(D151="Marketing",4,4)))))))))))))))</f>
        <v/>
      </c>
      <c r="R151" s="107" t="str">
        <f>IF('Employee Master'!B151="","",H151+J151+L151+O151+P151+Q151)</f>
        <v/>
      </c>
      <c r="S151" s="108" t="str">
        <f>IF('Employee Master'!B151="","",3)</f>
        <v/>
      </c>
      <c r="T151" s="104" t="str">
        <f>IF('Employee Master'!B151="","",MIN(S151*2,10))</f>
        <v/>
      </c>
      <c r="U151" s="108" t="str">
        <f>IF('Employee Master'!B151="","",3)</f>
        <v/>
      </c>
      <c r="V151" s="104" t="str">
        <f>IF('Employee Master'!B151="","",MIN(U151*2,10))</f>
        <v/>
      </c>
      <c r="W151" s="108" t="str">
        <f>IF('Employee Master'!B151="","",3)</f>
        <v/>
      </c>
      <c r="X151" s="104" t="str">
        <f>IF('Employee Master'!B151="","",MIN(W151*2,10))</f>
        <v/>
      </c>
      <c r="Y151" s="108" t="str">
        <f>IF('Employee Master'!B151="","",3)</f>
        <v/>
      </c>
      <c r="Z151" s="104" t="str">
        <f>IF('Employee Master'!B151="","",MIN(Y151*2,10))</f>
        <v/>
      </c>
      <c r="AA151" s="109" t="str">
        <f>IF('Employee Master'!B151="","",T151+V151+X151+Z151)</f>
        <v/>
      </c>
      <c r="AB151" s="110" t="str">
        <f>IF('Employee Master'!B151="","",R151+AA151)</f>
        <v/>
      </c>
      <c r="AC151" s="27" t="str">
        <f>IF('Employee Master'!B151="","",IF(AB151&gt;=85,"Exceptional",IF(AB151&gt;=70,"High Performer",IF(AB151&gt;=50,"Meets Expectations",IF(AB151&gt;=30,"Below Expectations","Underperformer")))))</f>
        <v/>
      </c>
      <c r="AD151" s="51" t="str">
        <f>IF('Employee Master'!B151="","",'Employee Master'!M151)</f>
        <v/>
      </c>
      <c r="AE151" s="52" t="str">
        <f>IF('Employee Master'!B151="","",IF(AB151&gt;=85,Settings!B31,IF(AB151&gt;=70,Settings!B32,IF(AB151&gt;=50,Settings!B33,IF(AB151&gt;=30,Settings!B34,Settings!B35)))))</f>
        <v/>
      </c>
      <c r="AF151" s="51" t="str">
        <f>IF('Employee Master'!B151="","",AD151*(1+AE151))</f>
        <v/>
      </c>
      <c r="AG151" s="51" t="str">
        <f>IF('Employee Master'!B151="","",AF151-AD151)</f>
        <v/>
      </c>
      <c r="AH151" s="51" t="str">
        <f>IF('Employee Master'!B151="","",AG151*12)</f>
        <v/>
      </c>
    </row>
    <row r="152" spans="1:34" ht="15" customHeight="1" x14ac:dyDescent="0.2">
      <c r="A152" s="27" t="str">
        <f>IF('Employee Master'!B152="","",ROW()-3)</f>
        <v/>
      </c>
      <c r="B152" s="27" t="str">
        <f>IF('Employee Master'!B152="","",'Employee Master'!C152)</f>
        <v/>
      </c>
      <c r="C152" s="27" t="str">
        <f>IF('Employee Master'!B152="","",'Employee Master'!D152)</f>
        <v/>
      </c>
      <c r="D152" s="27" t="str">
        <f>IF('Employee Master'!B152="","",'Employee Master'!E152)</f>
        <v/>
      </c>
      <c r="E152" s="27" t="str">
        <f>IF('Employee Master'!B152="","",'Employee Master'!G152)</f>
        <v/>
      </c>
      <c r="F152" s="51" t="str">
        <f>IF('Employee Master'!B152="","",'⑥ Annual Performance'!R152)</f>
        <v/>
      </c>
      <c r="G152" s="103" t="str">
        <f>IF('Employee Master'!B152="","",'⑥ Annual Performance'!J152)</f>
        <v/>
      </c>
      <c r="H152" s="104" t="str">
        <f>IF('Employee Master'!B152="","",IF(G152&gt;=0.85,15,IF(G152&gt;=0.7,12,IF(G152&gt;=0.55,9,IF(G152&gt;=0.4,6,3)))))</f>
        <v/>
      </c>
      <c r="I152" s="103" t="str">
        <f>IF('Employee Master'!B152="","",'⑥ Annual Performance'!Q152)</f>
        <v/>
      </c>
      <c r="J152" s="104" t="str">
        <f>IF('Employee Master'!B152="","",IF(I152&gt;=0.98,10,IF(I152&gt;=0.95,8,IF(I152&gt;=0.9,6,IF(I152&gt;=0.85,4,2)))))</f>
        <v/>
      </c>
      <c r="K152" s="105" t="str">
        <f>IF('Employee Master'!B152="","",'⑥ Annual Performance'!N152)</f>
        <v/>
      </c>
      <c r="L152" s="104" t="str">
        <f>IF('Employee Master'!B152="","",IF(K152&gt;=1000,10,IF(K152&gt;=750,8,IF(K152&gt;=500,6,IF(K152&gt;=250,4,2)))))</f>
        <v/>
      </c>
      <c r="M152" s="105" t="str">
        <f>IF('Employee Master'!B152="","",'⑥ Annual Performance'!K152)</f>
        <v/>
      </c>
      <c r="N152" s="106" t="str">
        <f>IF('Employee Master'!B152="","",'⑥ Annual Performance'!L152)</f>
        <v/>
      </c>
      <c r="O152" s="104" t="str">
        <f>IF('Employee Master'!B152="","",MIN(N152*2,10))</f>
        <v/>
      </c>
      <c r="P152" s="104" t="str">
        <f>IF('Employee Master'!B152="","",IF(F152&gt;=36,5,IF(F152&gt;=24,4,IF(F152&gt;=12,3,IF(F152&gt;=6,2,1)))))</f>
        <v/>
      </c>
      <c r="Q152" s="104" t="str">
        <f>IF('Employee Master'!B152="","",IF(D152="Sr. Controller",10,IF(D152="Coo",10,IF(D152="Controller",9,IF(D152="Asst. Controller",8,IF(D152="Sr. Manager",8,IF(D152="Manager",7,IF(D152="Asst. Manager",6,IF(D152="Team Lead",7,IF(D152="Asst. Team Lead",5,IF(D152="Sr. Associate",4,IF(D152="Associate",3,IF(D152="Full Stack Developer",5,IF(D152="Project Manager (S/W)",6,IF(D152="Marketing",4,4)))))))))))))))</f>
        <v/>
      </c>
      <c r="R152" s="107" t="str">
        <f>IF('Employee Master'!B152="","",H152+J152+L152+O152+P152+Q152)</f>
        <v/>
      </c>
      <c r="S152" s="108" t="str">
        <f>IF('Employee Master'!B152="","",3)</f>
        <v/>
      </c>
      <c r="T152" s="104" t="str">
        <f>IF('Employee Master'!B152="","",MIN(S152*2,10))</f>
        <v/>
      </c>
      <c r="U152" s="108" t="str">
        <f>IF('Employee Master'!B152="","",3)</f>
        <v/>
      </c>
      <c r="V152" s="104" t="str">
        <f>IF('Employee Master'!B152="","",MIN(U152*2,10))</f>
        <v/>
      </c>
      <c r="W152" s="108" t="str">
        <f>IF('Employee Master'!B152="","",3)</f>
        <v/>
      </c>
      <c r="X152" s="104" t="str">
        <f>IF('Employee Master'!B152="","",MIN(W152*2,10))</f>
        <v/>
      </c>
      <c r="Y152" s="108" t="str">
        <f>IF('Employee Master'!B152="","",3)</f>
        <v/>
      </c>
      <c r="Z152" s="104" t="str">
        <f>IF('Employee Master'!B152="","",MIN(Y152*2,10))</f>
        <v/>
      </c>
      <c r="AA152" s="109" t="str">
        <f>IF('Employee Master'!B152="","",T152+V152+X152+Z152)</f>
        <v/>
      </c>
      <c r="AB152" s="110" t="str">
        <f>IF('Employee Master'!B152="","",R152+AA152)</f>
        <v/>
      </c>
      <c r="AC152" s="27" t="str">
        <f>IF('Employee Master'!B152="","",IF(AB152&gt;=85,"Exceptional",IF(AB152&gt;=70,"High Performer",IF(AB152&gt;=50,"Meets Expectations",IF(AB152&gt;=30,"Below Expectations","Underperformer")))))</f>
        <v/>
      </c>
      <c r="AD152" s="51" t="str">
        <f>IF('Employee Master'!B152="","",'Employee Master'!M152)</f>
        <v/>
      </c>
      <c r="AE152" s="52" t="str">
        <f>IF('Employee Master'!B152="","",IF(AB152&gt;=85,Settings!B31,IF(AB152&gt;=70,Settings!B32,IF(AB152&gt;=50,Settings!B33,IF(AB152&gt;=30,Settings!B34,Settings!B35)))))</f>
        <v/>
      </c>
      <c r="AF152" s="51" t="str">
        <f>IF('Employee Master'!B152="","",AD152*(1+AE152))</f>
        <v/>
      </c>
      <c r="AG152" s="51" t="str">
        <f>IF('Employee Master'!B152="","",AF152-AD152)</f>
        <v/>
      </c>
      <c r="AH152" s="51" t="str">
        <f>IF('Employee Master'!B152="","",AG152*12)</f>
        <v/>
      </c>
    </row>
    <row r="153" spans="1:34" ht="15" customHeight="1" x14ac:dyDescent="0.2">
      <c r="A153" s="27" t="str">
        <f>IF('Employee Master'!B153="","",ROW()-3)</f>
        <v/>
      </c>
      <c r="B153" s="27" t="str">
        <f>IF('Employee Master'!B153="","",'Employee Master'!C153)</f>
        <v/>
      </c>
      <c r="C153" s="27" t="str">
        <f>IF('Employee Master'!B153="","",'Employee Master'!D153)</f>
        <v/>
      </c>
      <c r="D153" s="27" t="str">
        <f>IF('Employee Master'!B153="","",'Employee Master'!E153)</f>
        <v/>
      </c>
      <c r="E153" s="27" t="str">
        <f>IF('Employee Master'!B153="","",'Employee Master'!G153)</f>
        <v/>
      </c>
      <c r="F153" s="51" t="str">
        <f>IF('Employee Master'!B153="","",'⑥ Annual Performance'!R153)</f>
        <v/>
      </c>
      <c r="G153" s="103" t="str">
        <f>IF('Employee Master'!B153="","",'⑥ Annual Performance'!J153)</f>
        <v/>
      </c>
      <c r="H153" s="104" t="str">
        <f>IF('Employee Master'!B153="","",IF(G153&gt;=0.85,15,IF(G153&gt;=0.7,12,IF(G153&gt;=0.55,9,IF(G153&gt;=0.4,6,3)))))</f>
        <v/>
      </c>
      <c r="I153" s="103" t="str">
        <f>IF('Employee Master'!B153="","",'⑥ Annual Performance'!Q153)</f>
        <v/>
      </c>
      <c r="J153" s="104" t="str">
        <f>IF('Employee Master'!B153="","",IF(I153&gt;=0.98,10,IF(I153&gt;=0.95,8,IF(I153&gt;=0.9,6,IF(I153&gt;=0.85,4,2)))))</f>
        <v/>
      </c>
      <c r="K153" s="105" t="str">
        <f>IF('Employee Master'!B153="","",'⑥ Annual Performance'!N153)</f>
        <v/>
      </c>
      <c r="L153" s="104" t="str">
        <f>IF('Employee Master'!B153="","",IF(K153&gt;=1000,10,IF(K153&gt;=750,8,IF(K153&gt;=500,6,IF(K153&gt;=250,4,2)))))</f>
        <v/>
      </c>
      <c r="M153" s="105" t="str">
        <f>IF('Employee Master'!B153="","",'⑥ Annual Performance'!K153)</f>
        <v/>
      </c>
      <c r="N153" s="106" t="str">
        <f>IF('Employee Master'!B153="","",'⑥ Annual Performance'!L153)</f>
        <v/>
      </c>
      <c r="O153" s="104" t="str">
        <f>IF('Employee Master'!B153="","",MIN(N153*2,10))</f>
        <v/>
      </c>
      <c r="P153" s="104" t="str">
        <f>IF('Employee Master'!B153="","",IF(F153&gt;=36,5,IF(F153&gt;=24,4,IF(F153&gt;=12,3,IF(F153&gt;=6,2,1)))))</f>
        <v/>
      </c>
      <c r="Q153" s="104" t="str">
        <f>IF('Employee Master'!B153="","",IF(D153="Sr. Controller",10,IF(D153="Coo",10,IF(D153="Controller",9,IF(D153="Asst. Controller",8,IF(D153="Sr. Manager",8,IF(D153="Manager",7,IF(D153="Asst. Manager",6,IF(D153="Team Lead",7,IF(D153="Asst. Team Lead",5,IF(D153="Sr. Associate",4,IF(D153="Associate",3,IF(D153="Full Stack Developer",5,IF(D153="Project Manager (S/W)",6,IF(D153="Marketing",4,4)))))))))))))))</f>
        <v/>
      </c>
      <c r="R153" s="107" t="str">
        <f>IF('Employee Master'!B153="","",H153+J153+L153+O153+P153+Q153)</f>
        <v/>
      </c>
      <c r="S153" s="108" t="str">
        <f>IF('Employee Master'!B153="","",3)</f>
        <v/>
      </c>
      <c r="T153" s="104" t="str">
        <f>IF('Employee Master'!B153="","",MIN(S153*2,10))</f>
        <v/>
      </c>
      <c r="U153" s="108" t="str">
        <f>IF('Employee Master'!B153="","",3)</f>
        <v/>
      </c>
      <c r="V153" s="104" t="str">
        <f>IF('Employee Master'!B153="","",MIN(U153*2,10))</f>
        <v/>
      </c>
      <c r="W153" s="108" t="str">
        <f>IF('Employee Master'!B153="","",3)</f>
        <v/>
      </c>
      <c r="X153" s="104" t="str">
        <f>IF('Employee Master'!B153="","",MIN(W153*2,10))</f>
        <v/>
      </c>
      <c r="Y153" s="108" t="str">
        <f>IF('Employee Master'!B153="","",3)</f>
        <v/>
      </c>
      <c r="Z153" s="104" t="str">
        <f>IF('Employee Master'!B153="","",MIN(Y153*2,10))</f>
        <v/>
      </c>
      <c r="AA153" s="109" t="str">
        <f>IF('Employee Master'!B153="","",T153+V153+X153+Z153)</f>
        <v/>
      </c>
      <c r="AB153" s="110" t="str">
        <f>IF('Employee Master'!B153="","",R153+AA153)</f>
        <v/>
      </c>
      <c r="AC153" s="27" t="str">
        <f>IF('Employee Master'!B153="","",IF(AB153&gt;=85,"Exceptional",IF(AB153&gt;=70,"High Performer",IF(AB153&gt;=50,"Meets Expectations",IF(AB153&gt;=30,"Below Expectations","Underperformer")))))</f>
        <v/>
      </c>
      <c r="AD153" s="51" t="str">
        <f>IF('Employee Master'!B153="","",'Employee Master'!M153)</f>
        <v/>
      </c>
      <c r="AE153" s="52" t="str">
        <f>IF('Employee Master'!B153="","",IF(AB153&gt;=85,Settings!B31,IF(AB153&gt;=70,Settings!B32,IF(AB153&gt;=50,Settings!B33,IF(AB153&gt;=30,Settings!B34,Settings!B35)))))</f>
        <v/>
      </c>
      <c r="AF153" s="51" t="str">
        <f>IF('Employee Master'!B153="","",AD153*(1+AE153))</f>
        <v/>
      </c>
      <c r="AG153" s="51" t="str">
        <f>IF('Employee Master'!B153="","",AF153-AD153)</f>
        <v/>
      </c>
      <c r="AH153" s="51" t="str">
        <f>IF('Employee Master'!B153="","",AG153*12)</f>
        <v/>
      </c>
    </row>
    <row r="154" spans="1:34" ht="15" customHeight="1" x14ac:dyDescent="0.2">
      <c r="A154" s="27" t="str">
        <f>IF('Employee Master'!B154="","",ROW()-3)</f>
        <v/>
      </c>
      <c r="B154" s="27" t="str">
        <f>IF('Employee Master'!B154="","",'Employee Master'!C154)</f>
        <v/>
      </c>
      <c r="C154" s="27" t="str">
        <f>IF('Employee Master'!B154="","",'Employee Master'!D154)</f>
        <v/>
      </c>
      <c r="D154" s="27" t="str">
        <f>IF('Employee Master'!B154="","",'Employee Master'!E154)</f>
        <v/>
      </c>
      <c r="E154" s="27" t="str">
        <f>IF('Employee Master'!B154="","",'Employee Master'!G154)</f>
        <v/>
      </c>
      <c r="F154" s="51" t="str">
        <f>IF('Employee Master'!B154="","",'⑥ Annual Performance'!R154)</f>
        <v/>
      </c>
      <c r="G154" s="103" t="str">
        <f>IF('Employee Master'!B154="","",'⑥ Annual Performance'!J154)</f>
        <v/>
      </c>
      <c r="H154" s="104" t="str">
        <f>IF('Employee Master'!B154="","",IF(G154&gt;=0.85,15,IF(G154&gt;=0.7,12,IF(G154&gt;=0.55,9,IF(G154&gt;=0.4,6,3)))))</f>
        <v/>
      </c>
      <c r="I154" s="103" t="str">
        <f>IF('Employee Master'!B154="","",'⑥ Annual Performance'!Q154)</f>
        <v/>
      </c>
      <c r="J154" s="104" t="str">
        <f>IF('Employee Master'!B154="","",IF(I154&gt;=0.98,10,IF(I154&gt;=0.95,8,IF(I154&gt;=0.9,6,IF(I154&gt;=0.85,4,2)))))</f>
        <v/>
      </c>
      <c r="K154" s="105" t="str">
        <f>IF('Employee Master'!B154="","",'⑥ Annual Performance'!N154)</f>
        <v/>
      </c>
      <c r="L154" s="104" t="str">
        <f>IF('Employee Master'!B154="","",IF(K154&gt;=1000,10,IF(K154&gt;=750,8,IF(K154&gt;=500,6,IF(K154&gt;=250,4,2)))))</f>
        <v/>
      </c>
      <c r="M154" s="105" t="str">
        <f>IF('Employee Master'!B154="","",'⑥ Annual Performance'!K154)</f>
        <v/>
      </c>
      <c r="N154" s="106" t="str">
        <f>IF('Employee Master'!B154="","",'⑥ Annual Performance'!L154)</f>
        <v/>
      </c>
      <c r="O154" s="104" t="str">
        <f>IF('Employee Master'!B154="","",MIN(N154*2,10))</f>
        <v/>
      </c>
      <c r="P154" s="104" t="str">
        <f>IF('Employee Master'!B154="","",IF(F154&gt;=36,5,IF(F154&gt;=24,4,IF(F154&gt;=12,3,IF(F154&gt;=6,2,1)))))</f>
        <v/>
      </c>
      <c r="Q154" s="104" t="str">
        <f>IF('Employee Master'!B154="","",IF(D154="Sr. Controller",10,IF(D154="Coo",10,IF(D154="Controller",9,IF(D154="Asst. Controller",8,IF(D154="Sr. Manager",8,IF(D154="Manager",7,IF(D154="Asst. Manager",6,IF(D154="Team Lead",7,IF(D154="Asst. Team Lead",5,IF(D154="Sr. Associate",4,IF(D154="Associate",3,IF(D154="Full Stack Developer",5,IF(D154="Project Manager (S/W)",6,IF(D154="Marketing",4,4)))))))))))))))</f>
        <v/>
      </c>
      <c r="R154" s="107" t="str">
        <f>IF('Employee Master'!B154="","",H154+J154+L154+O154+P154+Q154)</f>
        <v/>
      </c>
      <c r="S154" s="108" t="str">
        <f>IF('Employee Master'!B154="","",3)</f>
        <v/>
      </c>
      <c r="T154" s="104" t="str">
        <f>IF('Employee Master'!B154="","",MIN(S154*2,10))</f>
        <v/>
      </c>
      <c r="U154" s="108" t="str">
        <f>IF('Employee Master'!B154="","",3)</f>
        <v/>
      </c>
      <c r="V154" s="104" t="str">
        <f>IF('Employee Master'!B154="","",MIN(U154*2,10))</f>
        <v/>
      </c>
      <c r="W154" s="108" t="str">
        <f>IF('Employee Master'!B154="","",3)</f>
        <v/>
      </c>
      <c r="X154" s="104" t="str">
        <f>IF('Employee Master'!B154="","",MIN(W154*2,10))</f>
        <v/>
      </c>
      <c r="Y154" s="108" t="str">
        <f>IF('Employee Master'!B154="","",3)</f>
        <v/>
      </c>
      <c r="Z154" s="104" t="str">
        <f>IF('Employee Master'!B154="","",MIN(Y154*2,10))</f>
        <v/>
      </c>
      <c r="AA154" s="109" t="str">
        <f>IF('Employee Master'!B154="","",T154+V154+X154+Z154)</f>
        <v/>
      </c>
      <c r="AB154" s="110" t="str">
        <f>IF('Employee Master'!B154="","",R154+AA154)</f>
        <v/>
      </c>
      <c r="AC154" s="27" t="str">
        <f>IF('Employee Master'!B154="","",IF(AB154&gt;=85,"Exceptional",IF(AB154&gt;=70,"High Performer",IF(AB154&gt;=50,"Meets Expectations",IF(AB154&gt;=30,"Below Expectations","Underperformer")))))</f>
        <v/>
      </c>
      <c r="AD154" s="51" t="str">
        <f>IF('Employee Master'!B154="","",'Employee Master'!M154)</f>
        <v/>
      </c>
      <c r="AE154" s="52" t="str">
        <f>IF('Employee Master'!B154="","",IF(AB154&gt;=85,Settings!B31,IF(AB154&gt;=70,Settings!B32,IF(AB154&gt;=50,Settings!B33,IF(AB154&gt;=30,Settings!B34,Settings!B35)))))</f>
        <v/>
      </c>
      <c r="AF154" s="51" t="str">
        <f>IF('Employee Master'!B154="","",AD154*(1+AE154))</f>
        <v/>
      </c>
      <c r="AG154" s="51" t="str">
        <f>IF('Employee Master'!B154="","",AF154-AD154)</f>
        <v/>
      </c>
      <c r="AH154" s="51" t="str">
        <f>IF('Employee Master'!B154="","",AG154*12)</f>
        <v/>
      </c>
    </row>
    <row r="155" spans="1:34" ht="15" customHeight="1" x14ac:dyDescent="0.2">
      <c r="A155" s="27" t="str">
        <f>IF('Employee Master'!B155="","",ROW()-3)</f>
        <v/>
      </c>
      <c r="B155" s="27" t="str">
        <f>IF('Employee Master'!B155="","",'Employee Master'!C155)</f>
        <v/>
      </c>
      <c r="C155" s="27" t="str">
        <f>IF('Employee Master'!B155="","",'Employee Master'!D155)</f>
        <v/>
      </c>
      <c r="D155" s="27" t="str">
        <f>IF('Employee Master'!B155="","",'Employee Master'!E155)</f>
        <v/>
      </c>
      <c r="E155" s="27" t="str">
        <f>IF('Employee Master'!B155="","",'Employee Master'!G155)</f>
        <v/>
      </c>
      <c r="F155" s="51" t="str">
        <f>IF('Employee Master'!B155="","",'⑥ Annual Performance'!R155)</f>
        <v/>
      </c>
      <c r="G155" s="103" t="str">
        <f>IF('Employee Master'!B155="","",'⑥ Annual Performance'!J155)</f>
        <v/>
      </c>
      <c r="H155" s="104" t="str">
        <f>IF('Employee Master'!B155="","",IF(G155&gt;=0.85,15,IF(G155&gt;=0.7,12,IF(G155&gt;=0.55,9,IF(G155&gt;=0.4,6,3)))))</f>
        <v/>
      </c>
      <c r="I155" s="103" t="str">
        <f>IF('Employee Master'!B155="","",'⑥ Annual Performance'!Q155)</f>
        <v/>
      </c>
      <c r="J155" s="104" t="str">
        <f>IF('Employee Master'!B155="","",IF(I155&gt;=0.98,10,IF(I155&gt;=0.95,8,IF(I155&gt;=0.9,6,IF(I155&gt;=0.85,4,2)))))</f>
        <v/>
      </c>
      <c r="K155" s="105" t="str">
        <f>IF('Employee Master'!B155="","",'⑥ Annual Performance'!N155)</f>
        <v/>
      </c>
      <c r="L155" s="104" t="str">
        <f>IF('Employee Master'!B155="","",IF(K155&gt;=1000,10,IF(K155&gt;=750,8,IF(K155&gt;=500,6,IF(K155&gt;=250,4,2)))))</f>
        <v/>
      </c>
      <c r="M155" s="105" t="str">
        <f>IF('Employee Master'!B155="","",'⑥ Annual Performance'!K155)</f>
        <v/>
      </c>
      <c r="N155" s="106" t="str">
        <f>IF('Employee Master'!B155="","",'⑥ Annual Performance'!L155)</f>
        <v/>
      </c>
      <c r="O155" s="104" t="str">
        <f>IF('Employee Master'!B155="","",MIN(N155*2,10))</f>
        <v/>
      </c>
      <c r="P155" s="104" t="str">
        <f>IF('Employee Master'!B155="","",IF(F155&gt;=36,5,IF(F155&gt;=24,4,IF(F155&gt;=12,3,IF(F155&gt;=6,2,1)))))</f>
        <v/>
      </c>
      <c r="Q155" s="104" t="str">
        <f>IF('Employee Master'!B155="","",IF(D155="Sr. Controller",10,IF(D155="Coo",10,IF(D155="Controller",9,IF(D155="Asst. Controller",8,IF(D155="Sr. Manager",8,IF(D155="Manager",7,IF(D155="Asst. Manager",6,IF(D155="Team Lead",7,IF(D155="Asst. Team Lead",5,IF(D155="Sr. Associate",4,IF(D155="Associate",3,IF(D155="Full Stack Developer",5,IF(D155="Project Manager (S/W)",6,IF(D155="Marketing",4,4)))))))))))))))</f>
        <v/>
      </c>
      <c r="R155" s="107" t="str">
        <f>IF('Employee Master'!B155="","",H155+J155+L155+O155+P155+Q155)</f>
        <v/>
      </c>
      <c r="S155" s="108" t="str">
        <f>IF('Employee Master'!B155="","",3)</f>
        <v/>
      </c>
      <c r="T155" s="104" t="str">
        <f>IF('Employee Master'!B155="","",MIN(S155*2,10))</f>
        <v/>
      </c>
      <c r="U155" s="108" t="str">
        <f>IF('Employee Master'!B155="","",3)</f>
        <v/>
      </c>
      <c r="V155" s="104" t="str">
        <f>IF('Employee Master'!B155="","",MIN(U155*2,10))</f>
        <v/>
      </c>
      <c r="W155" s="108" t="str">
        <f>IF('Employee Master'!B155="","",3)</f>
        <v/>
      </c>
      <c r="X155" s="104" t="str">
        <f>IF('Employee Master'!B155="","",MIN(W155*2,10))</f>
        <v/>
      </c>
      <c r="Y155" s="108" t="str">
        <f>IF('Employee Master'!B155="","",3)</f>
        <v/>
      </c>
      <c r="Z155" s="104" t="str">
        <f>IF('Employee Master'!B155="","",MIN(Y155*2,10))</f>
        <v/>
      </c>
      <c r="AA155" s="109" t="str">
        <f>IF('Employee Master'!B155="","",T155+V155+X155+Z155)</f>
        <v/>
      </c>
      <c r="AB155" s="110" t="str">
        <f>IF('Employee Master'!B155="","",R155+AA155)</f>
        <v/>
      </c>
      <c r="AC155" s="27" t="str">
        <f>IF('Employee Master'!B155="","",IF(AB155&gt;=85,"Exceptional",IF(AB155&gt;=70,"High Performer",IF(AB155&gt;=50,"Meets Expectations",IF(AB155&gt;=30,"Below Expectations","Underperformer")))))</f>
        <v/>
      </c>
      <c r="AD155" s="51" t="str">
        <f>IF('Employee Master'!B155="","",'Employee Master'!M155)</f>
        <v/>
      </c>
      <c r="AE155" s="52" t="str">
        <f>IF('Employee Master'!B155="","",IF(AB155&gt;=85,Settings!B31,IF(AB155&gt;=70,Settings!B32,IF(AB155&gt;=50,Settings!B33,IF(AB155&gt;=30,Settings!B34,Settings!B35)))))</f>
        <v/>
      </c>
      <c r="AF155" s="51" t="str">
        <f>IF('Employee Master'!B155="","",AD155*(1+AE155))</f>
        <v/>
      </c>
      <c r="AG155" s="51" t="str">
        <f>IF('Employee Master'!B155="","",AF155-AD155)</f>
        <v/>
      </c>
      <c r="AH155" s="51" t="str">
        <f>IF('Employee Master'!B155="","",AG155*12)</f>
        <v/>
      </c>
    </row>
    <row r="156" spans="1:34" ht="15" customHeight="1" x14ac:dyDescent="0.2">
      <c r="A156" s="27" t="str">
        <f>IF('Employee Master'!B156="","",ROW()-3)</f>
        <v/>
      </c>
      <c r="B156" s="27" t="str">
        <f>IF('Employee Master'!B156="","",'Employee Master'!C156)</f>
        <v/>
      </c>
      <c r="C156" s="27" t="str">
        <f>IF('Employee Master'!B156="","",'Employee Master'!D156)</f>
        <v/>
      </c>
      <c r="D156" s="27" t="str">
        <f>IF('Employee Master'!B156="","",'Employee Master'!E156)</f>
        <v/>
      </c>
      <c r="E156" s="27" t="str">
        <f>IF('Employee Master'!B156="","",'Employee Master'!G156)</f>
        <v/>
      </c>
      <c r="F156" s="51" t="str">
        <f>IF('Employee Master'!B156="","",'⑥ Annual Performance'!R156)</f>
        <v/>
      </c>
      <c r="G156" s="103" t="str">
        <f>IF('Employee Master'!B156="","",'⑥ Annual Performance'!J156)</f>
        <v/>
      </c>
      <c r="H156" s="104" t="str">
        <f>IF('Employee Master'!B156="","",IF(G156&gt;=0.85,15,IF(G156&gt;=0.7,12,IF(G156&gt;=0.55,9,IF(G156&gt;=0.4,6,3)))))</f>
        <v/>
      </c>
      <c r="I156" s="103" t="str">
        <f>IF('Employee Master'!B156="","",'⑥ Annual Performance'!Q156)</f>
        <v/>
      </c>
      <c r="J156" s="104" t="str">
        <f>IF('Employee Master'!B156="","",IF(I156&gt;=0.98,10,IF(I156&gt;=0.95,8,IF(I156&gt;=0.9,6,IF(I156&gt;=0.85,4,2)))))</f>
        <v/>
      </c>
      <c r="K156" s="105" t="str">
        <f>IF('Employee Master'!B156="","",'⑥ Annual Performance'!N156)</f>
        <v/>
      </c>
      <c r="L156" s="104" t="str">
        <f>IF('Employee Master'!B156="","",IF(K156&gt;=1000,10,IF(K156&gt;=750,8,IF(K156&gt;=500,6,IF(K156&gt;=250,4,2)))))</f>
        <v/>
      </c>
      <c r="M156" s="105" t="str">
        <f>IF('Employee Master'!B156="","",'⑥ Annual Performance'!K156)</f>
        <v/>
      </c>
      <c r="N156" s="106" t="str">
        <f>IF('Employee Master'!B156="","",'⑥ Annual Performance'!L156)</f>
        <v/>
      </c>
      <c r="O156" s="104" t="str">
        <f>IF('Employee Master'!B156="","",MIN(N156*2,10))</f>
        <v/>
      </c>
      <c r="P156" s="104" t="str">
        <f>IF('Employee Master'!B156="","",IF(F156&gt;=36,5,IF(F156&gt;=24,4,IF(F156&gt;=12,3,IF(F156&gt;=6,2,1)))))</f>
        <v/>
      </c>
      <c r="Q156" s="104" t="str">
        <f>IF('Employee Master'!B156="","",IF(D156="Sr. Controller",10,IF(D156="Coo",10,IF(D156="Controller",9,IF(D156="Asst. Controller",8,IF(D156="Sr. Manager",8,IF(D156="Manager",7,IF(D156="Asst. Manager",6,IF(D156="Team Lead",7,IF(D156="Asst. Team Lead",5,IF(D156="Sr. Associate",4,IF(D156="Associate",3,IF(D156="Full Stack Developer",5,IF(D156="Project Manager (S/W)",6,IF(D156="Marketing",4,4)))))))))))))))</f>
        <v/>
      </c>
      <c r="R156" s="107" t="str">
        <f>IF('Employee Master'!B156="","",H156+J156+L156+O156+P156+Q156)</f>
        <v/>
      </c>
      <c r="S156" s="108" t="str">
        <f>IF('Employee Master'!B156="","",3)</f>
        <v/>
      </c>
      <c r="T156" s="104" t="str">
        <f>IF('Employee Master'!B156="","",MIN(S156*2,10))</f>
        <v/>
      </c>
      <c r="U156" s="108" t="str">
        <f>IF('Employee Master'!B156="","",3)</f>
        <v/>
      </c>
      <c r="V156" s="104" t="str">
        <f>IF('Employee Master'!B156="","",MIN(U156*2,10))</f>
        <v/>
      </c>
      <c r="W156" s="108" t="str">
        <f>IF('Employee Master'!B156="","",3)</f>
        <v/>
      </c>
      <c r="X156" s="104" t="str">
        <f>IF('Employee Master'!B156="","",MIN(W156*2,10))</f>
        <v/>
      </c>
      <c r="Y156" s="108" t="str">
        <f>IF('Employee Master'!B156="","",3)</f>
        <v/>
      </c>
      <c r="Z156" s="104" t="str">
        <f>IF('Employee Master'!B156="","",MIN(Y156*2,10))</f>
        <v/>
      </c>
      <c r="AA156" s="109" t="str">
        <f>IF('Employee Master'!B156="","",T156+V156+X156+Z156)</f>
        <v/>
      </c>
      <c r="AB156" s="110" t="str">
        <f>IF('Employee Master'!B156="","",R156+AA156)</f>
        <v/>
      </c>
      <c r="AC156" s="27" t="str">
        <f>IF('Employee Master'!B156="","",IF(AB156&gt;=85,"Exceptional",IF(AB156&gt;=70,"High Performer",IF(AB156&gt;=50,"Meets Expectations",IF(AB156&gt;=30,"Below Expectations","Underperformer")))))</f>
        <v/>
      </c>
      <c r="AD156" s="51" t="str">
        <f>IF('Employee Master'!B156="","",'Employee Master'!M156)</f>
        <v/>
      </c>
      <c r="AE156" s="52" t="str">
        <f>IF('Employee Master'!B156="","",IF(AB156&gt;=85,Settings!B31,IF(AB156&gt;=70,Settings!B32,IF(AB156&gt;=50,Settings!B33,IF(AB156&gt;=30,Settings!B34,Settings!B35)))))</f>
        <v/>
      </c>
      <c r="AF156" s="51" t="str">
        <f>IF('Employee Master'!B156="","",AD156*(1+AE156))</f>
        <v/>
      </c>
      <c r="AG156" s="51" t="str">
        <f>IF('Employee Master'!B156="","",AF156-AD156)</f>
        <v/>
      </c>
      <c r="AH156" s="51" t="str">
        <f>IF('Employee Master'!B156="","",AG156*12)</f>
        <v/>
      </c>
    </row>
    <row r="157" spans="1:34" ht="15" customHeight="1" x14ac:dyDescent="0.2">
      <c r="A157" s="27" t="str">
        <f>IF('Employee Master'!B157="","",ROW()-3)</f>
        <v/>
      </c>
      <c r="B157" s="27" t="str">
        <f>IF('Employee Master'!B157="","",'Employee Master'!C157)</f>
        <v/>
      </c>
      <c r="C157" s="27" t="str">
        <f>IF('Employee Master'!B157="","",'Employee Master'!D157)</f>
        <v/>
      </c>
      <c r="D157" s="27" t="str">
        <f>IF('Employee Master'!B157="","",'Employee Master'!E157)</f>
        <v/>
      </c>
      <c r="E157" s="27" t="str">
        <f>IF('Employee Master'!B157="","",'Employee Master'!G157)</f>
        <v/>
      </c>
      <c r="F157" s="51" t="str">
        <f>IF('Employee Master'!B157="","",'⑥ Annual Performance'!R157)</f>
        <v/>
      </c>
      <c r="G157" s="103" t="str">
        <f>IF('Employee Master'!B157="","",'⑥ Annual Performance'!J157)</f>
        <v/>
      </c>
      <c r="H157" s="104" t="str">
        <f>IF('Employee Master'!B157="","",IF(G157&gt;=0.85,15,IF(G157&gt;=0.7,12,IF(G157&gt;=0.55,9,IF(G157&gt;=0.4,6,3)))))</f>
        <v/>
      </c>
      <c r="I157" s="103" t="str">
        <f>IF('Employee Master'!B157="","",'⑥ Annual Performance'!Q157)</f>
        <v/>
      </c>
      <c r="J157" s="104" t="str">
        <f>IF('Employee Master'!B157="","",IF(I157&gt;=0.98,10,IF(I157&gt;=0.95,8,IF(I157&gt;=0.9,6,IF(I157&gt;=0.85,4,2)))))</f>
        <v/>
      </c>
      <c r="K157" s="105" t="str">
        <f>IF('Employee Master'!B157="","",'⑥ Annual Performance'!N157)</f>
        <v/>
      </c>
      <c r="L157" s="104" t="str">
        <f>IF('Employee Master'!B157="","",IF(K157&gt;=1000,10,IF(K157&gt;=750,8,IF(K157&gt;=500,6,IF(K157&gt;=250,4,2)))))</f>
        <v/>
      </c>
      <c r="M157" s="105" t="str">
        <f>IF('Employee Master'!B157="","",'⑥ Annual Performance'!K157)</f>
        <v/>
      </c>
      <c r="N157" s="106" t="str">
        <f>IF('Employee Master'!B157="","",'⑥ Annual Performance'!L157)</f>
        <v/>
      </c>
      <c r="O157" s="104" t="str">
        <f>IF('Employee Master'!B157="","",MIN(N157*2,10))</f>
        <v/>
      </c>
      <c r="P157" s="104" t="str">
        <f>IF('Employee Master'!B157="","",IF(F157&gt;=36,5,IF(F157&gt;=24,4,IF(F157&gt;=12,3,IF(F157&gt;=6,2,1)))))</f>
        <v/>
      </c>
      <c r="Q157" s="104" t="str">
        <f>IF('Employee Master'!B157="","",IF(D157="Sr. Controller",10,IF(D157="Coo",10,IF(D157="Controller",9,IF(D157="Asst. Controller",8,IF(D157="Sr. Manager",8,IF(D157="Manager",7,IF(D157="Asst. Manager",6,IF(D157="Team Lead",7,IF(D157="Asst. Team Lead",5,IF(D157="Sr. Associate",4,IF(D157="Associate",3,IF(D157="Full Stack Developer",5,IF(D157="Project Manager (S/W)",6,IF(D157="Marketing",4,4)))))))))))))))</f>
        <v/>
      </c>
      <c r="R157" s="107" t="str">
        <f>IF('Employee Master'!B157="","",H157+J157+L157+O157+P157+Q157)</f>
        <v/>
      </c>
      <c r="S157" s="108" t="str">
        <f>IF('Employee Master'!B157="","",3)</f>
        <v/>
      </c>
      <c r="T157" s="104" t="str">
        <f>IF('Employee Master'!B157="","",MIN(S157*2,10))</f>
        <v/>
      </c>
      <c r="U157" s="108" t="str">
        <f>IF('Employee Master'!B157="","",3)</f>
        <v/>
      </c>
      <c r="V157" s="104" t="str">
        <f>IF('Employee Master'!B157="","",MIN(U157*2,10))</f>
        <v/>
      </c>
      <c r="W157" s="108" t="str">
        <f>IF('Employee Master'!B157="","",3)</f>
        <v/>
      </c>
      <c r="X157" s="104" t="str">
        <f>IF('Employee Master'!B157="","",MIN(W157*2,10))</f>
        <v/>
      </c>
      <c r="Y157" s="108" t="str">
        <f>IF('Employee Master'!B157="","",3)</f>
        <v/>
      </c>
      <c r="Z157" s="104" t="str">
        <f>IF('Employee Master'!B157="","",MIN(Y157*2,10))</f>
        <v/>
      </c>
      <c r="AA157" s="109" t="str">
        <f>IF('Employee Master'!B157="","",T157+V157+X157+Z157)</f>
        <v/>
      </c>
      <c r="AB157" s="110" t="str">
        <f>IF('Employee Master'!B157="","",R157+AA157)</f>
        <v/>
      </c>
      <c r="AC157" s="27" t="str">
        <f>IF('Employee Master'!B157="","",IF(AB157&gt;=85,"Exceptional",IF(AB157&gt;=70,"High Performer",IF(AB157&gt;=50,"Meets Expectations",IF(AB157&gt;=30,"Below Expectations","Underperformer")))))</f>
        <v/>
      </c>
      <c r="AD157" s="51" t="str">
        <f>IF('Employee Master'!B157="","",'Employee Master'!M157)</f>
        <v/>
      </c>
      <c r="AE157" s="52" t="str">
        <f>IF('Employee Master'!B157="","",IF(AB157&gt;=85,Settings!B31,IF(AB157&gt;=70,Settings!B32,IF(AB157&gt;=50,Settings!B33,IF(AB157&gt;=30,Settings!B34,Settings!B35)))))</f>
        <v/>
      </c>
      <c r="AF157" s="51" t="str">
        <f>IF('Employee Master'!B157="","",AD157*(1+AE157))</f>
        <v/>
      </c>
      <c r="AG157" s="51" t="str">
        <f>IF('Employee Master'!B157="","",AF157-AD157)</f>
        <v/>
      </c>
      <c r="AH157" s="51" t="str">
        <f>IF('Employee Master'!B157="","",AG157*12)</f>
        <v/>
      </c>
    </row>
    <row r="158" spans="1:34" ht="15" customHeight="1" x14ac:dyDescent="0.2">
      <c r="A158" s="27" t="str">
        <f>IF('Employee Master'!B158="","",ROW()-3)</f>
        <v/>
      </c>
      <c r="B158" s="27" t="str">
        <f>IF('Employee Master'!B158="","",'Employee Master'!C158)</f>
        <v/>
      </c>
      <c r="C158" s="27" t="str">
        <f>IF('Employee Master'!B158="","",'Employee Master'!D158)</f>
        <v/>
      </c>
      <c r="D158" s="27" t="str">
        <f>IF('Employee Master'!B158="","",'Employee Master'!E158)</f>
        <v/>
      </c>
      <c r="E158" s="27" t="str">
        <f>IF('Employee Master'!B158="","",'Employee Master'!G158)</f>
        <v/>
      </c>
      <c r="F158" s="51" t="str">
        <f>IF('Employee Master'!B158="","",'⑥ Annual Performance'!R158)</f>
        <v/>
      </c>
      <c r="G158" s="103" t="str">
        <f>IF('Employee Master'!B158="","",'⑥ Annual Performance'!J158)</f>
        <v/>
      </c>
      <c r="H158" s="104" t="str">
        <f>IF('Employee Master'!B158="","",IF(G158&gt;=0.85,15,IF(G158&gt;=0.7,12,IF(G158&gt;=0.55,9,IF(G158&gt;=0.4,6,3)))))</f>
        <v/>
      </c>
      <c r="I158" s="103" t="str">
        <f>IF('Employee Master'!B158="","",'⑥ Annual Performance'!Q158)</f>
        <v/>
      </c>
      <c r="J158" s="104" t="str">
        <f>IF('Employee Master'!B158="","",IF(I158&gt;=0.98,10,IF(I158&gt;=0.95,8,IF(I158&gt;=0.9,6,IF(I158&gt;=0.85,4,2)))))</f>
        <v/>
      </c>
      <c r="K158" s="105" t="str">
        <f>IF('Employee Master'!B158="","",'⑥ Annual Performance'!N158)</f>
        <v/>
      </c>
      <c r="L158" s="104" t="str">
        <f>IF('Employee Master'!B158="","",IF(K158&gt;=1000,10,IF(K158&gt;=750,8,IF(K158&gt;=500,6,IF(K158&gt;=250,4,2)))))</f>
        <v/>
      </c>
      <c r="M158" s="105" t="str">
        <f>IF('Employee Master'!B158="","",'⑥ Annual Performance'!K158)</f>
        <v/>
      </c>
      <c r="N158" s="106" t="str">
        <f>IF('Employee Master'!B158="","",'⑥ Annual Performance'!L158)</f>
        <v/>
      </c>
      <c r="O158" s="104" t="str">
        <f>IF('Employee Master'!B158="","",MIN(N158*2,10))</f>
        <v/>
      </c>
      <c r="P158" s="104" t="str">
        <f>IF('Employee Master'!B158="","",IF(F158&gt;=36,5,IF(F158&gt;=24,4,IF(F158&gt;=12,3,IF(F158&gt;=6,2,1)))))</f>
        <v/>
      </c>
      <c r="Q158" s="104" t="str">
        <f>IF('Employee Master'!B158="","",IF(D158="Sr. Controller",10,IF(D158="Coo",10,IF(D158="Controller",9,IF(D158="Asst. Controller",8,IF(D158="Sr. Manager",8,IF(D158="Manager",7,IF(D158="Asst. Manager",6,IF(D158="Team Lead",7,IF(D158="Asst. Team Lead",5,IF(D158="Sr. Associate",4,IF(D158="Associate",3,IF(D158="Full Stack Developer",5,IF(D158="Project Manager (S/W)",6,IF(D158="Marketing",4,4)))))))))))))))</f>
        <v/>
      </c>
      <c r="R158" s="107" t="str">
        <f>IF('Employee Master'!B158="","",H158+J158+L158+O158+P158+Q158)</f>
        <v/>
      </c>
      <c r="S158" s="108" t="str">
        <f>IF('Employee Master'!B158="","",3)</f>
        <v/>
      </c>
      <c r="T158" s="104" t="str">
        <f>IF('Employee Master'!B158="","",MIN(S158*2,10))</f>
        <v/>
      </c>
      <c r="U158" s="108" t="str">
        <f>IF('Employee Master'!B158="","",3)</f>
        <v/>
      </c>
      <c r="V158" s="104" t="str">
        <f>IF('Employee Master'!B158="","",MIN(U158*2,10))</f>
        <v/>
      </c>
      <c r="W158" s="108" t="str">
        <f>IF('Employee Master'!B158="","",3)</f>
        <v/>
      </c>
      <c r="X158" s="104" t="str">
        <f>IF('Employee Master'!B158="","",MIN(W158*2,10))</f>
        <v/>
      </c>
      <c r="Y158" s="108" t="str">
        <f>IF('Employee Master'!B158="","",3)</f>
        <v/>
      </c>
      <c r="Z158" s="104" t="str">
        <f>IF('Employee Master'!B158="","",MIN(Y158*2,10))</f>
        <v/>
      </c>
      <c r="AA158" s="109" t="str">
        <f>IF('Employee Master'!B158="","",T158+V158+X158+Z158)</f>
        <v/>
      </c>
      <c r="AB158" s="110" t="str">
        <f>IF('Employee Master'!B158="","",R158+AA158)</f>
        <v/>
      </c>
      <c r="AC158" s="27" t="str">
        <f>IF('Employee Master'!B158="","",IF(AB158&gt;=85,"Exceptional",IF(AB158&gt;=70,"High Performer",IF(AB158&gt;=50,"Meets Expectations",IF(AB158&gt;=30,"Below Expectations","Underperformer")))))</f>
        <v/>
      </c>
      <c r="AD158" s="51" t="str">
        <f>IF('Employee Master'!B158="","",'Employee Master'!M158)</f>
        <v/>
      </c>
      <c r="AE158" s="52" t="str">
        <f>IF('Employee Master'!B158="","",IF(AB158&gt;=85,Settings!B31,IF(AB158&gt;=70,Settings!B32,IF(AB158&gt;=50,Settings!B33,IF(AB158&gt;=30,Settings!B34,Settings!B35)))))</f>
        <v/>
      </c>
      <c r="AF158" s="51" t="str">
        <f>IF('Employee Master'!B158="","",AD158*(1+AE158))</f>
        <v/>
      </c>
      <c r="AG158" s="51" t="str">
        <f>IF('Employee Master'!B158="","",AF158-AD158)</f>
        <v/>
      </c>
      <c r="AH158" s="51" t="str">
        <f>IF('Employee Master'!B158="","",AG158*12)</f>
        <v/>
      </c>
    </row>
    <row r="159" spans="1:34" ht="15" customHeight="1" x14ac:dyDescent="0.2">
      <c r="A159" s="27" t="str">
        <f>IF('Employee Master'!B159="","",ROW()-3)</f>
        <v/>
      </c>
      <c r="B159" s="27" t="str">
        <f>IF('Employee Master'!B159="","",'Employee Master'!C159)</f>
        <v/>
      </c>
      <c r="C159" s="27" t="str">
        <f>IF('Employee Master'!B159="","",'Employee Master'!D159)</f>
        <v/>
      </c>
      <c r="D159" s="27" t="str">
        <f>IF('Employee Master'!B159="","",'Employee Master'!E159)</f>
        <v/>
      </c>
      <c r="E159" s="27" t="str">
        <f>IF('Employee Master'!B159="","",'Employee Master'!G159)</f>
        <v/>
      </c>
      <c r="F159" s="51" t="str">
        <f>IF('Employee Master'!B159="","",'⑥ Annual Performance'!R159)</f>
        <v/>
      </c>
      <c r="G159" s="103" t="str">
        <f>IF('Employee Master'!B159="","",'⑥ Annual Performance'!J159)</f>
        <v/>
      </c>
      <c r="H159" s="104" t="str">
        <f>IF('Employee Master'!B159="","",IF(G159&gt;=0.85,15,IF(G159&gt;=0.7,12,IF(G159&gt;=0.55,9,IF(G159&gt;=0.4,6,3)))))</f>
        <v/>
      </c>
      <c r="I159" s="103" t="str">
        <f>IF('Employee Master'!B159="","",'⑥ Annual Performance'!Q159)</f>
        <v/>
      </c>
      <c r="J159" s="104" t="str">
        <f>IF('Employee Master'!B159="","",IF(I159&gt;=0.98,10,IF(I159&gt;=0.95,8,IF(I159&gt;=0.9,6,IF(I159&gt;=0.85,4,2)))))</f>
        <v/>
      </c>
      <c r="K159" s="105" t="str">
        <f>IF('Employee Master'!B159="","",'⑥ Annual Performance'!N159)</f>
        <v/>
      </c>
      <c r="L159" s="104" t="str">
        <f>IF('Employee Master'!B159="","",IF(K159&gt;=1000,10,IF(K159&gt;=750,8,IF(K159&gt;=500,6,IF(K159&gt;=250,4,2)))))</f>
        <v/>
      </c>
      <c r="M159" s="105" t="str">
        <f>IF('Employee Master'!B159="","",'⑥ Annual Performance'!K159)</f>
        <v/>
      </c>
      <c r="N159" s="106" t="str">
        <f>IF('Employee Master'!B159="","",'⑥ Annual Performance'!L159)</f>
        <v/>
      </c>
      <c r="O159" s="104" t="str">
        <f>IF('Employee Master'!B159="","",MIN(N159*2,10))</f>
        <v/>
      </c>
      <c r="P159" s="104" t="str">
        <f>IF('Employee Master'!B159="","",IF(F159&gt;=36,5,IF(F159&gt;=24,4,IF(F159&gt;=12,3,IF(F159&gt;=6,2,1)))))</f>
        <v/>
      </c>
      <c r="Q159" s="104" t="str">
        <f>IF('Employee Master'!B159="","",IF(D159="Sr. Controller",10,IF(D159="Coo",10,IF(D159="Controller",9,IF(D159="Asst. Controller",8,IF(D159="Sr. Manager",8,IF(D159="Manager",7,IF(D159="Asst. Manager",6,IF(D159="Team Lead",7,IF(D159="Asst. Team Lead",5,IF(D159="Sr. Associate",4,IF(D159="Associate",3,IF(D159="Full Stack Developer",5,IF(D159="Project Manager (S/W)",6,IF(D159="Marketing",4,4)))))))))))))))</f>
        <v/>
      </c>
      <c r="R159" s="107" t="str">
        <f>IF('Employee Master'!B159="","",H159+J159+L159+O159+P159+Q159)</f>
        <v/>
      </c>
      <c r="S159" s="108" t="str">
        <f>IF('Employee Master'!B159="","",3)</f>
        <v/>
      </c>
      <c r="T159" s="104" t="str">
        <f>IF('Employee Master'!B159="","",MIN(S159*2,10))</f>
        <v/>
      </c>
      <c r="U159" s="108" t="str">
        <f>IF('Employee Master'!B159="","",3)</f>
        <v/>
      </c>
      <c r="V159" s="104" t="str">
        <f>IF('Employee Master'!B159="","",MIN(U159*2,10))</f>
        <v/>
      </c>
      <c r="W159" s="108" t="str">
        <f>IF('Employee Master'!B159="","",3)</f>
        <v/>
      </c>
      <c r="X159" s="104" t="str">
        <f>IF('Employee Master'!B159="","",MIN(W159*2,10))</f>
        <v/>
      </c>
      <c r="Y159" s="108" t="str">
        <f>IF('Employee Master'!B159="","",3)</f>
        <v/>
      </c>
      <c r="Z159" s="104" t="str">
        <f>IF('Employee Master'!B159="","",MIN(Y159*2,10))</f>
        <v/>
      </c>
      <c r="AA159" s="109" t="str">
        <f>IF('Employee Master'!B159="","",T159+V159+X159+Z159)</f>
        <v/>
      </c>
      <c r="AB159" s="110" t="str">
        <f>IF('Employee Master'!B159="","",R159+AA159)</f>
        <v/>
      </c>
      <c r="AC159" s="27" t="str">
        <f>IF('Employee Master'!B159="","",IF(AB159&gt;=85,"Exceptional",IF(AB159&gt;=70,"High Performer",IF(AB159&gt;=50,"Meets Expectations",IF(AB159&gt;=30,"Below Expectations","Underperformer")))))</f>
        <v/>
      </c>
      <c r="AD159" s="51" t="str">
        <f>IF('Employee Master'!B159="","",'Employee Master'!M159)</f>
        <v/>
      </c>
      <c r="AE159" s="52" t="str">
        <f>IF('Employee Master'!B159="","",IF(AB159&gt;=85,Settings!B31,IF(AB159&gt;=70,Settings!B32,IF(AB159&gt;=50,Settings!B33,IF(AB159&gt;=30,Settings!B34,Settings!B35)))))</f>
        <v/>
      </c>
      <c r="AF159" s="51" t="str">
        <f>IF('Employee Master'!B159="","",AD159*(1+AE159))</f>
        <v/>
      </c>
      <c r="AG159" s="51" t="str">
        <f>IF('Employee Master'!B159="","",AF159-AD159)</f>
        <v/>
      </c>
      <c r="AH159" s="51" t="str">
        <f>IF('Employee Master'!B159="","",AG159*12)</f>
        <v/>
      </c>
    </row>
    <row r="160" spans="1:34" ht="15" customHeight="1" x14ac:dyDescent="0.2">
      <c r="A160" s="27" t="str">
        <f>IF('Employee Master'!B160="","",ROW()-3)</f>
        <v/>
      </c>
      <c r="B160" s="27" t="str">
        <f>IF('Employee Master'!B160="","",'Employee Master'!C160)</f>
        <v/>
      </c>
      <c r="C160" s="27" t="str">
        <f>IF('Employee Master'!B160="","",'Employee Master'!D160)</f>
        <v/>
      </c>
      <c r="D160" s="27" t="str">
        <f>IF('Employee Master'!B160="","",'Employee Master'!E160)</f>
        <v/>
      </c>
      <c r="E160" s="27" t="str">
        <f>IF('Employee Master'!B160="","",'Employee Master'!G160)</f>
        <v/>
      </c>
      <c r="F160" s="51" t="str">
        <f>IF('Employee Master'!B160="","",'⑥ Annual Performance'!R160)</f>
        <v/>
      </c>
      <c r="G160" s="103" t="str">
        <f>IF('Employee Master'!B160="","",'⑥ Annual Performance'!J160)</f>
        <v/>
      </c>
      <c r="H160" s="104" t="str">
        <f>IF('Employee Master'!B160="","",IF(G160&gt;=0.85,15,IF(G160&gt;=0.7,12,IF(G160&gt;=0.55,9,IF(G160&gt;=0.4,6,3)))))</f>
        <v/>
      </c>
      <c r="I160" s="103" t="str">
        <f>IF('Employee Master'!B160="","",'⑥ Annual Performance'!Q160)</f>
        <v/>
      </c>
      <c r="J160" s="104" t="str">
        <f>IF('Employee Master'!B160="","",IF(I160&gt;=0.98,10,IF(I160&gt;=0.95,8,IF(I160&gt;=0.9,6,IF(I160&gt;=0.85,4,2)))))</f>
        <v/>
      </c>
      <c r="K160" s="105" t="str">
        <f>IF('Employee Master'!B160="","",'⑥ Annual Performance'!N160)</f>
        <v/>
      </c>
      <c r="L160" s="104" t="str">
        <f>IF('Employee Master'!B160="","",IF(K160&gt;=1000,10,IF(K160&gt;=750,8,IF(K160&gt;=500,6,IF(K160&gt;=250,4,2)))))</f>
        <v/>
      </c>
      <c r="M160" s="105" t="str">
        <f>IF('Employee Master'!B160="","",'⑥ Annual Performance'!K160)</f>
        <v/>
      </c>
      <c r="N160" s="106" t="str">
        <f>IF('Employee Master'!B160="","",'⑥ Annual Performance'!L160)</f>
        <v/>
      </c>
      <c r="O160" s="104" t="str">
        <f>IF('Employee Master'!B160="","",MIN(N160*2,10))</f>
        <v/>
      </c>
      <c r="P160" s="104" t="str">
        <f>IF('Employee Master'!B160="","",IF(F160&gt;=36,5,IF(F160&gt;=24,4,IF(F160&gt;=12,3,IF(F160&gt;=6,2,1)))))</f>
        <v/>
      </c>
      <c r="Q160" s="104" t="str">
        <f>IF('Employee Master'!B160="","",IF(D160="Sr. Controller",10,IF(D160="Coo",10,IF(D160="Controller",9,IF(D160="Asst. Controller",8,IF(D160="Sr. Manager",8,IF(D160="Manager",7,IF(D160="Asst. Manager",6,IF(D160="Team Lead",7,IF(D160="Asst. Team Lead",5,IF(D160="Sr. Associate",4,IF(D160="Associate",3,IF(D160="Full Stack Developer",5,IF(D160="Project Manager (S/W)",6,IF(D160="Marketing",4,4)))))))))))))))</f>
        <v/>
      </c>
      <c r="R160" s="107" t="str">
        <f>IF('Employee Master'!B160="","",H160+J160+L160+O160+P160+Q160)</f>
        <v/>
      </c>
      <c r="S160" s="108" t="str">
        <f>IF('Employee Master'!B160="","",3)</f>
        <v/>
      </c>
      <c r="T160" s="104" t="str">
        <f>IF('Employee Master'!B160="","",MIN(S160*2,10))</f>
        <v/>
      </c>
      <c r="U160" s="108" t="str">
        <f>IF('Employee Master'!B160="","",3)</f>
        <v/>
      </c>
      <c r="V160" s="104" t="str">
        <f>IF('Employee Master'!B160="","",MIN(U160*2,10))</f>
        <v/>
      </c>
      <c r="W160" s="108" t="str">
        <f>IF('Employee Master'!B160="","",3)</f>
        <v/>
      </c>
      <c r="X160" s="104" t="str">
        <f>IF('Employee Master'!B160="","",MIN(W160*2,10))</f>
        <v/>
      </c>
      <c r="Y160" s="108" t="str">
        <f>IF('Employee Master'!B160="","",3)</f>
        <v/>
      </c>
      <c r="Z160" s="104" t="str">
        <f>IF('Employee Master'!B160="","",MIN(Y160*2,10))</f>
        <v/>
      </c>
      <c r="AA160" s="109" t="str">
        <f>IF('Employee Master'!B160="","",T160+V160+X160+Z160)</f>
        <v/>
      </c>
      <c r="AB160" s="110" t="str">
        <f>IF('Employee Master'!B160="","",R160+AA160)</f>
        <v/>
      </c>
      <c r="AC160" s="27" t="str">
        <f>IF('Employee Master'!B160="","",IF(AB160&gt;=85,"Exceptional",IF(AB160&gt;=70,"High Performer",IF(AB160&gt;=50,"Meets Expectations",IF(AB160&gt;=30,"Below Expectations","Underperformer")))))</f>
        <v/>
      </c>
      <c r="AD160" s="51" t="str">
        <f>IF('Employee Master'!B160="","",'Employee Master'!M160)</f>
        <v/>
      </c>
      <c r="AE160" s="52" t="str">
        <f>IF('Employee Master'!B160="","",IF(AB160&gt;=85,Settings!B31,IF(AB160&gt;=70,Settings!B32,IF(AB160&gt;=50,Settings!B33,IF(AB160&gt;=30,Settings!B34,Settings!B35)))))</f>
        <v/>
      </c>
      <c r="AF160" s="51" t="str">
        <f>IF('Employee Master'!B160="","",AD160*(1+AE160))</f>
        <v/>
      </c>
      <c r="AG160" s="51" t="str">
        <f>IF('Employee Master'!B160="","",AF160-AD160)</f>
        <v/>
      </c>
      <c r="AH160" s="51" t="str">
        <f>IF('Employee Master'!B160="","",AG160*12)</f>
        <v/>
      </c>
    </row>
    <row r="161" spans="1:34" ht="15" customHeight="1" x14ac:dyDescent="0.2">
      <c r="A161" s="27" t="str">
        <f>IF('Employee Master'!B161="","",ROW()-3)</f>
        <v/>
      </c>
      <c r="B161" s="27" t="str">
        <f>IF('Employee Master'!B161="","",'Employee Master'!C161)</f>
        <v/>
      </c>
      <c r="C161" s="27" t="str">
        <f>IF('Employee Master'!B161="","",'Employee Master'!D161)</f>
        <v/>
      </c>
      <c r="D161" s="27" t="str">
        <f>IF('Employee Master'!B161="","",'Employee Master'!E161)</f>
        <v/>
      </c>
      <c r="E161" s="27" t="str">
        <f>IF('Employee Master'!B161="","",'Employee Master'!G161)</f>
        <v/>
      </c>
      <c r="F161" s="51" t="str">
        <f>IF('Employee Master'!B161="","",'⑥ Annual Performance'!R161)</f>
        <v/>
      </c>
      <c r="G161" s="103" t="str">
        <f>IF('Employee Master'!B161="","",'⑥ Annual Performance'!J161)</f>
        <v/>
      </c>
      <c r="H161" s="104" t="str">
        <f>IF('Employee Master'!B161="","",IF(G161&gt;=0.85,15,IF(G161&gt;=0.7,12,IF(G161&gt;=0.55,9,IF(G161&gt;=0.4,6,3)))))</f>
        <v/>
      </c>
      <c r="I161" s="103" t="str">
        <f>IF('Employee Master'!B161="","",'⑥ Annual Performance'!Q161)</f>
        <v/>
      </c>
      <c r="J161" s="104" t="str">
        <f>IF('Employee Master'!B161="","",IF(I161&gt;=0.98,10,IF(I161&gt;=0.95,8,IF(I161&gt;=0.9,6,IF(I161&gt;=0.85,4,2)))))</f>
        <v/>
      </c>
      <c r="K161" s="105" t="str">
        <f>IF('Employee Master'!B161="","",'⑥ Annual Performance'!N161)</f>
        <v/>
      </c>
      <c r="L161" s="104" t="str">
        <f>IF('Employee Master'!B161="","",IF(K161&gt;=1000,10,IF(K161&gt;=750,8,IF(K161&gt;=500,6,IF(K161&gt;=250,4,2)))))</f>
        <v/>
      </c>
      <c r="M161" s="105" t="str">
        <f>IF('Employee Master'!B161="","",'⑥ Annual Performance'!K161)</f>
        <v/>
      </c>
      <c r="N161" s="106" t="str">
        <f>IF('Employee Master'!B161="","",'⑥ Annual Performance'!L161)</f>
        <v/>
      </c>
      <c r="O161" s="104" t="str">
        <f>IF('Employee Master'!B161="","",MIN(N161*2,10))</f>
        <v/>
      </c>
      <c r="P161" s="104" t="str">
        <f>IF('Employee Master'!B161="","",IF(F161&gt;=36,5,IF(F161&gt;=24,4,IF(F161&gt;=12,3,IF(F161&gt;=6,2,1)))))</f>
        <v/>
      </c>
      <c r="Q161" s="104" t="str">
        <f>IF('Employee Master'!B161="","",IF(D161="Sr. Controller",10,IF(D161="Coo",10,IF(D161="Controller",9,IF(D161="Asst. Controller",8,IF(D161="Sr. Manager",8,IF(D161="Manager",7,IF(D161="Asst. Manager",6,IF(D161="Team Lead",7,IF(D161="Asst. Team Lead",5,IF(D161="Sr. Associate",4,IF(D161="Associate",3,IF(D161="Full Stack Developer",5,IF(D161="Project Manager (S/W)",6,IF(D161="Marketing",4,4)))))))))))))))</f>
        <v/>
      </c>
      <c r="R161" s="107" t="str">
        <f>IF('Employee Master'!B161="","",H161+J161+L161+O161+P161+Q161)</f>
        <v/>
      </c>
      <c r="S161" s="108" t="str">
        <f>IF('Employee Master'!B161="","",3)</f>
        <v/>
      </c>
      <c r="T161" s="104" t="str">
        <f>IF('Employee Master'!B161="","",MIN(S161*2,10))</f>
        <v/>
      </c>
      <c r="U161" s="108" t="str">
        <f>IF('Employee Master'!B161="","",3)</f>
        <v/>
      </c>
      <c r="V161" s="104" t="str">
        <f>IF('Employee Master'!B161="","",MIN(U161*2,10))</f>
        <v/>
      </c>
      <c r="W161" s="108" t="str">
        <f>IF('Employee Master'!B161="","",3)</f>
        <v/>
      </c>
      <c r="X161" s="104" t="str">
        <f>IF('Employee Master'!B161="","",MIN(W161*2,10))</f>
        <v/>
      </c>
      <c r="Y161" s="108" t="str">
        <f>IF('Employee Master'!B161="","",3)</f>
        <v/>
      </c>
      <c r="Z161" s="104" t="str">
        <f>IF('Employee Master'!B161="","",MIN(Y161*2,10))</f>
        <v/>
      </c>
      <c r="AA161" s="109" t="str">
        <f>IF('Employee Master'!B161="","",T161+V161+X161+Z161)</f>
        <v/>
      </c>
      <c r="AB161" s="110" t="str">
        <f>IF('Employee Master'!B161="","",R161+AA161)</f>
        <v/>
      </c>
      <c r="AC161" s="27" t="str">
        <f>IF('Employee Master'!B161="","",IF(AB161&gt;=85,"Exceptional",IF(AB161&gt;=70,"High Performer",IF(AB161&gt;=50,"Meets Expectations",IF(AB161&gt;=30,"Below Expectations","Underperformer")))))</f>
        <v/>
      </c>
      <c r="AD161" s="51" t="str">
        <f>IF('Employee Master'!B161="","",'Employee Master'!M161)</f>
        <v/>
      </c>
      <c r="AE161" s="52" t="str">
        <f>IF('Employee Master'!B161="","",IF(AB161&gt;=85,Settings!B31,IF(AB161&gt;=70,Settings!B32,IF(AB161&gt;=50,Settings!B33,IF(AB161&gt;=30,Settings!B34,Settings!B35)))))</f>
        <v/>
      </c>
      <c r="AF161" s="51" t="str">
        <f>IF('Employee Master'!B161="","",AD161*(1+AE161))</f>
        <v/>
      </c>
      <c r="AG161" s="51" t="str">
        <f>IF('Employee Master'!B161="","",AF161-AD161)</f>
        <v/>
      </c>
      <c r="AH161" s="51" t="str">
        <f>IF('Employee Master'!B161="","",AG161*12)</f>
        <v/>
      </c>
    </row>
    <row r="162" spans="1:34" ht="15" customHeight="1" x14ac:dyDescent="0.2">
      <c r="A162" s="27" t="str">
        <f>IF('Employee Master'!B162="","",ROW()-3)</f>
        <v/>
      </c>
      <c r="B162" s="27" t="str">
        <f>IF('Employee Master'!B162="","",'Employee Master'!C162)</f>
        <v/>
      </c>
      <c r="C162" s="27" t="str">
        <f>IF('Employee Master'!B162="","",'Employee Master'!D162)</f>
        <v/>
      </c>
      <c r="D162" s="27" t="str">
        <f>IF('Employee Master'!B162="","",'Employee Master'!E162)</f>
        <v/>
      </c>
      <c r="E162" s="27" t="str">
        <f>IF('Employee Master'!B162="","",'Employee Master'!G162)</f>
        <v/>
      </c>
      <c r="F162" s="51" t="str">
        <f>IF('Employee Master'!B162="","",'⑥ Annual Performance'!R162)</f>
        <v/>
      </c>
      <c r="G162" s="103" t="str">
        <f>IF('Employee Master'!B162="","",'⑥ Annual Performance'!J162)</f>
        <v/>
      </c>
      <c r="H162" s="104" t="str">
        <f>IF('Employee Master'!B162="","",IF(G162&gt;=0.85,15,IF(G162&gt;=0.7,12,IF(G162&gt;=0.55,9,IF(G162&gt;=0.4,6,3)))))</f>
        <v/>
      </c>
      <c r="I162" s="103" t="str">
        <f>IF('Employee Master'!B162="","",'⑥ Annual Performance'!Q162)</f>
        <v/>
      </c>
      <c r="J162" s="104" t="str">
        <f>IF('Employee Master'!B162="","",IF(I162&gt;=0.98,10,IF(I162&gt;=0.95,8,IF(I162&gt;=0.9,6,IF(I162&gt;=0.85,4,2)))))</f>
        <v/>
      </c>
      <c r="K162" s="105" t="str">
        <f>IF('Employee Master'!B162="","",'⑥ Annual Performance'!N162)</f>
        <v/>
      </c>
      <c r="L162" s="104" t="str">
        <f>IF('Employee Master'!B162="","",IF(K162&gt;=1000,10,IF(K162&gt;=750,8,IF(K162&gt;=500,6,IF(K162&gt;=250,4,2)))))</f>
        <v/>
      </c>
      <c r="M162" s="105" t="str">
        <f>IF('Employee Master'!B162="","",'⑥ Annual Performance'!K162)</f>
        <v/>
      </c>
      <c r="N162" s="106" t="str">
        <f>IF('Employee Master'!B162="","",'⑥ Annual Performance'!L162)</f>
        <v/>
      </c>
      <c r="O162" s="104" t="str">
        <f>IF('Employee Master'!B162="","",MIN(N162*2,10))</f>
        <v/>
      </c>
      <c r="P162" s="104" t="str">
        <f>IF('Employee Master'!B162="","",IF(F162&gt;=36,5,IF(F162&gt;=24,4,IF(F162&gt;=12,3,IF(F162&gt;=6,2,1)))))</f>
        <v/>
      </c>
      <c r="Q162" s="104" t="str">
        <f>IF('Employee Master'!B162="","",IF(D162="Sr. Controller",10,IF(D162="Coo",10,IF(D162="Controller",9,IF(D162="Asst. Controller",8,IF(D162="Sr. Manager",8,IF(D162="Manager",7,IF(D162="Asst. Manager",6,IF(D162="Team Lead",7,IF(D162="Asst. Team Lead",5,IF(D162="Sr. Associate",4,IF(D162="Associate",3,IF(D162="Full Stack Developer",5,IF(D162="Project Manager (S/W)",6,IF(D162="Marketing",4,4)))))))))))))))</f>
        <v/>
      </c>
      <c r="R162" s="107" t="str">
        <f>IF('Employee Master'!B162="","",H162+J162+L162+O162+P162+Q162)</f>
        <v/>
      </c>
      <c r="S162" s="108" t="str">
        <f>IF('Employee Master'!B162="","",3)</f>
        <v/>
      </c>
      <c r="T162" s="104" t="str">
        <f>IF('Employee Master'!B162="","",MIN(S162*2,10))</f>
        <v/>
      </c>
      <c r="U162" s="108" t="str">
        <f>IF('Employee Master'!B162="","",3)</f>
        <v/>
      </c>
      <c r="V162" s="104" t="str">
        <f>IF('Employee Master'!B162="","",MIN(U162*2,10))</f>
        <v/>
      </c>
      <c r="W162" s="108" t="str">
        <f>IF('Employee Master'!B162="","",3)</f>
        <v/>
      </c>
      <c r="X162" s="104" t="str">
        <f>IF('Employee Master'!B162="","",MIN(W162*2,10))</f>
        <v/>
      </c>
      <c r="Y162" s="108" t="str">
        <f>IF('Employee Master'!B162="","",3)</f>
        <v/>
      </c>
      <c r="Z162" s="104" t="str">
        <f>IF('Employee Master'!B162="","",MIN(Y162*2,10))</f>
        <v/>
      </c>
      <c r="AA162" s="109" t="str">
        <f>IF('Employee Master'!B162="","",T162+V162+X162+Z162)</f>
        <v/>
      </c>
      <c r="AB162" s="110" t="str">
        <f>IF('Employee Master'!B162="","",R162+AA162)</f>
        <v/>
      </c>
      <c r="AC162" s="27" t="str">
        <f>IF('Employee Master'!B162="","",IF(AB162&gt;=85,"Exceptional",IF(AB162&gt;=70,"High Performer",IF(AB162&gt;=50,"Meets Expectations",IF(AB162&gt;=30,"Below Expectations","Underperformer")))))</f>
        <v/>
      </c>
      <c r="AD162" s="51" t="str">
        <f>IF('Employee Master'!B162="","",'Employee Master'!M162)</f>
        <v/>
      </c>
      <c r="AE162" s="52" t="str">
        <f>IF('Employee Master'!B162="","",IF(AB162&gt;=85,Settings!B31,IF(AB162&gt;=70,Settings!B32,IF(AB162&gt;=50,Settings!B33,IF(AB162&gt;=30,Settings!B34,Settings!B35)))))</f>
        <v/>
      </c>
      <c r="AF162" s="51" t="str">
        <f>IF('Employee Master'!B162="","",AD162*(1+AE162))</f>
        <v/>
      </c>
      <c r="AG162" s="51" t="str">
        <f>IF('Employee Master'!B162="","",AF162-AD162)</f>
        <v/>
      </c>
      <c r="AH162" s="51" t="str">
        <f>IF('Employee Master'!B162="","",AG162*12)</f>
        <v/>
      </c>
    </row>
    <row r="163" spans="1:34" ht="15" customHeight="1" x14ac:dyDescent="0.2">
      <c r="A163" s="27" t="str">
        <f>IF('Employee Master'!B163="","",ROW()-3)</f>
        <v/>
      </c>
      <c r="B163" s="27" t="str">
        <f>IF('Employee Master'!B163="","",'Employee Master'!C163)</f>
        <v/>
      </c>
      <c r="C163" s="27" t="str">
        <f>IF('Employee Master'!B163="","",'Employee Master'!D163)</f>
        <v/>
      </c>
      <c r="D163" s="27" t="str">
        <f>IF('Employee Master'!B163="","",'Employee Master'!E163)</f>
        <v/>
      </c>
      <c r="E163" s="27" t="str">
        <f>IF('Employee Master'!B163="","",'Employee Master'!G163)</f>
        <v/>
      </c>
      <c r="F163" s="51" t="str">
        <f>IF('Employee Master'!B163="","",'⑥ Annual Performance'!R163)</f>
        <v/>
      </c>
      <c r="G163" s="103" t="str">
        <f>IF('Employee Master'!B163="","",'⑥ Annual Performance'!J163)</f>
        <v/>
      </c>
      <c r="H163" s="104" t="str">
        <f>IF('Employee Master'!B163="","",IF(G163&gt;=0.85,15,IF(G163&gt;=0.7,12,IF(G163&gt;=0.55,9,IF(G163&gt;=0.4,6,3)))))</f>
        <v/>
      </c>
      <c r="I163" s="103" t="str">
        <f>IF('Employee Master'!B163="","",'⑥ Annual Performance'!Q163)</f>
        <v/>
      </c>
      <c r="J163" s="104" t="str">
        <f>IF('Employee Master'!B163="","",IF(I163&gt;=0.98,10,IF(I163&gt;=0.95,8,IF(I163&gt;=0.9,6,IF(I163&gt;=0.85,4,2)))))</f>
        <v/>
      </c>
      <c r="K163" s="105" t="str">
        <f>IF('Employee Master'!B163="","",'⑥ Annual Performance'!N163)</f>
        <v/>
      </c>
      <c r="L163" s="104" t="str">
        <f>IF('Employee Master'!B163="","",IF(K163&gt;=1000,10,IF(K163&gt;=750,8,IF(K163&gt;=500,6,IF(K163&gt;=250,4,2)))))</f>
        <v/>
      </c>
      <c r="M163" s="105" t="str">
        <f>IF('Employee Master'!B163="","",'⑥ Annual Performance'!K163)</f>
        <v/>
      </c>
      <c r="N163" s="106" t="str">
        <f>IF('Employee Master'!B163="","",'⑥ Annual Performance'!L163)</f>
        <v/>
      </c>
      <c r="O163" s="104" t="str">
        <f>IF('Employee Master'!B163="","",MIN(N163*2,10))</f>
        <v/>
      </c>
      <c r="P163" s="104" t="str">
        <f>IF('Employee Master'!B163="","",IF(F163&gt;=36,5,IF(F163&gt;=24,4,IF(F163&gt;=12,3,IF(F163&gt;=6,2,1)))))</f>
        <v/>
      </c>
      <c r="Q163" s="104" t="str">
        <f>IF('Employee Master'!B163="","",IF(D163="Sr. Controller",10,IF(D163="Coo",10,IF(D163="Controller",9,IF(D163="Asst. Controller",8,IF(D163="Sr. Manager",8,IF(D163="Manager",7,IF(D163="Asst. Manager",6,IF(D163="Team Lead",7,IF(D163="Asst. Team Lead",5,IF(D163="Sr. Associate",4,IF(D163="Associate",3,IF(D163="Full Stack Developer",5,IF(D163="Project Manager (S/W)",6,IF(D163="Marketing",4,4)))))))))))))))</f>
        <v/>
      </c>
      <c r="R163" s="107" t="str">
        <f>IF('Employee Master'!B163="","",H163+J163+L163+O163+P163+Q163)</f>
        <v/>
      </c>
      <c r="S163" s="108" t="str">
        <f>IF('Employee Master'!B163="","",3)</f>
        <v/>
      </c>
      <c r="T163" s="104" t="str">
        <f>IF('Employee Master'!B163="","",MIN(S163*2,10))</f>
        <v/>
      </c>
      <c r="U163" s="108" t="str">
        <f>IF('Employee Master'!B163="","",3)</f>
        <v/>
      </c>
      <c r="V163" s="104" t="str">
        <f>IF('Employee Master'!B163="","",MIN(U163*2,10))</f>
        <v/>
      </c>
      <c r="W163" s="108" t="str">
        <f>IF('Employee Master'!B163="","",3)</f>
        <v/>
      </c>
      <c r="X163" s="104" t="str">
        <f>IF('Employee Master'!B163="","",MIN(W163*2,10))</f>
        <v/>
      </c>
      <c r="Y163" s="108" t="str">
        <f>IF('Employee Master'!B163="","",3)</f>
        <v/>
      </c>
      <c r="Z163" s="104" t="str">
        <f>IF('Employee Master'!B163="","",MIN(Y163*2,10))</f>
        <v/>
      </c>
      <c r="AA163" s="109" t="str">
        <f>IF('Employee Master'!B163="","",T163+V163+X163+Z163)</f>
        <v/>
      </c>
      <c r="AB163" s="110" t="str">
        <f>IF('Employee Master'!B163="","",R163+AA163)</f>
        <v/>
      </c>
      <c r="AC163" s="27" t="str">
        <f>IF('Employee Master'!B163="","",IF(AB163&gt;=85,"Exceptional",IF(AB163&gt;=70,"High Performer",IF(AB163&gt;=50,"Meets Expectations",IF(AB163&gt;=30,"Below Expectations","Underperformer")))))</f>
        <v/>
      </c>
      <c r="AD163" s="51" t="str">
        <f>IF('Employee Master'!B163="","",'Employee Master'!M163)</f>
        <v/>
      </c>
      <c r="AE163" s="52" t="str">
        <f>IF('Employee Master'!B163="","",IF(AB163&gt;=85,Settings!B31,IF(AB163&gt;=70,Settings!B32,IF(AB163&gt;=50,Settings!B33,IF(AB163&gt;=30,Settings!B34,Settings!B35)))))</f>
        <v/>
      </c>
      <c r="AF163" s="51" t="str">
        <f>IF('Employee Master'!B163="","",AD163*(1+AE163))</f>
        <v/>
      </c>
      <c r="AG163" s="51" t="str">
        <f>IF('Employee Master'!B163="","",AF163-AD163)</f>
        <v/>
      </c>
      <c r="AH163" s="51" t="str">
        <f>IF('Employee Master'!B163="","",AG163*12)</f>
        <v/>
      </c>
    </row>
    <row r="164" spans="1:34" ht="15" customHeight="1" x14ac:dyDescent="0.2">
      <c r="A164" s="27" t="str">
        <f>IF('Employee Master'!B164="","",ROW()-3)</f>
        <v/>
      </c>
      <c r="B164" s="27" t="str">
        <f>IF('Employee Master'!B164="","",'Employee Master'!C164)</f>
        <v/>
      </c>
      <c r="C164" s="27" t="str">
        <f>IF('Employee Master'!B164="","",'Employee Master'!D164)</f>
        <v/>
      </c>
      <c r="D164" s="27" t="str">
        <f>IF('Employee Master'!B164="","",'Employee Master'!E164)</f>
        <v/>
      </c>
      <c r="E164" s="27" t="str">
        <f>IF('Employee Master'!B164="","",'Employee Master'!G164)</f>
        <v/>
      </c>
      <c r="F164" s="51" t="str">
        <f>IF('Employee Master'!B164="","",'⑥ Annual Performance'!R164)</f>
        <v/>
      </c>
      <c r="G164" s="103" t="str">
        <f>IF('Employee Master'!B164="","",'⑥ Annual Performance'!J164)</f>
        <v/>
      </c>
      <c r="H164" s="104" t="str">
        <f>IF('Employee Master'!B164="","",IF(G164&gt;=0.85,15,IF(G164&gt;=0.7,12,IF(G164&gt;=0.55,9,IF(G164&gt;=0.4,6,3)))))</f>
        <v/>
      </c>
      <c r="I164" s="103" t="str">
        <f>IF('Employee Master'!B164="","",'⑥ Annual Performance'!Q164)</f>
        <v/>
      </c>
      <c r="J164" s="104" t="str">
        <f>IF('Employee Master'!B164="","",IF(I164&gt;=0.98,10,IF(I164&gt;=0.95,8,IF(I164&gt;=0.9,6,IF(I164&gt;=0.85,4,2)))))</f>
        <v/>
      </c>
      <c r="K164" s="105" t="str">
        <f>IF('Employee Master'!B164="","",'⑥ Annual Performance'!N164)</f>
        <v/>
      </c>
      <c r="L164" s="104" t="str">
        <f>IF('Employee Master'!B164="","",IF(K164&gt;=1000,10,IF(K164&gt;=750,8,IF(K164&gt;=500,6,IF(K164&gt;=250,4,2)))))</f>
        <v/>
      </c>
      <c r="M164" s="105" t="str">
        <f>IF('Employee Master'!B164="","",'⑥ Annual Performance'!K164)</f>
        <v/>
      </c>
      <c r="N164" s="106" t="str">
        <f>IF('Employee Master'!B164="","",'⑥ Annual Performance'!L164)</f>
        <v/>
      </c>
      <c r="O164" s="104" t="str">
        <f>IF('Employee Master'!B164="","",MIN(N164*2,10))</f>
        <v/>
      </c>
      <c r="P164" s="104" t="str">
        <f>IF('Employee Master'!B164="","",IF(F164&gt;=36,5,IF(F164&gt;=24,4,IF(F164&gt;=12,3,IF(F164&gt;=6,2,1)))))</f>
        <v/>
      </c>
      <c r="Q164" s="104" t="str">
        <f>IF('Employee Master'!B164="","",IF(D164="Sr. Controller",10,IF(D164="Coo",10,IF(D164="Controller",9,IF(D164="Asst. Controller",8,IF(D164="Sr. Manager",8,IF(D164="Manager",7,IF(D164="Asst. Manager",6,IF(D164="Team Lead",7,IF(D164="Asst. Team Lead",5,IF(D164="Sr. Associate",4,IF(D164="Associate",3,IF(D164="Full Stack Developer",5,IF(D164="Project Manager (S/W)",6,IF(D164="Marketing",4,4)))))))))))))))</f>
        <v/>
      </c>
      <c r="R164" s="107" t="str">
        <f>IF('Employee Master'!B164="","",H164+J164+L164+O164+P164+Q164)</f>
        <v/>
      </c>
      <c r="S164" s="108" t="str">
        <f>IF('Employee Master'!B164="","",3)</f>
        <v/>
      </c>
      <c r="T164" s="104" t="str">
        <f>IF('Employee Master'!B164="","",MIN(S164*2,10))</f>
        <v/>
      </c>
      <c r="U164" s="108" t="str">
        <f>IF('Employee Master'!B164="","",3)</f>
        <v/>
      </c>
      <c r="V164" s="104" t="str">
        <f>IF('Employee Master'!B164="","",MIN(U164*2,10))</f>
        <v/>
      </c>
      <c r="W164" s="108" t="str">
        <f>IF('Employee Master'!B164="","",3)</f>
        <v/>
      </c>
      <c r="X164" s="104" t="str">
        <f>IF('Employee Master'!B164="","",MIN(W164*2,10))</f>
        <v/>
      </c>
      <c r="Y164" s="108" t="str">
        <f>IF('Employee Master'!B164="","",3)</f>
        <v/>
      </c>
      <c r="Z164" s="104" t="str">
        <f>IF('Employee Master'!B164="","",MIN(Y164*2,10))</f>
        <v/>
      </c>
      <c r="AA164" s="109" t="str">
        <f>IF('Employee Master'!B164="","",T164+V164+X164+Z164)</f>
        <v/>
      </c>
      <c r="AB164" s="110" t="str">
        <f>IF('Employee Master'!B164="","",R164+AA164)</f>
        <v/>
      </c>
      <c r="AC164" s="27" t="str">
        <f>IF('Employee Master'!B164="","",IF(AB164&gt;=85,"Exceptional",IF(AB164&gt;=70,"High Performer",IF(AB164&gt;=50,"Meets Expectations",IF(AB164&gt;=30,"Below Expectations","Underperformer")))))</f>
        <v/>
      </c>
      <c r="AD164" s="51" t="str">
        <f>IF('Employee Master'!B164="","",'Employee Master'!M164)</f>
        <v/>
      </c>
      <c r="AE164" s="52" t="str">
        <f>IF('Employee Master'!B164="","",IF(AB164&gt;=85,Settings!B31,IF(AB164&gt;=70,Settings!B32,IF(AB164&gt;=50,Settings!B33,IF(AB164&gt;=30,Settings!B34,Settings!B35)))))</f>
        <v/>
      </c>
      <c r="AF164" s="51" t="str">
        <f>IF('Employee Master'!B164="","",AD164*(1+AE164))</f>
        <v/>
      </c>
      <c r="AG164" s="51" t="str">
        <f>IF('Employee Master'!B164="","",AF164-AD164)</f>
        <v/>
      </c>
      <c r="AH164" s="51" t="str">
        <f>IF('Employee Master'!B164="","",AG164*12)</f>
        <v/>
      </c>
    </row>
    <row r="165" spans="1:34" ht="15" customHeight="1" x14ac:dyDescent="0.2">
      <c r="A165" s="27" t="str">
        <f>IF('Employee Master'!B165="","",ROW()-3)</f>
        <v/>
      </c>
      <c r="B165" s="27" t="str">
        <f>IF('Employee Master'!B165="","",'Employee Master'!C165)</f>
        <v/>
      </c>
      <c r="C165" s="27" t="str">
        <f>IF('Employee Master'!B165="","",'Employee Master'!D165)</f>
        <v/>
      </c>
      <c r="D165" s="27" t="str">
        <f>IF('Employee Master'!B165="","",'Employee Master'!E165)</f>
        <v/>
      </c>
      <c r="E165" s="27" t="str">
        <f>IF('Employee Master'!B165="","",'Employee Master'!G165)</f>
        <v/>
      </c>
      <c r="F165" s="51" t="str">
        <f>IF('Employee Master'!B165="","",'⑥ Annual Performance'!R165)</f>
        <v/>
      </c>
      <c r="G165" s="103" t="str">
        <f>IF('Employee Master'!B165="","",'⑥ Annual Performance'!J165)</f>
        <v/>
      </c>
      <c r="H165" s="104" t="str">
        <f>IF('Employee Master'!B165="","",IF(G165&gt;=0.85,15,IF(G165&gt;=0.7,12,IF(G165&gt;=0.55,9,IF(G165&gt;=0.4,6,3)))))</f>
        <v/>
      </c>
      <c r="I165" s="103" t="str">
        <f>IF('Employee Master'!B165="","",'⑥ Annual Performance'!Q165)</f>
        <v/>
      </c>
      <c r="J165" s="104" t="str">
        <f>IF('Employee Master'!B165="","",IF(I165&gt;=0.98,10,IF(I165&gt;=0.95,8,IF(I165&gt;=0.9,6,IF(I165&gt;=0.85,4,2)))))</f>
        <v/>
      </c>
      <c r="K165" s="105" t="str">
        <f>IF('Employee Master'!B165="","",'⑥ Annual Performance'!N165)</f>
        <v/>
      </c>
      <c r="L165" s="104" t="str">
        <f>IF('Employee Master'!B165="","",IF(K165&gt;=1000,10,IF(K165&gt;=750,8,IF(K165&gt;=500,6,IF(K165&gt;=250,4,2)))))</f>
        <v/>
      </c>
      <c r="M165" s="105" t="str">
        <f>IF('Employee Master'!B165="","",'⑥ Annual Performance'!K165)</f>
        <v/>
      </c>
      <c r="N165" s="106" t="str">
        <f>IF('Employee Master'!B165="","",'⑥ Annual Performance'!L165)</f>
        <v/>
      </c>
      <c r="O165" s="104" t="str">
        <f>IF('Employee Master'!B165="","",MIN(N165*2,10))</f>
        <v/>
      </c>
      <c r="P165" s="104" t="str">
        <f>IF('Employee Master'!B165="","",IF(F165&gt;=36,5,IF(F165&gt;=24,4,IF(F165&gt;=12,3,IF(F165&gt;=6,2,1)))))</f>
        <v/>
      </c>
      <c r="Q165" s="104" t="str">
        <f>IF('Employee Master'!B165="","",IF(D165="Sr. Controller",10,IF(D165="Coo",10,IF(D165="Controller",9,IF(D165="Asst. Controller",8,IF(D165="Sr. Manager",8,IF(D165="Manager",7,IF(D165="Asst. Manager",6,IF(D165="Team Lead",7,IF(D165="Asst. Team Lead",5,IF(D165="Sr. Associate",4,IF(D165="Associate",3,IF(D165="Full Stack Developer",5,IF(D165="Project Manager (S/W)",6,IF(D165="Marketing",4,4)))))))))))))))</f>
        <v/>
      </c>
      <c r="R165" s="107" t="str">
        <f>IF('Employee Master'!B165="","",H165+J165+L165+O165+P165+Q165)</f>
        <v/>
      </c>
      <c r="S165" s="108" t="str">
        <f>IF('Employee Master'!B165="","",3)</f>
        <v/>
      </c>
      <c r="T165" s="104" t="str">
        <f>IF('Employee Master'!B165="","",MIN(S165*2,10))</f>
        <v/>
      </c>
      <c r="U165" s="108" t="str">
        <f>IF('Employee Master'!B165="","",3)</f>
        <v/>
      </c>
      <c r="V165" s="104" t="str">
        <f>IF('Employee Master'!B165="","",MIN(U165*2,10))</f>
        <v/>
      </c>
      <c r="W165" s="108" t="str">
        <f>IF('Employee Master'!B165="","",3)</f>
        <v/>
      </c>
      <c r="X165" s="104" t="str">
        <f>IF('Employee Master'!B165="","",MIN(W165*2,10))</f>
        <v/>
      </c>
      <c r="Y165" s="108" t="str">
        <f>IF('Employee Master'!B165="","",3)</f>
        <v/>
      </c>
      <c r="Z165" s="104" t="str">
        <f>IF('Employee Master'!B165="","",MIN(Y165*2,10))</f>
        <v/>
      </c>
      <c r="AA165" s="109" t="str">
        <f>IF('Employee Master'!B165="","",T165+V165+X165+Z165)</f>
        <v/>
      </c>
      <c r="AB165" s="110" t="str">
        <f>IF('Employee Master'!B165="","",R165+AA165)</f>
        <v/>
      </c>
      <c r="AC165" s="27" t="str">
        <f>IF('Employee Master'!B165="","",IF(AB165&gt;=85,"Exceptional",IF(AB165&gt;=70,"High Performer",IF(AB165&gt;=50,"Meets Expectations",IF(AB165&gt;=30,"Below Expectations","Underperformer")))))</f>
        <v/>
      </c>
      <c r="AD165" s="51" t="str">
        <f>IF('Employee Master'!B165="","",'Employee Master'!M165)</f>
        <v/>
      </c>
      <c r="AE165" s="52" t="str">
        <f>IF('Employee Master'!B165="","",IF(AB165&gt;=85,Settings!B31,IF(AB165&gt;=70,Settings!B32,IF(AB165&gt;=50,Settings!B33,IF(AB165&gt;=30,Settings!B34,Settings!B35)))))</f>
        <v/>
      </c>
      <c r="AF165" s="51" t="str">
        <f>IF('Employee Master'!B165="","",AD165*(1+AE165))</f>
        <v/>
      </c>
      <c r="AG165" s="51" t="str">
        <f>IF('Employee Master'!B165="","",AF165-AD165)</f>
        <v/>
      </c>
      <c r="AH165" s="51" t="str">
        <f>IF('Employee Master'!B165="","",AG165*12)</f>
        <v/>
      </c>
    </row>
    <row r="166" spans="1:34" ht="15" customHeight="1" x14ac:dyDescent="0.2">
      <c r="A166" s="27" t="str">
        <f>IF('Employee Master'!B166="","",ROW()-3)</f>
        <v/>
      </c>
      <c r="B166" s="27" t="str">
        <f>IF('Employee Master'!B166="","",'Employee Master'!C166)</f>
        <v/>
      </c>
      <c r="C166" s="27" t="str">
        <f>IF('Employee Master'!B166="","",'Employee Master'!D166)</f>
        <v/>
      </c>
      <c r="D166" s="27" t="str">
        <f>IF('Employee Master'!B166="","",'Employee Master'!E166)</f>
        <v/>
      </c>
      <c r="E166" s="27" t="str">
        <f>IF('Employee Master'!B166="","",'Employee Master'!G166)</f>
        <v/>
      </c>
      <c r="F166" s="51" t="str">
        <f>IF('Employee Master'!B166="","",'⑥ Annual Performance'!R166)</f>
        <v/>
      </c>
      <c r="G166" s="103" t="str">
        <f>IF('Employee Master'!B166="","",'⑥ Annual Performance'!J166)</f>
        <v/>
      </c>
      <c r="H166" s="104" t="str">
        <f>IF('Employee Master'!B166="","",IF(G166&gt;=0.85,15,IF(G166&gt;=0.7,12,IF(G166&gt;=0.55,9,IF(G166&gt;=0.4,6,3)))))</f>
        <v/>
      </c>
      <c r="I166" s="103" t="str">
        <f>IF('Employee Master'!B166="","",'⑥ Annual Performance'!Q166)</f>
        <v/>
      </c>
      <c r="J166" s="104" t="str">
        <f>IF('Employee Master'!B166="","",IF(I166&gt;=0.98,10,IF(I166&gt;=0.95,8,IF(I166&gt;=0.9,6,IF(I166&gt;=0.85,4,2)))))</f>
        <v/>
      </c>
      <c r="K166" s="105" t="str">
        <f>IF('Employee Master'!B166="","",'⑥ Annual Performance'!N166)</f>
        <v/>
      </c>
      <c r="L166" s="104" t="str">
        <f>IF('Employee Master'!B166="","",IF(K166&gt;=1000,10,IF(K166&gt;=750,8,IF(K166&gt;=500,6,IF(K166&gt;=250,4,2)))))</f>
        <v/>
      </c>
      <c r="M166" s="105" t="str">
        <f>IF('Employee Master'!B166="","",'⑥ Annual Performance'!K166)</f>
        <v/>
      </c>
      <c r="N166" s="106" t="str">
        <f>IF('Employee Master'!B166="","",'⑥ Annual Performance'!L166)</f>
        <v/>
      </c>
      <c r="O166" s="104" t="str">
        <f>IF('Employee Master'!B166="","",MIN(N166*2,10))</f>
        <v/>
      </c>
      <c r="P166" s="104" t="str">
        <f>IF('Employee Master'!B166="","",IF(F166&gt;=36,5,IF(F166&gt;=24,4,IF(F166&gt;=12,3,IF(F166&gt;=6,2,1)))))</f>
        <v/>
      </c>
      <c r="Q166" s="104" t="str">
        <f>IF('Employee Master'!B166="","",IF(D166="Sr. Controller",10,IF(D166="Coo",10,IF(D166="Controller",9,IF(D166="Asst. Controller",8,IF(D166="Sr. Manager",8,IF(D166="Manager",7,IF(D166="Asst. Manager",6,IF(D166="Team Lead",7,IF(D166="Asst. Team Lead",5,IF(D166="Sr. Associate",4,IF(D166="Associate",3,IF(D166="Full Stack Developer",5,IF(D166="Project Manager (S/W)",6,IF(D166="Marketing",4,4)))))))))))))))</f>
        <v/>
      </c>
      <c r="R166" s="107" t="str">
        <f>IF('Employee Master'!B166="","",H166+J166+L166+O166+P166+Q166)</f>
        <v/>
      </c>
      <c r="S166" s="108" t="str">
        <f>IF('Employee Master'!B166="","",3)</f>
        <v/>
      </c>
      <c r="T166" s="104" t="str">
        <f>IF('Employee Master'!B166="","",MIN(S166*2,10))</f>
        <v/>
      </c>
      <c r="U166" s="108" t="str">
        <f>IF('Employee Master'!B166="","",3)</f>
        <v/>
      </c>
      <c r="V166" s="104" t="str">
        <f>IF('Employee Master'!B166="","",MIN(U166*2,10))</f>
        <v/>
      </c>
      <c r="W166" s="108" t="str">
        <f>IF('Employee Master'!B166="","",3)</f>
        <v/>
      </c>
      <c r="X166" s="104" t="str">
        <f>IF('Employee Master'!B166="","",MIN(W166*2,10))</f>
        <v/>
      </c>
      <c r="Y166" s="108" t="str">
        <f>IF('Employee Master'!B166="","",3)</f>
        <v/>
      </c>
      <c r="Z166" s="104" t="str">
        <f>IF('Employee Master'!B166="","",MIN(Y166*2,10))</f>
        <v/>
      </c>
      <c r="AA166" s="109" t="str">
        <f>IF('Employee Master'!B166="","",T166+V166+X166+Z166)</f>
        <v/>
      </c>
      <c r="AB166" s="110" t="str">
        <f>IF('Employee Master'!B166="","",R166+AA166)</f>
        <v/>
      </c>
      <c r="AC166" s="27" t="str">
        <f>IF('Employee Master'!B166="","",IF(AB166&gt;=85,"Exceptional",IF(AB166&gt;=70,"High Performer",IF(AB166&gt;=50,"Meets Expectations",IF(AB166&gt;=30,"Below Expectations","Underperformer")))))</f>
        <v/>
      </c>
      <c r="AD166" s="51" t="str">
        <f>IF('Employee Master'!B166="","",'Employee Master'!M166)</f>
        <v/>
      </c>
      <c r="AE166" s="52" t="str">
        <f>IF('Employee Master'!B166="","",IF(AB166&gt;=85,Settings!B31,IF(AB166&gt;=70,Settings!B32,IF(AB166&gt;=50,Settings!B33,IF(AB166&gt;=30,Settings!B34,Settings!B35)))))</f>
        <v/>
      </c>
      <c r="AF166" s="51" t="str">
        <f>IF('Employee Master'!B166="","",AD166*(1+AE166))</f>
        <v/>
      </c>
      <c r="AG166" s="51" t="str">
        <f>IF('Employee Master'!B166="","",AF166-AD166)</f>
        <v/>
      </c>
      <c r="AH166" s="51" t="str">
        <f>IF('Employee Master'!B166="","",AG166*12)</f>
        <v/>
      </c>
    </row>
    <row r="167" spans="1:34" ht="15" customHeight="1" x14ac:dyDescent="0.2">
      <c r="A167" s="27" t="str">
        <f>IF('Employee Master'!B167="","",ROW()-3)</f>
        <v/>
      </c>
      <c r="B167" s="27" t="str">
        <f>IF('Employee Master'!B167="","",'Employee Master'!C167)</f>
        <v/>
      </c>
      <c r="C167" s="27" t="str">
        <f>IF('Employee Master'!B167="","",'Employee Master'!D167)</f>
        <v/>
      </c>
      <c r="D167" s="27" t="str">
        <f>IF('Employee Master'!B167="","",'Employee Master'!E167)</f>
        <v/>
      </c>
      <c r="E167" s="27" t="str">
        <f>IF('Employee Master'!B167="","",'Employee Master'!G167)</f>
        <v/>
      </c>
      <c r="F167" s="51" t="str">
        <f>IF('Employee Master'!B167="","",'⑥ Annual Performance'!R167)</f>
        <v/>
      </c>
      <c r="G167" s="103" t="str">
        <f>IF('Employee Master'!B167="","",'⑥ Annual Performance'!J167)</f>
        <v/>
      </c>
      <c r="H167" s="104" t="str">
        <f>IF('Employee Master'!B167="","",IF(G167&gt;=0.85,15,IF(G167&gt;=0.7,12,IF(G167&gt;=0.55,9,IF(G167&gt;=0.4,6,3)))))</f>
        <v/>
      </c>
      <c r="I167" s="103" t="str">
        <f>IF('Employee Master'!B167="","",'⑥ Annual Performance'!Q167)</f>
        <v/>
      </c>
      <c r="J167" s="104" t="str">
        <f>IF('Employee Master'!B167="","",IF(I167&gt;=0.98,10,IF(I167&gt;=0.95,8,IF(I167&gt;=0.9,6,IF(I167&gt;=0.85,4,2)))))</f>
        <v/>
      </c>
      <c r="K167" s="105" t="str">
        <f>IF('Employee Master'!B167="","",'⑥ Annual Performance'!N167)</f>
        <v/>
      </c>
      <c r="L167" s="104" t="str">
        <f>IF('Employee Master'!B167="","",IF(K167&gt;=1000,10,IF(K167&gt;=750,8,IF(K167&gt;=500,6,IF(K167&gt;=250,4,2)))))</f>
        <v/>
      </c>
      <c r="M167" s="105" t="str">
        <f>IF('Employee Master'!B167="","",'⑥ Annual Performance'!K167)</f>
        <v/>
      </c>
      <c r="N167" s="106" t="str">
        <f>IF('Employee Master'!B167="","",'⑥ Annual Performance'!L167)</f>
        <v/>
      </c>
      <c r="O167" s="104" t="str">
        <f>IF('Employee Master'!B167="","",MIN(N167*2,10))</f>
        <v/>
      </c>
      <c r="P167" s="104" t="str">
        <f>IF('Employee Master'!B167="","",IF(F167&gt;=36,5,IF(F167&gt;=24,4,IF(F167&gt;=12,3,IF(F167&gt;=6,2,1)))))</f>
        <v/>
      </c>
      <c r="Q167" s="104" t="str">
        <f>IF('Employee Master'!B167="","",IF(D167="Sr. Controller",10,IF(D167="Coo",10,IF(D167="Controller",9,IF(D167="Asst. Controller",8,IF(D167="Sr. Manager",8,IF(D167="Manager",7,IF(D167="Asst. Manager",6,IF(D167="Team Lead",7,IF(D167="Asst. Team Lead",5,IF(D167="Sr. Associate",4,IF(D167="Associate",3,IF(D167="Full Stack Developer",5,IF(D167="Project Manager (S/W)",6,IF(D167="Marketing",4,4)))))))))))))))</f>
        <v/>
      </c>
      <c r="R167" s="107" t="str">
        <f>IF('Employee Master'!B167="","",H167+J167+L167+O167+P167+Q167)</f>
        <v/>
      </c>
      <c r="S167" s="108" t="str">
        <f>IF('Employee Master'!B167="","",3)</f>
        <v/>
      </c>
      <c r="T167" s="104" t="str">
        <f>IF('Employee Master'!B167="","",MIN(S167*2,10))</f>
        <v/>
      </c>
      <c r="U167" s="108" t="str">
        <f>IF('Employee Master'!B167="","",3)</f>
        <v/>
      </c>
      <c r="V167" s="104" t="str">
        <f>IF('Employee Master'!B167="","",MIN(U167*2,10))</f>
        <v/>
      </c>
      <c r="W167" s="108" t="str">
        <f>IF('Employee Master'!B167="","",3)</f>
        <v/>
      </c>
      <c r="X167" s="104" t="str">
        <f>IF('Employee Master'!B167="","",MIN(W167*2,10))</f>
        <v/>
      </c>
      <c r="Y167" s="108" t="str">
        <f>IF('Employee Master'!B167="","",3)</f>
        <v/>
      </c>
      <c r="Z167" s="104" t="str">
        <f>IF('Employee Master'!B167="","",MIN(Y167*2,10))</f>
        <v/>
      </c>
      <c r="AA167" s="109" t="str">
        <f>IF('Employee Master'!B167="","",T167+V167+X167+Z167)</f>
        <v/>
      </c>
      <c r="AB167" s="110" t="str">
        <f>IF('Employee Master'!B167="","",R167+AA167)</f>
        <v/>
      </c>
      <c r="AC167" s="27" t="str">
        <f>IF('Employee Master'!B167="","",IF(AB167&gt;=85,"Exceptional",IF(AB167&gt;=70,"High Performer",IF(AB167&gt;=50,"Meets Expectations",IF(AB167&gt;=30,"Below Expectations","Underperformer")))))</f>
        <v/>
      </c>
      <c r="AD167" s="51" t="str">
        <f>IF('Employee Master'!B167="","",'Employee Master'!M167)</f>
        <v/>
      </c>
      <c r="AE167" s="52" t="str">
        <f>IF('Employee Master'!B167="","",IF(AB167&gt;=85,Settings!B31,IF(AB167&gt;=70,Settings!B32,IF(AB167&gt;=50,Settings!B33,IF(AB167&gt;=30,Settings!B34,Settings!B35)))))</f>
        <v/>
      </c>
      <c r="AF167" s="51" t="str">
        <f>IF('Employee Master'!B167="","",AD167*(1+AE167))</f>
        <v/>
      </c>
      <c r="AG167" s="51" t="str">
        <f>IF('Employee Master'!B167="","",AF167-AD167)</f>
        <v/>
      </c>
      <c r="AH167" s="51" t="str">
        <f>IF('Employee Master'!B167="","",AG167*12)</f>
        <v/>
      </c>
    </row>
    <row r="168" spans="1:34" ht="15" customHeight="1" x14ac:dyDescent="0.2">
      <c r="A168" s="27" t="str">
        <f>IF('Employee Master'!B168="","",ROW()-3)</f>
        <v/>
      </c>
      <c r="B168" s="27" t="str">
        <f>IF('Employee Master'!B168="","",'Employee Master'!C168)</f>
        <v/>
      </c>
      <c r="C168" s="27" t="str">
        <f>IF('Employee Master'!B168="","",'Employee Master'!D168)</f>
        <v/>
      </c>
      <c r="D168" s="27" t="str">
        <f>IF('Employee Master'!B168="","",'Employee Master'!E168)</f>
        <v/>
      </c>
      <c r="E168" s="27" t="str">
        <f>IF('Employee Master'!B168="","",'Employee Master'!G168)</f>
        <v/>
      </c>
      <c r="F168" s="51" t="str">
        <f>IF('Employee Master'!B168="","",'⑥ Annual Performance'!R168)</f>
        <v/>
      </c>
      <c r="G168" s="103" t="str">
        <f>IF('Employee Master'!B168="","",'⑥ Annual Performance'!J168)</f>
        <v/>
      </c>
      <c r="H168" s="104" t="str">
        <f>IF('Employee Master'!B168="","",IF(G168&gt;=0.85,15,IF(G168&gt;=0.7,12,IF(G168&gt;=0.55,9,IF(G168&gt;=0.4,6,3)))))</f>
        <v/>
      </c>
      <c r="I168" s="103" t="str">
        <f>IF('Employee Master'!B168="","",'⑥ Annual Performance'!Q168)</f>
        <v/>
      </c>
      <c r="J168" s="104" t="str">
        <f>IF('Employee Master'!B168="","",IF(I168&gt;=0.98,10,IF(I168&gt;=0.95,8,IF(I168&gt;=0.9,6,IF(I168&gt;=0.85,4,2)))))</f>
        <v/>
      </c>
      <c r="K168" s="105" t="str">
        <f>IF('Employee Master'!B168="","",'⑥ Annual Performance'!N168)</f>
        <v/>
      </c>
      <c r="L168" s="104" t="str">
        <f>IF('Employee Master'!B168="","",IF(K168&gt;=1000,10,IF(K168&gt;=750,8,IF(K168&gt;=500,6,IF(K168&gt;=250,4,2)))))</f>
        <v/>
      </c>
      <c r="M168" s="105" t="str">
        <f>IF('Employee Master'!B168="","",'⑥ Annual Performance'!K168)</f>
        <v/>
      </c>
      <c r="N168" s="106" t="str">
        <f>IF('Employee Master'!B168="","",'⑥ Annual Performance'!L168)</f>
        <v/>
      </c>
      <c r="O168" s="104" t="str">
        <f>IF('Employee Master'!B168="","",MIN(N168*2,10))</f>
        <v/>
      </c>
      <c r="P168" s="104" t="str">
        <f>IF('Employee Master'!B168="","",IF(F168&gt;=36,5,IF(F168&gt;=24,4,IF(F168&gt;=12,3,IF(F168&gt;=6,2,1)))))</f>
        <v/>
      </c>
      <c r="Q168" s="104" t="str">
        <f>IF('Employee Master'!B168="","",IF(D168="Sr. Controller",10,IF(D168="Coo",10,IF(D168="Controller",9,IF(D168="Asst. Controller",8,IF(D168="Sr. Manager",8,IF(D168="Manager",7,IF(D168="Asst. Manager",6,IF(D168="Team Lead",7,IF(D168="Asst. Team Lead",5,IF(D168="Sr. Associate",4,IF(D168="Associate",3,IF(D168="Full Stack Developer",5,IF(D168="Project Manager (S/W)",6,IF(D168="Marketing",4,4)))))))))))))))</f>
        <v/>
      </c>
      <c r="R168" s="107" t="str">
        <f>IF('Employee Master'!B168="","",H168+J168+L168+O168+P168+Q168)</f>
        <v/>
      </c>
      <c r="S168" s="108" t="str">
        <f>IF('Employee Master'!B168="","",3)</f>
        <v/>
      </c>
      <c r="T168" s="104" t="str">
        <f>IF('Employee Master'!B168="","",MIN(S168*2,10))</f>
        <v/>
      </c>
      <c r="U168" s="108" t="str">
        <f>IF('Employee Master'!B168="","",3)</f>
        <v/>
      </c>
      <c r="V168" s="104" t="str">
        <f>IF('Employee Master'!B168="","",MIN(U168*2,10))</f>
        <v/>
      </c>
      <c r="W168" s="108" t="str">
        <f>IF('Employee Master'!B168="","",3)</f>
        <v/>
      </c>
      <c r="X168" s="104" t="str">
        <f>IF('Employee Master'!B168="","",MIN(W168*2,10))</f>
        <v/>
      </c>
      <c r="Y168" s="108" t="str">
        <f>IF('Employee Master'!B168="","",3)</f>
        <v/>
      </c>
      <c r="Z168" s="104" t="str">
        <f>IF('Employee Master'!B168="","",MIN(Y168*2,10))</f>
        <v/>
      </c>
      <c r="AA168" s="109" t="str">
        <f>IF('Employee Master'!B168="","",T168+V168+X168+Z168)</f>
        <v/>
      </c>
      <c r="AB168" s="110" t="str">
        <f>IF('Employee Master'!B168="","",R168+AA168)</f>
        <v/>
      </c>
      <c r="AC168" s="27" t="str">
        <f>IF('Employee Master'!B168="","",IF(AB168&gt;=85,"Exceptional",IF(AB168&gt;=70,"High Performer",IF(AB168&gt;=50,"Meets Expectations",IF(AB168&gt;=30,"Below Expectations","Underperformer")))))</f>
        <v/>
      </c>
      <c r="AD168" s="51" t="str">
        <f>IF('Employee Master'!B168="","",'Employee Master'!M168)</f>
        <v/>
      </c>
      <c r="AE168" s="52" t="str">
        <f>IF('Employee Master'!B168="","",IF(AB168&gt;=85,Settings!B31,IF(AB168&gt;=70,Settings!B32,IF(AB168&gt;=50,Settings!B33,IF(AB168&gt;=30,Settings!B34,Settings!B35)))))</f>
        <v/>
      </c>
      <c r="AF168" s="51" t="str">
        <f>IF('Employee Master'!B168="","",AD168*(1+AE168))</f>
        <v/>
      </c>
      <c r="AG168" s="51" t="str">
        <f>IF('Employee Master'!B168="","",AF168-AD168)</f>
        <v/>
      </c>
      <c r="AH168" s="51" t="str">
        <f>IF('Employee Master'!B168="","",AG168*12)</f>
        <v/>
      </c>
    </row>
    <row r="169" spans="1:34" ht="15" customHeight="1" x14ac:dyDescent="0.2">
      <c r="A169" s="27" t="str">
        <f>IF('Employee Master'!B169="","",ROW()-3)</f>
        <v/>
      </c>
      <c r="B169" s="27" t="str">
        <f>IF('Employee Master'!B169="","",'Employee Master'!C169)</f>
        <v/>
      </c>
      <c r="C169" s="27" t="str">
        <f>IF('Employee Master'!B169="","",'Employee Master'!D169)</f>
        <v/>
      </c>
      <c r="D169" s="27" t="str">
        <f>IF('Employee Master'!B169="","",'Employee Master'!E169)</f>
        <v/>
      </c>
      <c r="E169" s="27" t="str">
        <f>IF('Employee Master'!B169="","",'Employee Master'!G169)</f>
        <v/>
      </c>
      <c r="F169" s="51" t="str">
        <f>IF('Employee Master'!B169="","",'⑥ Annual Performance'!R169)</f>
        <v/>
      </c>
      <c r="G169" s="103" t="str">
        <f>IF('Employee Master'!B169="","",'⑥ Annual Performance'!J169)</f>
        <v/>
      </c>
      <c r="H169" s="104" t="str">
        <f>IF('Employee Master'!B169="","",IF(G169&gt;=0.85,15,IF(G169&gt;=0.7,12,IF(G169&gt;=0.55,9,IF(G169&gt;=0.4,6,3)))))</f>
        <v/>
      </c>
      <c r="I169" s="103" t="str">
        <f>IF('Employee Master'!B169="","",'⑥ Annual Performance'!Q169)</f>
        <v/>
      </c>
      <c r="J169" s="104" t="str">
        <f>IF('Employee Master'!B169="","",IF(I169&gt;=0.98,10,IF(I169&gt;=0.95,8,IF(I169&gt;=0.9,6,IF(I169&gt;=0.85,4,2)))))</f>
        <v/>
      </c>
      <c r="K169" s="105" t="str">
        <f>IF('Employee Master'!B169="","",'⑥ Annual Performance'!N169)</f>
        <v/>
      </c>
      <c r="L169" s="104" t="str">
        <f>IF('Employee Master'!B169="","",IF(K169&gt;=1000,10,IF(K169&gt;=750,8,IF(K169&gt;=500,6,IF(K169&gt;=250,4,2)))))</f>
        <v/>
      </c>
      <c r="M169" s="105" t="str">
        <f>IF('Employee Master'!B169="","",'⑥ Annual Performance'!K169)</f>
        <v/>
      </c>
      <c r="N169" s="106" t="str">
        <f>IF('Employee Master'!B169="","",'⑥ Annual Performance'!L169)</f>
        <v/>
      </c>
      <c r="O169" s="104" t="str">
        <f>IF('Employee Master'!B169="","",MIN(N169*2,10))</f>
        <v/>
      </c>
      <c r="P169" s="104" t="str">
        <f>IF('Employee Master'!B169="","",IF(F169&gt;=36,5,IF(F169&gt;=24,4,IF(F169&gt;=12,3,IF(F169&gt;=6,2,1)))))</f>
        <v/>
      </c>
      <c r="Q169" s="104" t="str">
        <f>IF('Employee Master'!B169="","",IF(D169="Sr. Controller",10,IF(D169="Coo",10,IF(D169="Controller",9,IF(D169="Asst. Controller",8,IF(D169="Sr. Manager",8,IF(D169="Manager",7,IF(D169="Asst. Manager",6,IF(D169="Team Lead",7,IF(D169="Asst. Team Lead",5,IF(D169="Sr. Associate",4,IF(D169="Associate",3,IF(D169="Full Stack Developer",5,IF(D169="Project Manager (S/W)",6,IF(D169="Marketing",4,4)))))))))))))))</f>
        <v/>
      </c>
      <c r="R169" s="107" t="str">
        <f>IF('Employee Master'!B169="","",H169+J169+L169+O169+P169+Q169)</f>
        <v/>
      </c>
      <c r="S169" s="108" t="str">
        <f>IF('Employee Master'!B169="","",3)</f>
        <v/>
      </c>
      <c r="T169" s="104" t="str">
        <f>IF('Employee Master'!B169="","",MIN(S169*2,10))</f>
        <v/>
      </c>
      <c r="U169" s="108" t="str">
        <f>IF('Employee Master'!B169="","",3)</f>
        <v/>
      </c>
      <c r="V169" s="104" t="str">
        <f>IF('Employee Master'!B169="","",MIN(U169*2,10))</f>
        <v/>
      </c>
      <c r="W169" s="108" t="str">
        <f>IF('Employee Master'!B169="","",3)</f>
        <v/>
      </c>
      <c r="X169" s="104" t="str">
        <f>IF('Employee Master'!B169="","",MIN(W169*2,10))</f>
        <v/>
      </c>
      <c r="Y169" s="108" t="str">
        <f>IF('Employee Master'!B169="","",3)</f>
        <v/>
      </c>
      <c r="Z169" s="104" t="str">
        <f>IF('Employee Master'!B169="","",MIN(Y169*2,10))</f>
        <v/>
      </c>
      <c r="AA169" s="109" t="str">
        <f>IF('Employee Master'!B169="","",T169+V169+X169+Z169)</f>
        <v/>
      </c>
      <c r="AB169" s="110" t="str">
        <f>IF('Employee Master'!B169="","",R169+AA169)</f>
        <v/>
      </c>
      <c r="AC169" s="27" t="str">
        <f>IF('Employee Master'!B169="","",IF(AB169&gt;=85,"Exceptional",IF(AB169&gt;=70,"High Performer",IF(AB169&gt;=50,"Meets Expectations",IF(AB169&gt;=30,"Below Expectations","Underperformer")))))</f>
        <v/>
      </c>
      <c r="AD169" s="51" t="str">
        <f>IF('Employee Master'!B169="","",'Employee Master'!M169)</f>
        <v/>
      </c>
      <c r="AE169" s="52" t="str">
        <f>IF('Employee Master'!B169="","",IF(AB169&gt;=85,Settings!B31,IF(AB169&gt;=70,Settings!B32,IF(AB169&gt;=50,Settings!B33,IF(AB169&gt;=30,Settings!B34,Settings!B35)))))</f>
        <v/>
      </c>
      <c r="AF169" s="51" t="str">
        <f>IF('Employee Master'!B169="","",AD169*(1+AE169))</f>
        <v/>
      </c>
      <c r="AG169" s="51" t="str">
        <f>IF('Employee Master'!B169="","",AF169-AD169)</f>
        <v/>
      </c>
      <c r="AH169" s="51" t="str">
        <f>IF('Employee Master'!B169="","",AG169*12)</f>
        <v/>
      </c>
    </row>
    <row r="170" spans="1:34" ht="15" customHeight="1" x14ac:dyDescent="0.2">
      <c r="A170" s="27" t="str">
        <f>IF('Employee Master'!B170="","",ROW()-3)</f>
        <v/>
      </c>
      <c r="B170" s="27" t="str">
        <f>IF('Employee Master'!B170="","",'Employee Master'!C170)</f>
        <v/>
      </c>
      <c r="C170" s="27" t="str">
        <f>IF('Employee Master'!B170="","",'Employee Master'!D170)</f>
        <v/>
      </c>
      <c r="D170" s="27" t="str">
        <f>IF('Employee Master'!B170="","",'Employee Master'!E170)</f>
        <v/>
      </c>
      <c r="E170" s="27" t="str">
        <f>IF('Employee Master'!B170="","",'Employee Master'!G170)</f>
        <v/>
      </c>
      <c r="F170" s="51" t="str">
        <f>IF('Employee Master'!B170="","",'⑥ Annual Performance'!R170)</f>
        <v/>
      </c>
      <c r="G170" s="103" t="str">
        <f>IF('Employee Master'!B170="","",'⑥ Annual Performance'!J170)</f>
        <v/>
      </c>
      <c r="H170" s="104" t="str">
        <f>IF('Employee Master'!B170="","",IF(G170&gt;=0.85,15,IF(G170&gt;=0.7,12,IF(G170&gt;=0.55,9,IF(G170&gt;=0.4,6,3)))))</f>
        <v/>
      </c>
      <c r="I170" s="103" t="str">
        <f>IF('Employee Master'!B170="","",'⑥ Annual Performance'!Q170)</f>
        <v/>
      </c>
      <c r="J170" s="104" t="str">
        <f>IF('Employee Master'!B170="","",IF(I170&gt;=0.98,10,IF(I170&gt;=0.95,8,IF(I170&gt;=0.9,6,IF(I170&gt;=0.85,4,2)))))</f>
        <v/>
      </c>
      <c r="K170" s="105" t="str">
        <f>IF('Employee Master'!B170="","",'⑥ Annual Performance'!N170)</f>
        <v/>
      </c>
      <c r="L170" s="104" t="str">
        <f>IF('Employee Master'!B170="","",IF(K170&gt;=1000,10,IF(K170&gt;=750,8,IF(K170&gt;=500,6,IF(K170&gt;=250,4,2)))))</f>
        <v/>
      </c>
      <c r="M170" s="105" t="str">
        <f>IF('Employee Master'!B170="","",'⑥ Annual Performance'!K170)</f>
        <v/>
      </c>
      <c r="N170" s="106" t="str">
        <f>IF('Employee Master'!B170="","",'⑥ Annual Performance'!L170)</f>
        <v/>
      </c>
      <c r="O170" s="104" t="str">
        <f>IF('Employee Master'!B170="","",MIN(N170*2,10))</f>
        <v/>
      </c>
      <c r="P170" s="104" t="str">
        <f>IF('Employee Master'!B170="","",IF(F170&gt;=36,5,IF(F170&gt;=24,4,IF(F170&gt;=12,3,IF(F170&gt;=6,2,1)))))</f>
        <v/>
      </c>
      <c r="Q170" s="104" t="str">
        <f>IF('Employee Master'!B170="","",IF(D170="Sr. Controller",10,IF(D170="Coo",10,IF(D170="Controller",9,IF(D170="Asst. Controller",8,IF(D170="Sr. Manager",8,IF(D170="Manager",7,IF(D170="Asst. Manager",6,IF(D170="Team Lead",7,IF(D170="Asst. Team Lead",5,IF(D170="Sr. Associate",4,IF(D170="Associate",3,IF(D170="Full Stack Developer",5,IF(D170="Project Manager (S/W)",6,IF(D170="Marketing",4,4)))))))))))))))</f>
        <v/>
      </c>
      <c r="R170" s="107" t="str">
        <f>IF('Employee Master'!B170="","",H170+J170+L170+O170+P170+Q170)</f>
        <v/>
      </c>
      <c r="S170" s="108" t="str">
        <f>IF('Employee Master'!B170="","",3)</f>
        <v/>
      </c>
      <c r="T170" s="104" t="str">
        <f>IF('Employee Master'!B170="","",MIN(S170*2,10))</f>
        <v/>
      </c>
      <c r="U170" s="108" t="str">
        <f>IF('Employee Master'!B170="","",3)</f>
        <v/>
      </c>
      <c r="V170" s="104" t="str">
        <f>IF('Employee Master'!B170="","",MIN(U170*2,10))</f>
        <v/>
      </c>
      <c r="W170" s="108" t="str">
        <f>IF('Employee Master'!B170="","",3)</f>
        <v/>
      </c>
      <c r="X170" s="104" t="str">
        <f>IF('Employee Master'!B170="","",MIN(W170*2,10))</f>
        <v/>
      </c>
      <c r="Y170" s="108" t="str">
        <f>IF('Employee Master'!B170="","",3)</f>
        <v/>
      </c>
      <c r="Z170" s="104" t="str">
        <f>IF('Employee Master'!B170="","",MIN(Y170*2,10))</f>
        <v/>
      </c>
      <c r="AA170" s="109" t="str">
        <f>IF('Employee Master'!B170="","",T170+V170+X170+Z170)</f>
        <v/>
      </c>
      <c r="AB170" s="110" t="str">
        <f>IF('Employee Master'!B170="","",R170+AA170)</f>
        <v/>
      </c>
      <c r="AC170" s="27" t="str">
        <f>IF('Employee Master'!B170="","",IF(AB170&gt;=85,"Exceptional",IF(AB170&gt;=70,"High Performer",IF(AB170&gt;=50,"Meets Expectations",IF(AB170&gt;=30,"Below Expectations","Underperformer")))))</f>
        <v/>
      </c>
      <c r="AD170" s="51" t="str">
        <f>IF('Employee Master'!B170="","",'Employee Master'!M170)</f>
        <v/>
      </c>
      <c r="AE170" s="52" t="str">
        <f>IF('Employee Master'!B170="","",IF(AB170&gt;=85,Settings!B31,IF(AB170&gt;=70,Settings!B32,IF(AB170&gt;=50,Settings!B33,IF(AB170&gt;=30,Settings!B34,Settings!B35)))))</f>
        <v/>
      </c>
      <c r="AF170" s="51" t="str">
        <f>IF('Employee Master'!B170="","",AD170*(1+AE170))</f>
        <v/>
      </c>
      <c r="AG170" s="51" t="str">
        <f>IF('Employee Master'!B170="","",AF170-AD170)</f>
        <v/>
      </c>
      <c r="AH170" s="51" t="str">
        <f>IF('Employee Master'!B170="","",AG170*12)</f>
        <v/>
      </c>
    </row>
    <row r="171" spans="1:34" ht="15" customHeight="1" x14ac:dyDescent="0.2">
      <c r="A171" s="27" t="str">
        <f>IF('Employee Master'!B171="","",ROW()-3)</f>
        <v/>
      </c>
      <c r="B171" s="27" t="str">
        <f>IF('Employee Master'!B171="","",'Employee Master'!C171)</f>
        <v/>
      </c>
      <c r="C171" s="27" t="str">
        <f>IF('Employee Master'!B171="","",'Employee Master'!D171)</f>
        <v/>
      </c>
      <c r="D171" s="27" t="str">
        <f>IF('Employee Master'!B171="","",'Employee Master'!E171)</f>
        <v/>
      </c>
      <c r="E171" s="27" t="str">
        <f>IF('Employee Master'!B171="","",'Employee Master'!G171)</f>
        <v/>
      </c>
      <c r="F171" s="51" t="str">
        <f>IF('Employee Master'!B171="","",'⑥ Annual Performance'!R171)</f>
        <v/>
      </c>
      <c r="G171" s="103" t="str">
        <f>IF('Employee Master'!B171="","",'⑥ Annual Performance'!J171)</f>
        <v/>
      </c>
      <c r="H171" s="104" t="str">
        <f>IF('Employee Master'!B171="","",IF(G171&gt;=0.85,15,IF(G171&gt;=0.7,12,IF(G171&gt;=0.55,9,IF(G171&gt;=0.4,6,3)))))</f>
        <v/>
      </c>
      <c r="I171" s="103" t="str">
        <f>IF('Employee Master'!B171="","",'⑥ Annual Performance'!Q171)</f>
        <v/>
      </c>
      <c r="J171" s="104" t="str">
        <f>IF('Employee Master'!B171="","",IF(I171&gt;=0.98,10,IF(I171&gt;=0.95,8,IF(I171&gt;=0.9,6,IF(I171&gt;=0.85,4,2)))))</f>
        <v/>
      </c>
      <c r="K171" s="105" t="str">
        <f>IF('Employee Master'!B171="","",'⑥ Annual Performance'!N171)</f>
        <v/>
      </c>
      <c r="L171" s="104" t="str">
        <f>IF('Employee Master'!B171="","",IF(K171&gt;=1000,10,IF(K171&gt;=750,8,IF(K171&gt;=500,6,IF(K171&gt;=250,4,2)))))</f>
        <v/>
      </c>
      <c r="M171" s="105" t="str">
        <f>IF('Employee Master'!B171="","",'⑥ Annual Performance'!K171)</f>
        <v/>
      </c>
      <c r="N171" s="106" t="str">
        <f>IF('Employee Master'!B171="","",'⑥ Annual Performance'!L171)</f>
        <v/>
      </c>
      <c r="O171" s="104" t="str">
        <f>IF('Employee Master'!B171="","",MIN(N171*2,10))</f>
        <v/>
      </c>
      <c r="P171" s="104" t="str">
        <f>IF('Employee Master'!B171="","",IF(F171&gt;=36,5,IF(F171&gt;=24,4,IF(F171&gt;=12,3,IF(F171&gt;=6,2,1)))))</f>
        <v/>
      </c>
      <c r="Q171" s="104" t="str">
        <f>IF('Employee Master'!B171="","",IF(D171="Sr. Controller",10,IF(D171="Coo",10,IF(D171="Controller",9,IF(D171="Asst. Controller",8,IF(D171="Sr. Manager",8,IF(D171="Manager",7,IF(D171="Asst. Manager",6,IF(D171="Team Lead",7,IF(D171="Asst. Team Lead",5,IF(D171="Sr. Associate",4,IF(D171="Associate",3,IF(D171="Full Stack Developer",5,IF(D171="Project Manager (S/W)",6,IF(D171="Marketing",4,4)))))))))))))))</f>
        <v/>
      </c>
      <c r="R171" s="107" t="str">
        <f>IF('Employee Master'!B171="","",H171+J171+L171+O171+P171+Q171)</f>
        <v/>
      </c>
      <c r="S171" s="108" t="str">
        <f>IF('Employee Master'!B171="","",3)</f>
        <v/>
      </c>
      <c r="T171" s="104" t="str">
        <f>IF('Employee Master'!B171="","",MIN(S171*2,10))</f>
        <v/>
      </c>
      <c r="U171" s="108" t="str">
        <f>IF('Employee Master'!B171="","",3)</f>
        <v/>
      </c>
      <c r="V171" s="104" t="str">
        <f>IF('Employee Master'!B171="","",MIN(U171*2,10))</f>
        <v/>
      </c>
      <c r="W171" s="108" t="str">
        <f>IF('Employee Master'!B171="","",3)</f>
        <v/>
      </c>
      <c r="X171" s="104" t="str">
        <f>IF('Employee Master'!B171="","",MIN(W171*2,10))</f>
        <v/>
      </c>
      <c r="Y171" s="108" t="str">
        <f>IF('Employee Master'!B171="","",3)</f>
        <v/>
      </c>
      <c r="Z171" s="104" t="str">
        <f>IF('Employee Master'!B171="","",MIN(Y171*2,10))</f>
        <v/>
      </c>
      <c r="AA171" s="109" t="str">
        <f>IF('Employee Master'!B171="","",T171+V171+X171+Z171)</f>
        <v/>
      </c>
      <c r="AB171" s="110" t="str">
        <f>IF('Employee Master'!B171="","",R171+AA171)</f>
        <v/>
      </c>
      <c r="AC171" s="27" t="str">
        <f>IF('Employee Master'!B171="","",IF(AB171&gt;=85,"Exceptional",IF(AB171&gt;=70,"High Performer",IF(AB171&gt;=50,"Meets Expectations",IF(AB171&gt;=30,"Below Expectations","Underperformer")))))</f>
        <v/>
      </c>
      <c r="AD171" s="51" t="str">
        <f>IF('Employee Master'!B171="","",'Employee Master'!M171)</f>
        <v/>
      </c>
      <c r="AE171" s="52" t="str">
        <f>IF('Employee Master'!B171="","",IF(AB171&gt;=85,Settings!B31,IF(AB171&gt;=70,Settings!B32,IF(AB171&gt;=50,Settings!B33,IF(AB171&gt;=30,Settings!B34,Settings!B35)))))</f>
        <v/>
      </c>
      <c r="AF171" s="51" t="str">
        <f>IF('Employee Master'!B171="","",AD171*(1+AE171))</f>
        <v/>
      </c>
      <c r="AG171" s="51" t="str">
        <f>IF('Employee Master'!B171="","",AF171-AD171)</f>
        <v/>
      </c>
      <c r="AH171" s="51" t="str">
        <f>IF('Employee Master'!B171="","",AG171*12)</f>
        <v/>
      </c>
    </row>
    <row r="172" spans="1:34" ht="15" customHeight="1" x14ac:dyDescent="0.2">
      <c r="A172" s="27" t="str">
        <f>IF('Employee Master'!B172="","",ROW()-3)</f>
        <v/>
      </c>
      <c r="B172" s="27" t="str">
        <f>IF('Employee Master'!B172="","",'Employee Master'!C172)</f>
        <v/>
      </c>
      <c r="C172" s="27" t="str">
        <f>IF('Employee Master'!B172="","",'Employee Master'!D172)</f>
        <v/>
      </c>
      <c r="D172" s="27" t="str">
        <f>IF('Employee Master'!B172="","",'Employee Master'!E172)</f>
        <v/>
      </c>
      <c r="E172" s="27" t="str">
        <f>IF('Employee Master'!B172="","",'Employee Master'!G172)</f>
        <v/>
      </c>
      <c r="F172" s="51" t="str">
        <f>IF('Employee Master'!B172="","",'⑥ Annual Performance'!R172)</f>
        <v/>
      </c>
      <c r="G172" s="103" t="str">
        <f>IF('Employee Master'!B172="","",'⑥ Annual Performance'!J172)</f>
        <v/>
      </c>
      <c r="H172" s="104" t="str">
        <f>IF('Employee Master'!B172="","",IF(G172&gt;=0.85,15,IF(G172&gt;=0.7,12,IF(G172&gt;=0.55,9,IF(G172&gt;=0.4,6,3)))))</f>
        <v/>
      </c>
      <c r="I172" s="103" t="str">
        <f>IF('Employee Master'!B172="","",'⑥ Annual Performance'!Q172)</f>
        <v/>
      </c>
      <c r="J172" s="104" t="str">
        <f>IF('Employee Master'!B172="","",IF(I172&gt;=0.98,10,IF(I172&gt;=0.95,8,IF(I172&gt;=0.9,6,IF(I172&gt;=0.85,4,2)))))</f>
        <v/>
      </c>
      <c r="K172" s="105" t="str">
        <f>IF('Employee Master'!B172="","",'⑥ Annual Performance'!N172)</f>
        <v/>
      </c>
      <c r="L172" s="104" t="str">
        <f>IF('Employee Master'!B172="","",IF(K172&gt;=1000,10,IF(K172&gt;=750,8,IF(K172&gt;=500,6,IF(K172&gt;=250,4,2)))))</f>
        <v/>
      </c>
      <c r="M172" s="105" t="str">
        <f>IF('Employee Master'!B172="","",'⑥ Annual Performance'!K172)</f>
        <v/>
      </c>
      <c r="N172" s="106" t="str">
        <f>IF('Employee Master'!B172="","",'⑥ Annual Performance'!L172)</f>
        <v/>
      </c>
      <c r="O172" s="104" t="str">
        <f>IF('Employee Master'!B172="","",MIN(N172*2,10))</f>
        <v/>
      </c>
      <c r="P172" s="104" t="str">
        <f>IF('Employee Master'!B172="","",IF(F172&gt;=36,5,IF(F172&gt;=24,4,IF(F172&gt;=12,3,IF(F172&gt;=6,2,1)))))</f>
        <v/>
      </c>
      <c r="Q172" s="104" t="str">
        <f>IF('Employee Master'!B172="","",IF(D172="Sr. Controller",10,IF(D172="Coo",10,IF(D172="Controller",9,IF(D172="Asst. Controller",8,IF(D172="Sr. Manager",8,IF(D172="Manager",7,IF(D172="Asst. Manager",6,IF(D172="Team Lead",7,IF(D172="Asst. Team Lead",5,IF(D172="Sr. Associate",4,IF(D172="Associate",3,IF(D172="Full Stack Developer",5,IF(D172="Project Manager (S/W)",6,IF(D172="Marketing",4,4)))))))))))))))</f>
        <v/>
      </c>
      <c r="R172" s="107" t="str">
        <f>IF('Employee Master'!B172="","",H172+J172+L172+O172+P172+Q172)</f>
        <v/>
      </c>
      <c r="S172" s="108" t="str">
        <f>IF('Employee Master'!B172="","",3)</f>
        <v/>
      </c>
      <c r="T172" s="104" t="str">
        <f>IF('Employee Master'!B172="","",MIN(S172*2,10))</f>
        <v/>
      </c>
      <c r="U172" s="108" t="str">
        <f>IF('Employee Master'!B172="","",3)</f>
        <v/>
      </c>
      <c r="V172" s="104" t="str">
        <f>IF('Employee Master'!B172="","",MIN(U172*2,10))</f>
        <v/>
      </c>
      <c r="W172" s="108" t="str">
        <f>IF('Employee Master'!B172="","",3)</f>
        <v/>
      </c>
      <c r="X172" s="104" t="str">
        <f>IF('Employee Master'!B172="","",MIN(W172*2,10))</f>
        <v/>
      </c>
      <c r="Y172" s="108" t="str">
        <f>IF('Employee Master'!B172="","",3)</f>
        <v/>
      </c>
      <c r="Z172" s="104" t="str">
        <f>IF('Employee Master'!B172="","",MIN(Y172*2,10))</f>
        <v/>
      </c>
      <c r="AA172" s="109" t="str">
        <f>IF('Employee Master'!B172="","",T172+V172+X172+Z172)</f>
        <v/>
      </c>
      <c r="AB172" s="110" t="str">
        <f>IF('Employee Master'!B172="","",R172+AA172)</f>
        <v/>
      </c>
      <c r="AC172" s="27" t="str">
        <f>IF('Employee Master'!B172="","",IF(AB172&gt;=85,"Exceptional",IF(AB172&gt;=70,"High Performer",IF(AB172&gt;=50,"Meets Expectations",IF(AB172&gt;=30,"Below Expectations","Underperformer")))))</f>
        <v/>
      </c>
      <c r="AD172" s="51" t="str">
        <f>IF('Employee Master'!B172="","",'Employee Master'!M172)</f>
        <v/>
      </c>
      <c r="AE172" s="52" t="str">
        <f>IF('Employee Master'!B172="","",IF(AB172&gt;=85,Settings!B31,IF(AB172&gt;=70,Settings!B32,IF(AB172&gt;=50,Settings!B33,IF(AB172&gt;=30,Settings!B34,Settings!B35)))))</f>
        <v/>
      </c>
      <c r="AF172" s="51" t="str">
        <f>IF('Employee Master'!B172="","",AD172*(1+AE172))</f>
        <v/>
      </c>
      <c r="AG172" s="51" t="str">
        <f>IF('Employee Master'!B172="","",AF172-AD172)</f>
        <v/>
      </c>
      <c r="AH172" s="51" t="str">
        <f>IF('Employee Master'!B172="","",AG172*12)</f>
        <v/>
      </c>
    </row>
    <row r="173" spans="1:34" ht="15" customHeight="1" x14ac:dyDescent="0.2">
      <c r="A173" s="27" t="str">
        <f>IF('Employee Master'!B173="","",ROW()-3)</f>
        <v/>
      </c>
      <c r="B173" s="27" t="str">
        <f>IF('Employee Master'!B173="","",'Employee Master'!C173)</f>
        <v/>
      </c>
      <c r="C173" s="27" t="str">
        <f>IF('Employee Master'!B173="","",'Employee Master'!D173)</f>
        <v/>
      </c>
      <c r="D173" s="27" t="str">
        <f>IF('Employee Master'!B173="","",'Employee Master'!E173)</f>
        <v/>
      </c>
      <c r="E173" s="27" t="str">
        <f>IF('Employee Master'!B173="","",'Employee Master'!G173)</f>
        <v/>
      </c>
      <c r="F173" s="51" t="str">
        <f>IF('Employee Master'!B173="","",'⑥ Annual Performance'!R173)</f>
        <v/>
      </c>
      <c r="G173" s="103" t="str">
        <f>IF('Employee Master'!B173="","",'⑥ Annual Performance'!J173)</f>
        <v/>
      </c>
      <c r="H173" s="104" t="str">
        <f>IF('Employee Master'!B173="","",IF(G173&gt;=0.85,15,IF(G173&gt;=0.7,12,IF(G173&gt;=0.55,9,IF(G173&gt;=0.4,6,3)))))</f>
        <v/>
      </c>
      <c r="I173" s="103" t="str">
        <f>IF('Employee Master'!B173="","",'⑥ Annual Performance'!Q173)</f>
        <v/>
      </c>
      <c r="J173" s="104" t="str">
        <f>IF('Employee Master'!B173="","",IF(I173&gt;=0.98,10,IF(I173&gt;=0.95,8,IF(I173&gt;=0.9,6,IF(I173&gt;=0.85,4,2)))))</f>
        <v/>
      </c>
      <c r="K173" s="105" t="str">
        <f>IF('Employee Master'!B173="","",'⑥ Annual Performance'!N173)</f>
        <v/>
      </c>
      <c r="L173" s="104" t="str">
        <f>IF('Employee Master'!B173="","",IF(K173&gt;=1000,10,IF(K173&gt;=750,8,IF(K173&gt;=500,6,IF(K173&gt;=250,4,2)))))</f>
        <v/>
      </c>
      <c r="M173" s="105" t="str">
        <f>IF('Employee Master'!B173="","",'⑥ Annual Performance'!K173)</f>
        <v/>
      </c>
      <c r="N173" s="106" t="str">
        <f>IF('Employee Master'!B173="","",'⑥ Annual Performance'!L173)</f>
        <v/>
      </c>
      <c r="O173" s="104" t="str">
        <f>IF('Employee Master'!B173="","",MIN(N173*2,10))</f>
        <v/>
      </c>
      <c r="P173" s="104" t="str">
        <f>IF('Employee Master'!B173="","",IF(F173&gt;=36,5,IF(F173&gt;=24,4,IF(F173&gt;=12,3,IF(F173&gt;=6,2,1)))))</f>
        <v/>
      </c>
      <c r="Q173" s="104" t="str">
        <f>IF('Employee Master'!B173="","",IF(D173="Sr. Controller",10,IF(D173="Coo",10,IF(D173="Controller",9,IF(D173="Asst. Controller",8,IF(D173="Sr. Manager",8,IF(D173="Manager",7,IF(D173="Asst. Manager",6,IF(D173="Team Lead",7,IF(D173="Asst. Team Lead",5,IF(D173="Sr. Associate",4,IF(D173="Associate",3,IF(D173="Full Stack Developer",5,IF(D173="Project Manager (S/W)",6,IF(D173="Marketing",4,4)))))))))))))))</f>
        <v/>
      </c>
      <c r="R173" s="107" t="str">
        <f>IF('Employee Master'!B173="","",H173+J173+L173+O173+P173+Q173)</f>
        <v/>
      </c>
      <c r="S173" s="108" t="str">
        <f>IF('Employee Master'!B173="","",3)</f>
        <v/>
      </c>
      <c r="T173" s="104" t="str">
        <f>IF('Employee Master'!B173="","",MIN(S173*2,10))</f>
        <v/>
      </c>
      <c r="U173" s="108" t="str">
        <f>IF('Employee Master'!B173="","",3)</f>
        <v/>
      </c>
      <c r="V173" s="104" t="str">
        <f>IF('Employee Master'!B173="","",MIN(U173*2,10))</f>
        <v/>
      </c>
      <c r="W173" s="108" t="str">
        <f>IF('Employee Master'!B173="","",3)</f>
        <v/>
      </c>
      <c r="X173" s="104" t="str">
        <f>IF('Employee Master'!B173="","",MIN(W173*2,10))</f>
        <v/>
      </c>
      <c r="Y173" s="108" t="str">
        <f>IF('Employee Master'!B173="","",3)</f>
        <v/>
      </c>
      <c r="Z173" s="104" t="str">
        <f>IF('Employee Master'!B173="","",MIN(Y173*2,10))</f>
        <v/>
      </c>
      <c r="AA173" s="109" t="str">
        <f>IF('Employee Master'!B173="","",T173+V173+X173+Z173)</f>
        <v/>
      </c>
      <c r="AB173" s="110" t="str">
        <f>IF('Employee Master'!B173="","",R173+AA173)</f>
        <v/>
      </c>
      <c r="AC173" s="27" t="str">
        <f>IF('Employee Master'!B173="","",IF(AB173&gt;=85,"Exceptional",IF(AB173&gt;=70,"High Performer",IF(AB173&gt;=50,"Meets Expectations",IF(AB173&gt;=30,"Below Expectations","Underperformer")))))</f>
        <v/>
      </c>
      <c r="AD173" s="51" t="str">
        <f>IF('Employee Master'!B173="","",'Employee Master'!M173)</f>
        <v/>
      </c>
      <c r="AE173" s="52" t="str">
        <f>IF('Employee Master'!B173="","",IF(AB173&gt;=85,Settings!B31,IF(AB173&gt;=70,Settings!B32,IF(AB173&gt;=50,Settings!B33,IF(AB173&gt;=30,Settings!B34,Settings!B35)))))</f>
        <v/>
      </c>
      <c r="AF173" s="51" t="str">
        <f>IF('Employee Master'!B173="","",AD173*(1+AE173))</f>
        <v/>
      </c>
      <c r="AG173" s="51" t="str">
        <f>IF('Employee Master'!B173="","",AF173-AD173)</f>
        <v/>
      </c>
      <c r="AH173" s="51" t="str">
        <f>IF('Employee Master'!B173="","",AG173*12)</f>
        <v/>
      </c>
    </row>
    <row r="174" spans="1:34" ht="15" customHeight="1" x14ac:dyDescent="0.2">
      <c r="A174" s="27" t="str">
        <f>IF('Employee Master'!B174="","",ROW()-3)</f>
        <v/>
      </c>
      <c r="B174" s="27" t="str">
        <f>IF('Employee Master'!B174="","",'Employee Master'!C174)</f>
        <v/>
      </c>
      <c r="C174" s="27" t="str">
        <f>IF('Employee Master'!B174="","",'Employee Master'!D174)</f>
        <v/>
      </c>
      <c r="D174" s="27" t="str">
        <f>IF('Employee Master'!B174="","",'Employee Master'!E174)</f>
        <v/>
      </c>
      <c r="E174" s="27" t="str">
        <f>IF('Employee Master'!B174="","",'Employee Master'!G174)</f>
        <v/>
      </c>
      <c r="F174" s="51" t="str">
        <f>IF('Employee Master'!B174="","",'⑥ Annual Performance'!R174)</f>
        <v/>
      </c>
      <c r="G174" s="103" t="str">
        <f>IF('Employee Master'!B174="","",'⑥ Annual Performance'!J174)</f>
        <v/>
      </c>
      <c r="H174" s="104" t="str">
        <f>IF('Employee Master'!B174="","",IF(G174&gt;=0.85,15,IF(G174&gt;=0.7,12,IF(G174&gt;=0.55,9,IF(G174&gt;=0.4,6,3)))))</f>
        <v/>
      </c>
      <c r="I174" s="103" t="str">
        <f>IF('Employee Master'!B174="","",'⑥ Annual Performance'!Q174)</f>
        <v/>
      </c>
      <c r="J174" s="104" t="str">
        <f>IF('Employee Master'!B174="","",IF(I174&gt;=0.98,10,IF(I174&gt;=0.95,8,IF(I174&gt;=0.9,6,IF(I174&gt;=0.85,4,2)))))</f>
        <v/>
      </c>
      <c r="K174" s="105" t="str">
        <f>IF('Employee Master'!B174="","",'⑥ Annual Performance'!N174)</f>
        <v/>
      </c>
      <c r="L174" s="104" t="str">
        <f>IF('Employee Master'!B174="","",IF(K174&gt;=1000,10,IF(K174&gt;=750,8,IF(K174&gt;=500,6,IF(K174&gt;=250,4,2)))))</f>
        <v/>
      </c>
      <c r="M174" s="105" t="str">
        <f>IF('Employee Master'!B174="","",'⑥ Annual Performance'!K174)</f>
        <v/>
      </c>
      <c r="N174" s="106" t="str">
        <f>IF('Employee Master'!B174="","",'⑥ Annual Performance'!L174)</f>
        <v/>
      </c>
      <c r="O174" s="104" t="str">
        <f>IF('Employee Master'!B174="","",MIN(N174*2,10))</f>
        <v/>
      </c>
      <c r="P174" s="104" t="str">
        <f>IF('Employee Master'!B174="","",IF(F174&gt;=36,5,IF(F174&gt;=24,4,IF(F174&gt;=12,3,IF(F174&gt;=6,2,1)))))</f>
        <v/>
      </c>
      <c r="Q174" s="104" t="str">
        <f>IF('Employee Master'!B174="","",IF(D174="Sr. Controller",10,IF(D174="Coo",10,IF(D174="Controller",9,IF(D174="Asst. Controller",8,IF(D174="Sr. Manager",8,IF(D174="Manager",7,IF(D174="Asst. Manager",6,IF(D174="Team Lead",7,IF(D174="Asst. Team Lead",5,IF(D174="Sr. Associate",4,IF(D174="Associate",3,IF(D174="Full Stack Developer",5,IF(D174="Project Manager (S/W)",6,IF(D174="Marketing",4,4)))))))))))))))</f>
        <v/>
      </c>
      <c r="R174" s="107" t="str">
        <f>IF('Employee Master'!B174="","",H174+J174+L174+O174+P174+Q174)</f>
        <v/>
      </c>
      <c r="S174" s="108" t="str">
        <f>IF('Employee Master'!B174="","",3)</f>
        <v/>
      </c>
      <c r="T174" s="104" t="str">
        <f>IF('Employee Master'!B174="","",MIN(S174*2,10))</f>
        <v/>
      </c>
      <c r="U174" s="108" t="str">
        <f>IF('Employee Master'!B174="","",3)</f>
        <v/>
      </c>
      <c r="V174" s="104" t="str">
        <f>IF('Employee Master'!B174="","",MIN(U174*2,10))</f>
        <v/>
      </c>
      <c r="W174" s="108" t="str">
        <f>IF('Employee Master'!B174="","",3)</f>
        <v/>
      </c>
      <c r="X174" s="104" t="str">
        <f>IF('Employee Master'!B174="","",MIN(W174*2,10))</f>
        <v/>
      </c>
      <c r="Y174" s="108" t="str">
        <f>IF('Employee Master'!B174="","",3)</f>
        <v/>
      </c>
      <c r="Z174" s="104" t="str">
        <f>IF('Employee Master'!B174="","",MIN(Y174*2,10))</f>
        <v/>
      </c>
      <c r="AA174" s="109" t="str">
        <f>IF('Employee Master'!B174="","",T174+V174+X174+Z174)</f>
        <v/>
      </c>
      <c r="AB174" s="110" t="str">
        <f>IF('Employee Master'!B174="","",R174+AA174)</f>
        <v/>
      </c>
      <c r="AC174" s="27" t="str">
        <f>IF('Employee Master'!B174="","",IF(AB174&gt;=85,"Exceptional",IF(AB174&gt;=70,"High Performer",IF(AB174&gt;=50,"Meets Expectations",IF(AB174&gt;=30,"Below Expectations","Underperformer")))))</f>
        <v/>
      </c>
      <c r="AD174" s="51" t="str">
        <f>IF('Employee Master'!B174="","",'Employee Master'!M174)</f>
        <v/>
      </c>
      <c r="AE174" s="52" t="str">
        <f>IF('Employee Master'!B174="","",IF(AB174&gt;=85,Settings!B31,IF(AB174&gt;=70,Settings!B32,IF(AB174&gt;=50,Settings!B33,IF(AB174&gt;=30,Settings!B34,Settings!B35)))))</f>
        <v/>
      </c>
      <c r="AF174" s="51" t="str">
        <f>IF('Employee Master'!B174="","",AD174*(1+AE174))</f>
        <v/>
      </c>
      <c r="AG174" s="51" t="str">
        <f>IF('Employee Master'!B174="","",AF174-AD174)</f>
        <v/>
      </c>
      <c r="AH174" s="51" t="str">
        <f>IF('Employee Master'!B174="","",AG174*12)</f>
        <v/>
      </c>
    </row>
    <row r="175" spans="1:34" ht="15" customHeight="1" x14ac:dyDescent="0.2">
      <c r="A175" s="27" t="str">
        <f>IF('Employee Master'!B175="","",ROW()-3)</f>
        <v/>
      </c>
      <c r="B175" s="27" t="str">
        <f>IF('Employee Master'!B175="","",'Employee Master'!C175)</f>
        <v/>
      </c>
      <c r="C175" s="27" t="str">
        <f>IF('Employee Master'!B175="","",'Employee Master'!D175)</f>
        <v/>
      </c>
      <c r="D175" s="27" t="str">
        <f>IF('Employee Master'!B175="","",'Employee Master'!E175)</f>
        <v/>
      </c>
      <c r="E175" s="27" t="str">
        <f>IF('Employee Master'!B175="","",'Employee Master'!G175)</f>
        <v/>
      </c>
      <c r="F175" s="51" t="str">
        <f>IF('Employee Master'!B175="","",'⑥ Annual Performance'!R175)</f>
        <v/>
      </c>
      <c r="G175" s="103" t="str">
        <f>IF('Employee Master'!B175="","",'⑥ Annual Performance'!J175)</f>
        <v/>
      </c>
      <c r="H175" s="104" t="str">
        <f>IF('Employee Master'!B175="","",IF(G175&gt;=0.85,15,IF(G175&gt;=0.7,12,IF(G175&gt;=0.55,9,IF(G175&gt;=0.4,6,3)))))</f>
        <v/>
      </c>
      <c r="I175" s="103" t="str">
        <f>IF('Employee Master'!B175="","",'⑥ Annual Performance'!Q175)</f>
        <v/>
      </c>
      <c r="J175" s="104" t="str">
        <f>IF('Employee Master'!B175="","",IF(I175&gt;=0.98,10,IF(I175&gt;=0.95,8,IF(I175&gt;=0.9,6,IF(I175&gt;=0.85,4,2)))))</f>
        <v/>
      </c>
      <c r="K175" s="105" t="str">
        <f>IF('Employee Master'!B175="","",'⑥ Annual Performance'!N175)</f>
        <v/>
      </c>
      <c r="L175" s="104" t="str">
        <f>IF('Employee Master'!B175="","",IF(K175&gt;=1000,10,IF(K175&gt;=750,8,IF(K175&gt;=500,6,IF(K175&gt;=250,4,2)))))</f>
        <v/>
      </c>
      <c r="M175" s="105" t="str">
        <f>IF('Employee Master'!B175="","",'⑥ Annual Performance'!K175)</f>
        <v/>
      </c>
      <c r="N175" s="106" t="str">
        <f>IF('Employee Master'!B175="","",'⑥ Annual Performance'!L175)</f>
        <v/>
      </c>
      <c r="O175" s="104" t="str">
        <f>IF('Employee Master'!B175="","",MIN(N175*2,10))</f>
        <v/>
      </c>
      <c r="P175" s="104" t="str">
        <f>IF('Employee Master'!B175="","",IF(F175&gt;=36,5,IF(F175&gt;=24,4,IF(F175&gt;=12,3,IF(F175&gt;=6,2,1)))))</f>
        <v/>
      </c>
      <c r="Q175" s="104" t="str">
        <f>IF('Employee Master'!B175="","",IF(D175="Sr. Controller",10,IF(D175="Coo",10,IF(D175="Controller",9,IF(D175="Asst. Controller",8,IF(D175="Sr. Manager",8,IF(D175="Manager",7,IF(D175="Asst. Manager",6,IF(D175="Team Lead",7,IF(D175="Asst. Team Lead",5,IF(D175="Sr. Associate",4,IF(D175="Associate",3,IF(D175="Full Stack Developer",5,IF(D175="Project Manager (S/W)",6,IF(D175="Marketing",4,4)))))))))))))))</f>
        <v/>
      </c>
      <c r="R175" s="107" t="str">
        <f>IF('Employee Master'!B175="","",H175+J175+L175+O175+P175+Q175)</f>
        <v/>
      </c>
      <c r="S175" s="108" t="str">
        <f>IF('Employee Master'!B175="","",3)</f>
        <v/>
      </c>
      <c r="T175" s="104" t="str">
        <f>IF('Employee Master'!B175="","",MIN(S175*2,10))</f>
        <v/>
      </c>
      <c r="U175" s="108" t="str">
        <f>IF('Employee Master'!B175="","",3)</f>
        <v/>
      </c>
      <c r="V175" s="104" t="str">
        <f>IF('Employee Master'!B175="","",MIN(U175*2,10))</f>
        <v/>
      </c>
      <c r="W175" s="108" t="str">
        <f>IF('Employee Master'!B175="","",3)</f>
        <v/>
      </c>
      <c r="X175" s="104" t="str">
        <f>IF('Employee Master'!B175="","",MIN(W175*2,10))</f>
        <v/>
      </c>
      <c r="Y175" s="108" t="str">
        <f>IF('Employee Master'!B175="","",3)</f>
        <v/>
      </c>
      <c r="Z175" s="104" t="str">
        <f>IF('Employee Master'!B175="","",MIN(Y175*2,10))</f>
        <v/>
      </c>
      <c r="AA175" s="109" t="str">
        <f>IF('Employee Master'!B175="","",T175+V175+X175+Z175)</f>
        <v/>
      </c>
      <c r="AB175" s="110" t="str">
        <f>IF('Employee Master'!B175="","",R175+AA175)</f>
        <v/>
      </c>
      <c r="AC175" s="27" t="str">
        <f>IF('Employee Master'!B175="","",IF(AB175&gt;=85,"Exceptional",IF(AB175&gt;=70,"High Performer",IF(AB175&gt;=50,"Meets Expectations",IF(AB175&gt;=30,"Below Expectations","Underperformer")))))</f>
        <v/>
      </c>
      <c r="AD175" s="51" t="str">
        <f>IF('Employee Master'!B175="","",'Employee Master'!M175)</f>
        <v/>
      </c>
      <c r="AE175" s="52" t="str">
        <f>IF('Employee Master'!B175="","",IF(AB175&gt;=85,Settings!B31,IF(AB175&gt;=70,Settings!B32,IF(AB175&gt;=50,Settings!B33,IF(AB175&gt;=30,Settings!B34,Settings!B35)))))</f>
        <v/>
      </c>
      <c r="AF175" s="51" t="str">
        <f>IF('Employee Master'!B175="","",AD175*(1+AE175))</f>
        <v/>
      </c>
      <c r="AG175" s="51" t="str">
        <f>IF('Employee Master'!B175="","",AF175-AD175)</f>
        <v/>
      </c>
      <c r="AH175" s="51" t="str">
        <f>IF('Employee Master'!B175="","",AG175*12)</f>
        <v/>
      </c>
    </row>
    <row r="176" spans="1:34" ht="15" customHeight="1" x14ac:dyDescent="0.2">
      <c r="A176" s="27" t="str">
        <f>IF('Employee Master'!B176="","",ROW()-3)</f>
        <v/>
      </c>
      <c r="B176" s="27" t="str">
        <f>IF('Employee Master'!B176="","",'Employee Master'!C176)</f>
        <v/>
      </c>
      <c r="C176" s="27" t="str">
        <f>IF('Employee Master'!B176="","",'Employee Master'!D176)</f>
        <v/>
      </c>
      <c r="D176" s="27" t="str">
        <f>IF('Employee Master'!B176="","",'Employee Master'!E176)</f>
        <v/>
      </c>
      <c r="E176" s="27" t="str">
        <f>IF('Employee Master'!B176="","",'Employee Master'!G176)</f>
        <v/>
      </c>
      <c r="F176" s="51" t="str">
        <f>IF('Employee Master'!B176="","",'⑥ Annual Performance'!R176)</f>
        <v/>
      </c>
      <c r="G176" s="103" t="str">
        <f>IF('Employee Master'!B176="","",'⑥ Annual Performance'!J176)</f>
        <v/>
      </c>
      <c r="H176" s="104" t="str">
        <f>IF('Employee Master'!B176="","",IF(G176&gt;=0.85,15,IF(G176&gt;=0.7,12,IF(G176&gt;=0.55,9,IF(G176&gt;=0.4,6,3)))))</f>
        <v/>
      </c>
      <c r="I176" s="103" t="str">
        <f>IF('Employee Master'!B176="","",'⑥ Annual Performance'!Q176)</f>
        <v/>
      </c>
      <c r="J176" s="104" t="str">
        <f>IF('Employee Master'!B176="","",IF(I176&gt;=0.98,10,IF(I176&gt;=0.95,8,IF(I176&gt;=0.9,6,IF(I176&gt;=0.85,4,2)))))</f>
        <v/>
      </c>
      <c r="K176" s="105" t="str">
        <f>IF('Employee Master'!B176="","",'⑥ Annual Performance'!N176)</f>
        <v/>
      </c>
      <c r="L176" s="104" t="str">
        <f>IF('Employee Master'!B176="","",IF(K176&gt;=1000,10,IF(K176&gt;=750,8,IF(K176&gt;=500,6,IF(K176&gt;=250,4,2)))))</f>
        <v/>
      </c>
      <c r="M176" s="105" t="str">
        <f>IF('Employee Master'!B176="","",'⑥ Annual Performance'!K176)</f>
        <v/>
      </c>
      <c r="N176" s="106" t="str">
        <f>IF('Employee Master'!B176="","",'⑥ Annual Performance'!L176)</f>
        <v/>
      </c>
      <c r="O176" s="104" t="str">
        <f>IF('Employee Master'!B176="","",MIN(N176*2,10))</f>
        <v/>
      </c>
      <c r="P176" s="104" t="str">
        <f>IF('Employee Master'!B176="","",IF(F176&gt;=36,5,IF(F176&gt;=24,4,IF(F176&gt;=12,3,IF(F176&gt;=6,2,1)))))</f>
        <v/>
      </c>
      <c r="Q176" s="104" t="str">
        <f>IF('Employee Master'!B176="","",IF(D176="Sr. Controller",10,IF(D176="Coo",10,IF(D176="Controller",9,IF(D176="Asst. Controller",8,IF(D176="Sr. Manager",8,IF(D176="Manager",7,IF(D176="Asst. Manager",6,IF(D176="Team Lead",7,IF(D176="Asst. Team Lead",5,IF(D176="Sr. Associate",4,IF(D176="Associate",3,IF(D176="Full Stack Developer",5,IF(D176="Project Manager (S/W)",6,IF(D176="Marketing",4,4)))))))))))))))</f>
        <v/>
      </c>
      <c r="R176" s="107" t="str">
        <f>IF('Employee Master'!B176="","",H176+J176+L176+O176+P176+Q176)</f>
        <v/>
      </c>
      <c r="S176" s="108" t="str">
        <f>IF('Employee Master'!B176="","",3)</f>
        <v/>
      </c>
      <c r="T176" s="104" t="str">
        <f>IF('Employee Master'!B176="","",MIN(S176*2,10))</f>
        <v/>
      </c>
      <c r="U176" s="108" t="str">
        <f>IF('Employee Master'!B176="","",3)</f>
        <v/>
      </c>
      <c r="V176" s="104" t="str">
        <f>IF('Employee Master'!B176="","",MIN(U176*2,10))</f>
        <v/>
      </c>
      <c r="W176" s="108" t="str">
        <f>IF('Employee Master'!B176="","",3)</f>
        <v/>
      </c>
      <c r="X176" s="104" t="str">
        <f>IF('Employee Master'!B176="","",MIN(W176*2,10))</f>
        <v/>
      </c>
      <c r="Y176" s="108" t="str">
        <f>IF('Employee Master'!B176="","",3)</f>
        <v/>
      </c>
      <c r="Z176" s="104" t="str">
        <f>IF('Employee Master'!B176="","",MIN(Y176*2,10))</f>
        <v/>
      </c>
      <c r="AA176" s="109" t="str">
        <f>IF('Employee Master'!B176="","",T176+V176+X176+Z176)</f>
        <v/>
      </c>
      <c r="AB176" s="110" t="str">
        <f>IF('Employee Master'!B176="","",R176+AA176)</f>
        <v/>
      </c>
      <c r="AC176" s="27" t="str">
        <f>IF('Employee Master'!B176="","",IF(AB176&gt;=85,"Exceptional",IF(AB176&gt;=70,"High Performer",IF(AB176&gt;=50,"Meets Expectations",IF(AB176&gt;=30,"Below Expectations","Underperformer")))))</f>
        <v/>
      </c>
      <c r="AD176" s="51" t="str">
        <f>IF('Employee Master'!B176="","",'Employee Master'!M176)</f>
        <v/>
      </c>
      <c r="AE176" s="52" t="str">
        <f>IF('Employee Master'!B176="","",IF(AB176&gt;=85,Settings!B31,IF(AB176&gt;=70,Settings!B32,IF(AB176&gt;=50,Settings!B33,IF(AB176&gt;=30,Settings!B34,Settings!B35)))))</f>
        <v/>
      </c>
      <c r="AF176" s="51" t="str">
        <f>IF('Employee Master'!B176="","",AD176*(1+AE176))</f>
        <v/>
      </c>
      <c r="AG176" s="51" t="str">
        <f>IF('Employee Master'!B176="","",AF176-AD176)</f>
        <v/>
      </c>
      <c r="AH176" s="51" t="str">
        <f>IF('Employee Master'!B176="","",AG176*12)</f>
        <v/>
      </c>
    </row>
    <row r="177" spans="1:34" ht="15" customHeight="1" x14ac:dyDescent="0.2">
      <c r="A177" s="27" t="str">
        <f>IF('Employee Master'!B177="","",ROW()-3)</f>
        <v/>
      </c>
      <c r="B177" s="27" t="str">
        <f>IF('Employee Master'!B177="","",'Employee Master'!C177)</f>
        <v/>
      </c>
      <c r="C177" s="27" t="str">
        <f>IF('Employee Master'!B177="","",'Employee Master'!D177)</f>
        <v/>
      </c>
      <c r="D177" s="27" t="str">
        <f>IF('Employee Master'!B177="","",'Employee Master'!E177)</f>
        <v/>
      </c>
      <c r="E177" s="27" t="str">
        <f>IF('Employee Master'!B177="","",'Employee Master'!G177)</f>
        <v/>
      </c>
      <c r="F177" s="51" t="str">
        <f>IF('Employee Master'!B177="","",'⑥ Annual Performance'!R177)</f>
        <v/>
      </c>
      <c r="G177" s="103" t="str">
        <f>IF('Employee Master'!B177="","",'⑥ Annual Performance'!J177)</f>
        <v/>
      </c>
      <c r="H177" s="104" t="str">
        <f>IF('Employee Master'!B177="","",IF(G177&gt;=0.85,15,IF(G177&gt;=0.7,12,IF(G177&gt;=0.55,9,IF(G177&gt;=0.4,6,3)))))</f>
        <v/>
      </c>
      <c r="I177" s="103" t="str">
        <f>IF('Employee Master'!B177="","",'⑥ Annual Performance'!Q177)</f>
        <v/>
      </c>
      <c r="J177" s="104" t="str">
        <f>IF('Employee Master'!B177="","",IF(I177&gt;=0.98,10,IF(I177&gt;=0.95,8,IF(I177&gt;=0.9,6,IF(I177&gt;=0.85,4,2)))))</f>
        <v/>
      </c>
      <c r="K177" s="105" t="str">
        <f>IF('Employee Master'!B177="","",'⑥ Annual Performance'!N177)</f>
        <v/>
      </c>
      <c r="L177" s="104" t="str">
        <f>IF('Employee Master'!B177="","",IF(K177&gt;=1000,10,IF(K177&gt;=750,8,IF(K177&gt;=500,6,IF(K177&gt;=250,4,2)))))</f>
        <v/>
      </c>
      <c r="M177" s="105" t="str">
        <f>IF('Employee Master'!B177="","",'⑥ Annual Performance'!K177)</f>
        <v/>
      </c>
      <c r="N177" s="106" t="str">
        <f>IF('Employee Master'!B177="","",'⑥ Annual Performance'!L177)</f>
        <v/>
      </c>
      <c r="O177" s="104" t="str">
        <f>IF('Employee Master'!B177="","",MIN(N177*2,10))</f>
        <v/>
      </c>
      <c r="P177" s="104" t="str">
        <f>IF('Employee Master'!B177="","",IF(F177&gt;=36,5,IF(F177&gt;=24,4,IF(F177&gt;=12,3,IF(F177&gt;=6,2,1)))))</f>
        <v/>
      </c>
      <c r="Q177" s="104" t="str">
        <f>IF('Employee Master'!B177="","",IF(D177="Sr. Controller",10,IF(D177="Coo",10,IF(D177="Controller",9,IF(D177="Asst. Controller",8,IF(D177="Sr. Manager",8,IF(D177="Manager",7,IF(D177="Asst. Manager",6,IF(D177="Team Lead",7,IF(D177="Asst. Team Lead",5,IF(D177="Sr. Associate",4,IF(D177="Associate",3,IF(D177="Full Stack Developer",5,IF(D177="Project Manager (S/W)",6,IF(D177="Marketing",4,4)))))))))))))))</f>
        <v/>
      </c>
      <c r="R177" s="107" t="str">
        <f>IF('Employee Master'!B177="","",H177+J177+L177+O177+P177+Q177)</f>
        <v/>
      </c>
      <c r="S177" s="108" t="str">
        <f>IF('Employee Master'!B177="","",3)</f>
        <v/>
      </c>
      <c r="T177" s="104" t="str">
        <f>IF('Employee Master'!B177="","",MIN(S177*2,10))</f>
        <v/>
      </c>
      <c r="U177" s="108" t="str">
        <f>IF('Employee Master'!B177="","",3)</f>
        <v/>
      </c>
      <c r="V177" s="104" t="str">
        <f>IF('Employee Master'!B177="","",MIN(U177*2,10))</f>
        <v/>
      </c>
      <c r="W177" s="108" t="str">
        <f>IF('Employee Master'!B177="","",3)</f>
        <v/>
      </c>
      <c r="X177" s="104" t="str">
        <f>IF('Employee Master'!B177="","",MIN(W177*2,10))</f>
        <v/>
      </c>
      <c r="Y177" s="108" t="str">
        <f>IF('Employee Master'!B177="","",3)</f>
        <v/>
      </c>
      <c r="Z177" s="104" t="str">
        <f>IF('Employee Master'!B177="","",MIN(Y177*2,10))</f>
        <v/>
      </c>
      <c r="AA177" s="109" t="str">
        <f>IF('Employee Master'!B177="","",T177+V177+X177+Z177)</f>
        <v/>
      </c>
      <c r="AB177" s="110" t="str">
        <f>IF('Employee Master'!B177="","",R177+AA177)</f>
        <v/>
      </c>
      <c r="AC177" s="27" t="str">
        <f>IF('Employee Master'!B177="","",IF(AB177&gt;=85,"Exceptional",IF(AB177&gt;=70,"High Performer",IF(AB177&gt;=50,"Meets Expectations",IF(AB177&gt;=30,"Below Expectations","Underperformer")))))</f>
        <v/>
      </c>
      <c r="AD177" s="51" t="str">
        <f>IF('Employee Master'!B177="","",'Employee Master'!M177)</f>
        <v/>
      </c>
      <c r="AE177" s="52" t="str">
        <f>IF('Employee Master'!B177="","",IF(AB177&gt;=85,Settings!B31,IF(AB177&gt;=70,Settings!B32,IF(AB177&gt;=50,Settings!B33,IF(AB177&gt;=30,Settings!B34,Settings!B35)))))</f>
        <v/>
      </c>
      <c r="AF177" s="51" t="str">
        <f>IF('Employee Master'!B177="","",AD177*(1+AE177))</f>
        <v/>
      </c>
      <c r="AG177" s="51" t="str">
        <f>IF('Employee Master'!B177="","",AF177-AD177)</f>
        <v/>
      </c>
      <c r="AH177" s="51" t="str">
        <f>IF('Employee Master'!B177="","",AG177*12)</f>
        <v/>
      </c>
    </row>
    <row r="178" spans="1:34" ht="15" customHeight="1" x14ac:dyDescent="0.2">
      <c r="A178" s="27" t="str">
        <f>IF('Employee Master'!B178="","",ROW()-3)</f>
        <v/>
      </c>
      <c r="B178" s="27" t="str">
        <f>IF('Employee Master'!B178="","",'Employee Master'!C178)</f>
        <v/>
      </c>
      <c r="C178" s="27" t="str">
        <f>IF('Employee Master'!B178="","",'Employee Master'!D178)</f>
        <v/>
      </c>
      <c r="D178" s="27" t="str">
        <f>IF('Employee Master'!B178="","",'Employee Master'!E178)</f>
        <v/>
      </c>
      <c r="E178" s="27" t="str">
        <f>IF('Employee Master'!B178="","",'Employee Master'!G178)</f>
        <v/>
      </c>
      <c r="F178" s="51" t="str">
        <f>IF('Employee Master'!B178="","",'⑥ Annual Performance'!R178)</f>
        <v/>
      </c>
      <c r="G178" s="103" t="str">
        <f>IF('Employee Master'!B178="","",'⑥ Annual Performance'!J178)</f>
        <v/>
      </c>
      <c r="H178" s="104" t="str">
        <f>IF('Employee Master'!B178="","",IF(G178&gt;=0.85,15,IF(G178&gt;=0.7,12,IF(G178&gt;=0.55,9,IF(G178&gt;=0.4,6,3)))))</f>
        <v/>
      </c>
      <c r="I178" s="103" t="str">
        <f>IF('Employee Master'!B178="","",'⑥ Annual Performance'!Q178)</f>
        <v/>
      </c>
      <c r="J178" s="104" t="str">
        <f>IF('Employee Master'!B178="","",IF(I178&gt;=0.98,10,IF(I178&gt;=0.95,8,IF(I178&gt;=0.9,6,IF(I178&gt;=0.85,4,2)))))</f>
        <v/>
      </c>
      <c r="K178" s="105" t="str">
        <f>IF('Employee Master'!B178="","",'⑥ Annual Performance'!N178)</f>
        <v/>
      </c>
      <c r="L178" s="104" t="str">
        <f>IF('Employee Master'!B178="","",IF(K178&gt;=1000,10,IF(K178&gt;=750,8,IF(K178&gt;=500,6,IF(K178&gt;=250,4,2)))))</f>
        <v/>
      </c>
      <c r="M178" s="105" t="str">
        <f>IF('Employee Master'!B178="","",'⑥ Annual Performance'!K178)</f>
        <v/>
      </c>
      <c r="N178" s="106" t="str">
        <f>IF('Employee Master'!B178="","",'⑥ Annual Performance'!L178)</f>
        <v/>
      </c>
      <c r="O178" s="104" t="str">
        <f>IF('Employee Master'!B178="","",MIN(N178*2,10))</f>
        <v/>
      </c>
      <c r="P178" s="104" t="str">
        <f>IF('Employee Master'!B178="","",IF(F178&gt;=36,5,IF(F178&gt;=24,4,IF(F178&gt;=12,3,IF(F178&gt;=6,2,1)))))</f>
        <v/>
      </c>
      <c r="Q178" s="104" t="str">
        <f>IF('Employee Master'!B178="","",IF(D178="Sr. Controller",10,IF(D178="Coo",10,IF(D178="Controller",9,IF(D178="Asst. Controller",8,IF(D178="Sr. Manager",8,IF(D178="Manager",7,IF(D178="Asst. Manager",6,IF(D178="Team Lead",7,IF(D178="Asst. Team Lead",5,IF(D178="Sr. Associate",4,IF(D178="Associate",3,IF(D178="Full Stack Developer",5,IF(D178="Project Manager (S/W)",6,IF(D178="Marketing",4,4)))))))))))))))</f>
        <v/>
      </c>
      <c r="R178" s="107" t="str">
        <f>IF('Employee Master'!B178="","",H178+J178+L178+O178+P178+Q178)</f>
        <v/>
      </c>
      <c r="S178" s="108" t="str">
        <f>IF('Employee Master'!B178="","",3)</f>
        <v/>
      </c>
      <c r="T178" s="104" t="str">
        <f>IF('Employee Master'!B178="","",MIN(S178*2,10))</f>
        <v/>
      </c>
      <c r="U178" s="108" t="str">
        <f>IF('Employee Master'!B178="","",3)</f>
        <v/>
      </c>
      <c r="V178" s="104" t="str">
        <f>IF('Employee Master'!B178="","",MIN(U178*2,10))</f>
        <v/>
      </c>
      <c r="W178" s="108" t="str">
        <f>IF('Employee Master'!B178="","",3)</f>
        <v/>
      </c>
      <c r="X178" s="104" t="str">
        <f>IF('Employee Master'!B178="","",MIN(W178*2,10))</f>
        <v/>
      </c>
      <c r="Y178" s="108" t="str">
        <f>IF('Employee Master'!B178="","",3)</f>
        <v/>
      </c>
      <c r="Z178" s="104" t="str">
        <f>IF('Employee Master'!B178="","",MIN(Y178*2,10))</f>
        <v/>
      </c>
      <c r="AA178" s="109" t="str">
        <f>IF('Employee Master'!B178="","",T178+V178+X178+Z178)</f>
        <v/>
      </c>
      <c r="AB178" s="110" t="str">
        <f>IF('Employee Master'!B178="","",R178+AA178)</f>
        <v/>
      </c>
      <c r="AC178" s="27" t="str">
        <f>IF('Employee Master'!B178="","",IF(AB178&gt;=85,"Exceptional",IF(AB178&gt;=70,"High Performer",IF(AB178&gt;=50,"Meets Expectations",IF(AB178&gt;=30,"Below Expectations","Underperformer")))))</f>
        <v/>
      </c>
      <c r="AD178" s="51" t="str">
        <f>IF('Employee Master'!B178="","",'Employee Master'!M178)</f>
        <v/>
      </c>
      <c r="AE178" s="52" t="str">
        <f>IF('Employee Master'!B178="","",IF(AB178&gt;=85,Settings!B31,IF(AB178&gt;=70,Settings!B32,IF(AB178&gt;=50,Settings!B33,IF(AB178&gt;=30,Settings!B34,Settings!B35)))))</f>
        <v/>
      </c>
      <c r="AF178" s="51" t="str">
        <f>IF('Employee Master'!B178="","",AD178*(1+AE178))</f>
        <v/>
      </c>
      <c r="AG178" s="51" t="str">
        <f>IF('Employee Master'!B178="","",AF178-AD178)</f>
        <v/>
      </c>
      <c r="AH178" s="51" t="str">
        <f>IF('Employee Master'!B178="","",AG178*12)</f>
        <v/>
      </c>
    </row>
    <row r="179" spans="1:34" ht="15" customHeight="1" x14ac:dyDescent="0.2">
      <c r="A179" s="27" t="str">
        <f>IF('Employee Master'!B179="","",ROW()-3)</f>
        <v/>
      </c>
      <c r="B179" s="27" t="str">
        <f>IF('Employee Master'!B179="","",'Employee Master'!C179)</f>
        <v/>
      </c>
      <c r="C179" s="27" t="str">
        <f>IF('Employee Master'!B179="","",'Employee Master'!D179)</f>
        <v/>
      </c>
      <c r="D179" s="27" t="str">
        <f>IF('Employee Master'!B179="","",'Employee Master'!E179)</f>
        <v/>
      </c>
      <c r="E179" s="27" t="str">
        <f>IF('Employee Master'!B179="","",'Employee Master'!G179)</f>
        <v/>
      </c>
      <c r="F179" s="51" t="str">
        <f>IF('Employee Master'!B179="","",'⑥ Annual Performance'!R179)</f>
        <v/>
      </c>
      <c r="G179" s="103" t="str">
        <f>IF('Employee Master'!B179="","",'⑥ Annual Performance'!J179)</f>
        <v/>
      </c>
      <c r="H179" s="104" t="str">
        <f>IF('Employee Master'!B179="","",IF(G179&gt;=0.85,15,IF(G179&gt;=0.7,12,IF(G179&gt;=0.55,9,IF(G179&gt;=0.4,6,3)))))</f>
        <v/>
      </c>
      <c r="I179" s="103" t="str">
        <f>IF('Employee Master'!B179="","",'⑥ Annual Performance'!Q179)</f>
        <v/>
      </c>
      <c r="J179" s="104" t="str">
        <f>IF('Employee Master'!B179="","",IF(I179&gt;=0.98,10,IF(I179&gt;=0.95,8,IF(I179&gt;=0.9,6,IF(I179&gt;=0.85,4,2)))))</f>
        <v/>
      </c>
      <c r="K179" s="105" t="str">
        <f>IF('Employee Master'!B179="","",'⑥ Annual Performance'!N179)</f>
        <v/>
      </c>
      <c r="L179" s="104" t="str">
        <f>IF('Employee Master'!B179="","",IF(K179&gt;=1000,10,IF(K179&gt;=750,8,IF(K179&gt;=500,6,IF(K179&gt;=250,4,2)))))</f>
        <v/>
      </c>
      <c r="M179" s="105" t="str">
        <f>IF('Employee Master'!B179="","",'⑥ Annual Performance'!K179)</f>
        <v/>
      </c>
      <c r="N179" s="106" t="str">
        <f>IF('Employee Master'!B179="","",'⑥ Annual Performance'!L179)</f>
        <v/>
      </c>
      <c r="O179" s="104" t="str">
        <f>IF('Employee Master'!B179="","",MIN(N179*2,10))</f>
        <v/>
      </c>
      <c r="P179" s="104" t="str">
        <f>IF('Employee Master'!B179="","",IF(F179&gt;=36,5,IF(F179&gt;=24,4,IF(F179&gt;=12,3,IF(F179&gt;=6,2,1)))))</f>
        <v/>
      </c>
      <c r="Q179" s="104" t="str">
        <f>IF('Employee Master'!B179="","",IF(D179="Sr. Controller",10,IF(D179="Coo",10,IF(D179="Controller",9,IF(D179="Asst. Controller",8,IF(D179="Sr. Manager",8,IF(D179="Manager",7,IF(D179="Asst. Manager",6,IF(D179="Team Lead",7,IF(D179="Asst. Team Lead",5,IF(D179="Sr. Associate",4,IF(D179="Associate",3,IF(D179="Full Stack Developer",5,IF(D179="Project Manager (S/W)",6,IF(D179="Marketing",4,4)))))))))))))))</f>
        <v/>
      </c>
      <c r="R179" s="107" t="str">
        <f>IF('Employee Master'!B179="","",H179+J179+L179+O179+P179+Q179)</f>
        <v/>
      </c>
      <c r="S179" s="108" t="str">
        <f>IF('Employee Master'!B179="","",3)</f>
        <v/>
      </c>
      <c r="T179" s="104" t="str">
        <f>IF('Employee Master'!B179="","",MIN(S179*2,10))</f>
        <v/>
      </c>
      <c r="U179" s="108" t="str">
        <f>IF('Employee Master'!B179="","",3)</f>
        <v/>
      </c>
      <c r="V179" s="104" t="str">
        <f>IF('Employee Master'!B179="","",MIN(U179*2,10))</f>
        <v/>
      </c>
      <c r="W179" s="108" t="str">
        <f>IF('Employee Master'!B179="","",3)</f>
        <v/>
      </c>
      <c r="X179" s="104" t="str">
        <f>IF('Employee Master'!B179="","",MIN(W179*2,10))</f>
        <v/>
      </c>
      <c r="Y179" s="108" t="str">
        <f>IF('Employee Master'!B179="","",3)</f>
        <v/>
      </c>
      <c r="Z179" s="104" t="str">
        <f>IF('Employee Master'!B179="","",MIN(Y179*2,10))</f>
        <v/>
      </c>
      <c r="AA179" s="109" t="str">
        <f>IF('Employee Master'!B179="","",T179+V179+X179+Z179)</f>
        <v/>
      </c>
      <c r="AB179" s="110" t="str">
        <f>IF('Employee Master'!B179="","",R179+AA179)</f>
        <v/>
      </c>
      <c r="AC179" s="27" t="str">
        <f>IF('Employee Master'!B179="","",IF(AB179&gt;=85,"Exceptional",IF(AB179&gt;=70,"High Performer",IF(AB179&gt;=50,"Meets Expectations",IF(AB179&gt;=30,"Below Expectations","Underperformer")))))</f>
        <v/>
      </c>
      <c r="AD179" s="51" t="str">
        <f>IF('Employee Master'!B179="","",'Employee Master'!M179)</f>
        <v/>
      </c>
      <c r="AE179" s="52" t="str">
        <f>IF('Employee Master'!B179="","",IF(AB179&gt;=85,Settings!B31,IF(AB179&gt;=70,Settings!B32,IF(AB179&gt;=50,Settings!B33,IF(AB179&gt;=30,Settings!B34,Settings!B35)))))</f>
        <v/>
      </c>
      <c r="AF179" s="51" t="str">
        <f>IF('Employee Master'!B179="","",AD179*(1+AE179))</f>
        <v/>
      </c>
      <c r="AG179" s="51" t="str">
        <f>IF('Employee Master'!B179="","",AF179-AD179)</f>
        <v/>
      </c>
      <c r="AH179" s="51" t="str">
        <f>IF('Employee Master'!B179="","",AG179*12)</f>
        <v/>
      </c>
    </row>
    <row r="180" spans="1:34" ht="15" customHeight="1" x14ac:dyDescent="0.2">
      <c r="A180" s="27" t="str">
        <f>IF('Employee Master'!B180="","",ROW()-3)</f>
        <v/>
      </c>
      <c r="B180" s="27" t="str">
        <f>IF('Employee Master'!B180="","",'Employee Master'!C180)</f>
        <v/>
      </c>
      <c r="C180" s="27" t="str">
        <f>IF('Employee Master'!B180="","",'Employee Master'!D180)</f>
        <v/>
      </c>
      <c r="D180" s="27" t="str">
        <f>IF('Employee Master'!B180="","",'Employee Master'!E180)</f>
        <v/>
      </c>
      <c r="E180" s="27" t="str">
        <f>IF('Employee Master'!B180="","",'Employee Master'!G180)</f>
        <v/>
      </c>
      <c r="F180" s="51" t="str">
        <f>IF('Employee Master'!B180="","",'⑥ Annual Performance'!R180)</f>
        <v/>
      </c>
      <c r="G180" s="103" t="str">
        <f>IF('Employee Master'!B180="","",'⑥ Annual Performance'!J180)</f>
        <v/>
      </c>
      <c r="H180" s="104" t="str">
        <f>IF('Employee Master'!B180="","",IF(G180&gt;=0.85,15,IF(G180&gt;=0.7,12,IF(G180&gt;=0.55,9,IF(G180&gt;=0.4,6,3)))))</f>
        <v/>
      </c>
      <c r="I180" s="103" t="str">
        <f>IF('Employee Master'!B180="","",'⑥ Annual Performance'!Q180)</f>
        <v/>
      </c>
      <c r="J180" s="104" t="str">
        <f>IF('Employee Master'!B180="","",IF(I180&gt;=0.98,10,IF(I180&gt;=0.95,8,IF(I180&gt;=0.9,6,IF(I180&gt;=0.85,4,2)))))</f>
        <v/>
      </c>
      <c r="K180" s="105" t="str">
        <f>IF('Employee Master'!B180="","",'⑥ Annual Performance'!N180)</f>
        <v/>
      </c>
      <c r="L180" s="104" t="str">
        <f>IF('Employee Master'!B180="","",IF(K180&gt;=1000,10,IF(K180&gt;=750,8,IF(K180&gt;=500,6,IF(K180&gt;=250,4,2)))))</f>
        <v/>
      </c>
      <c r="M180" s="105" t="str">
        <f>IF('Employee Master'!B180="","",'⑥ Annual Performance'!K180)</f>
        <v/>
      </c>
      <c r="N180" s="106" t="str">
        <f>IF('Employee Master'!B180="","",'⑥ Annual Performance'!L180)</f>
        <v/>
      </c>
      <c r="O180" s="104" t="str">
        <f>IF('Employee Master'!B180="","",MIN(N180*2,10))</f>
        <v/>
      </c>
      <c r="P180" s="104" t="str">
        <f>IF('Employee Master'!B180="","",IF(F180&gt;=36,5,IF(F180&gt;=24,4,IF(F180&gt;=12,3,IF(F180&gt;=6,2,1)))))</f>
        <v/>
      </c>
      <c r="Q180" s="104" t="str">
        <f>IF('Employee Master'!B180="","",IF(D180="Sr. Controller",10,IF(D180="Coo",10,IF(D180="Controller",9,IF(D180="Asst. Controller",8,IF(D180="Sr. Manager",8,IF(D180="Manager",7,IF(D180="Asst. Manager",6,IF(D180="Team Lead",7,IF(D180="Asst. Team Lead",5,IF(D180="Sr. Associate",4,IF(D180="Associate",3,IF(D180="Full Stack Developer",5,IF(D180="Project Manager (S/W)",6,IF(D180="Marketing",4,4)))))))))))))))</f>
        <v/>
      </c>
      <c r="R180" s="107" t="str">
        <f>IF('Employee Master'!B180="","",H180+J180+L180+O180+P180+Q180)</f>
        <v/>
      </c>
      <c r="S180" s="108" t="str">
        <f>IF('Employee Master'!B180="","",3)</f>
        <v/>
      </c>
      <c r="T180" s="104" t="str">
        <f>IF('Employee Master'!B180="","",MIN(S180*2,10))</f>
        <v/>
      </c>
      <c r="U180" s="108" t="str">
        <f>IF('Employee Master'!B180="","",3)</f>
        <v/>
      </c>
      <c r="V180" s="104" t="str">
        <f>IF('Employee Master'!B180="","",MIN(U180*2,10))</f>
        <v/>
      </c>
      <c r="W180" s="108" t="str">
        <f>IF('Employee Master'!B180="","",3)</f>
        <v/>
      </c>
      <c r="X180" s="104" t="str">
        <f>IF('Employee Master'!B180="","",MIN(W180*2,10))</f>
        <v/>
      </c>
      <c r="Y180" s="108" t="str">
        <f>IF('Employee Master'!B180="","",3)</f>
        <v/>
      </c>
      <c r="Z180" s="104" t="str">
        <f>IF('Employee Master'!B180="","",MIN(Y180*2,10))</f>
        <v/>
      </c>
      <c r="AA180" s="109" t="str">
        <f>IF('Employee Master'!B180="","",T180+V180+X180+Z180)</f>
        <v/>
      </c>
      <c r="AB180" s="110" t="str">
        <f>IF('Employee Master'!B180="","",R180+AA180)</f>
        <v/>
      </c>
      <c r="AC180" s="27" t="str">
        <f>IF('Employee Master'!B180="","",IF(AB180&gt;=85,"Exceptional",IF(AB180&gt;=70,"High Performer",IF(AB180&gt;=50,"Meets Expectations",IF(AB180&gt;=30,"Below Expectations","Underperformer")))))</f>
        <v/>
      </c>
      <c r="AD180" s="51" t="str">
        <f>IF('Employee Master'!B180="","",'Employee Master'!M180)</f>
        <v/>
      </c>
      <c r="AE180" s="52" t="str">
        <f>IF('Employee Master'!B180="","",IF(AB180&gt;=85,Settings!B31,IF(AB180&gt;=70,Settings!B32,IF(AB180&gt;=50,Settings!B33,IF(AB180&gt;=30,Settings!B34,Settings!B35)))))</f>
        <v/>
      </c>
      <c r="AF180" s="51" t="str">
        <f>IF('Employee Master'!B180="","",AD180*(1+AE180))</f>
        <v/>
      </c>
      <c r="AG180" s="51" t="str">
        <f>IF('Employee Master'!B180="","",AF180-AD180)</f>
        <v/>
      </c>
      <c r="AH180" s="51" t="str">
        <f>IF('Employee Master'!B180="","",AG180*12)</f>
        <v/>
      </c>
    </row>
    <row r="181" spans="1:34" ht="15" customHeight="1" x14ac:dyDescent="0.2">
      <c r="A181" s="27" t="str">
        <f>IF('Employee Master'!B181="","",ROW()-3)</f>
        <v/>
      </c>
      <c r="B181" s="27" t="str">
        <f>IF('Employee Master'!B181="","",'Employee Master'!C181)</f>
        <v/>
      </c>
      <c r="C181" s="27" t="str">
        <f>IF('Employee Master'!B181="","",'Employee Master'!D181)</f>
        <v/>
      </c>
      <c r="D181" s="27" t="str">
        <f>IF('Employee Master'!B181="","",'Employee Master'!E181)</f>
        <v/>
      </c>
      <c r="E181" s="27" t="str">
        <f>IF('Employee Master'!B181="","",'Employee Master'!G181)</f>
        <v/>
      </c>
      <c r="F181" s="51" t="str">
        <f>IF('Employee Master'!B181="","",'⑥ Annual Performance'!R181)</f>
        <v/>
      </c>
      <c r="G181" s="103" t="str">
        <f>IF('Employee Master'!B181="","",'⑥ Annual Performance'!J181)</f>
        <v/>
      </c>
      <c r="H181" s="104" t="str">
        <f>IF('Employee Master'!B181="","",IF(G181&gt;=0.85,15,IF(G181&gt;=0.7,12,IF(G181&gt;=0.55,9,IF(G181&gt;=0.4,6,3)))))</f>
        <v/>
      </c>
      <c r="I181" s="103" t="str">
        <f>IF('Employee Master'!B181="","",'⑥ Annual Performance'!Q181)</f>
        <v/>
      </c>
      <c r="J181" s="104" t="str">
        <f>IF('Employee Master'!B181="","",IF(I181&gt;=0.98,10,IF(I181&gt;=0.95,8,IF(I181&gt;=0.9,6,IF(I181&gt;=0.85,4,2)))))</f>
        <v/>
      </c>
      <c r="K181" s="105" t="str">
        <f>IF('Employee Master'!B181="","",'⑥ Annual Performance'!N181)</f>
        <v/>
      </c>
      <c r="L181" s="104" t="str">
        <f>IF('Employee Master'!B181="","",IF(K181&gt;=1000,10,IF(K181&gt;=750,8,IF(K181&gt;=500,6,IF(K181&gt;=250,4,2)))))</f>
        <v/>
      </c>
      <c r="M181" s="105" t="str">
        <f>IF('Employee Master'!B181="","",'⑥ Annual Performance'!K181)</f>
        <v/>
      </c>
      <c r="N181" s="106" t="str">
        <f>IF('Employee Master'!B181="","",'⑥ Annual Performance'!L181)</f>
        <v/>
      </c>
      <c r="O181" s="104" t="str">
        <f>IF('Employee Master'!B181="","",MIN(N181*2,10))</f>
        <v/>
      </c>
      <c r="P181" s="104" t="str">
        <f>IF('Employee Master'!B181="","",IF(F181&gt;=36,5,IF(F181&gt;=24,4,IF(F181&gt;=12,3,IF(F181&gt;=6,2,1)))))</f>
        <v/>
      </c>
      <c r="Q181" s="104" t="str">
        <f>IF('Employee Master'!B181="","",IF(D181="Sr. Controller",10,IF(D181="Coo",10,IF(D181="Controller",9,IF(D181="Asst. Controller",8,IF(D181="Sr. Manager",8,IF(D181="Manager",7,IF(D181="Asst. Manager",6,IF(D181="Team Lead",7,IF(D181="Asst. Team Lead",5,IF(D181="Sr. Associate",4,IF(D181="Associate",3,IF(D181="Full Stack Developer",5,IF(D181="Project Manager (S/W)",6,IF(D181="Marketing",4,4)))))))))))))))</f>
        <v/>
      </c>
      <c r="R181" s="107" t="str">
        <f>IF('Employee Master'!B181="","",H181+J181+L181+O181+P181+Q181)</f>
        <v/>
      </c>
      <c r="S181" s="108" t="str">
        <f>IF('Employee Master'!B181="","",3)</f>
        <v/>
      </c>
      <c r="T181" s="104" t="str">
        <f>IF('Employee Master'!B181="","",MIN(S181*2,10))</f>
        <v/>
      </c>
      <c r="U181" s="108" t="str">
        <f>IF('Employee Master'!B181="","",3)</f>
        <v/>
      </c>
      <c r="V181" s="104" t="str">
        <f>IF('Employee Master'!B181="","",MIN(U181*2,10))</f>
        <v/>
      </c>
      <c r="W181" s="108" t="str">
        <f>IF('Employee Master'!B181="","",3)</f>
        <v/>
      </c>
      <c r="X181" s="104" t="str">
        <f>IF('Employee Master'!B181="","",MIN(W181*2,10))</f>
        <v/>
      </c>
      <c r="Y181" s="108" t="str">
        <f>IF('Employee Master'!B181="","",3)</f>
        <v/>
      </c>
      <c r="Z181" s="104" t="str">
        <f>IF('Employee Master'!B181="","",MIN(Y181*2,10))</f>
        <v/>
      </c>
      <c r="AA181" s="109" t="str">
        <f>IF('Employee Master'!B181="","",T181+V181+X181+Z181)</f>
        <v/>
      </c>
      <c r="AB181" s="110" t="str">
        <f>IF('Employee Master'!B181="","",R181+AA181)</f>
        <v/>
      </c>
      <c r="AC181" s="27" t="str">
        <f>IF('Employee Master'!B181="","",IF(AB181&gt;=85,"Exceptional",IF(AB181&gt;=70,"High Performer",IF(AB181&gt;=50,"Meets Expectations",IF(AB181&gt;=30,"Below Expectations","Underperformer")))))</f>
        <v/>
      </c>
      <c r="AD181" s="51" t="str">
        <f>IF('Employee Master'!B181="","",'Employee Master'!M181)</f>
        <v/>
      </c>
      <c r="AE181" s="52" t="str">
        <f>IF('Employee Master'!B181="","",IF(AB181&gt;=85,Settings!B31,IF(AB181&gt;=70,Settings!B32,IF(AB181&gt;=50,Settings!B33,IF(AB181&gt;=30,Settings!B34,Settings!B35)))))</f>
        <v/>
      </c>
      <c r="AF181" s="51" t="str">
        <f>IF('Employee Master'!B181="","",AD181*(1+AE181))</f>
        <v/>
      </c>
      <c r="AG181" s="51" t="str">
        <f>IF('Employee Master'!B181="","",AF181-AD181)</f>
        <v/>
      </c>
      <c r="AH181" s="51" t="str">
        <f>IF('Employee Master'!B181="","",AG181*12)</f>
        <v/>
      </c>
    </row>
    <row r="182" spans="1:34" ht="15" customHeight="1" x14ac:dyDescent="0.2">
      <c r="A182" s="27" t="str">
        <f>IF('Employee Master'!B182="","",ROW()-3)</f>
        <v/>
      </c>
      <c r="B182" s="27" t="str">
        <f>IF('Employee Master'!B182="","",'Employee Master'!C182)</f>
        <v/>
      </c>
      <c r="C182" s="27" t="str">
        <f>IF('Employee Master'!B182="","",'Employee Master'!D182)</f>
        <v/>
      </c>
      <c r="D182" s="27" t="str">
        <f>IF('Employee Master'!B182="","",'Employee Master'!E182)</f>
        <v/>
      </c>
      <c r="E182" s="27" t="str">
        <f>IF('Employee Master'!B182="","",'Employee Master'!G182)</f>
        <v/>
      </c>
      <c r="F182" s="51" t="str">
        <f>IF('Employee Master'!B182="","",'⑥ Annual Performance'!R182)</f>
        <v/>
      </c>
      <c r="G182" s="103" t="str">
        <f>IF('Employee Master'!B182="","",'⑥ Annual Performance'!J182)</f>
        <v/>
      </c>
      <c r="H182" s="104" t="str">
        <f>IF('Employee Master'!B182="","",IF(G182&gt;=0.85,15,IF(G182&gt;=0.7,12,IF(G182&gt;=0.55,9,IF(G182&gt;=0.4,6,3)))))</f>
        <v/>
      </c>
      <c r="I182" s="103" t="str">
        <f>IF('Employee Master'!B182="","",'⑥ Annual Performance'!Q182)</f>
        <v/>
      </c>
      <c r="J182" s="104" t="str">
        <f>IF('Employee Master'!B182="","",IF(I182&gt;=0.98,10,IF(I182&gt;=0.95,8,IF(I182&gt;=0.9,6,IF(I182&gt;=0.85,4,2)))))</f>
        <v/>
      </c>
      <c r="K182" s="105" t="str">
        <f>IF('Employee Master'!B182="","",'⑥ Annual Performance'!N182)</f>
        <v/>
      </c>
      <c r="L182" s="104" t="str">
        <f>IF('Employee Master'!B182="","",IF(K182&gt;=1000,10,IF(K182&gt;=750,8,IF(K182&gt;=500,6,IF(K182&gt;=250,4,2)))))</f>
        <v/>
      </c>
      <c r="M182" s="105" t="str">
        <f>IF('Employee Master'!B182="","",'⑥ Annual Performance'!K182)</f>
        <v/>
      </c>
      <c r="N182" s="106" t="str">
        <f>IF('Employee Master'!B182="","",'⑥ Annual Performance'!L182)</f>
        <v/>
      </c>
      <c r="O182" s="104" t="str">
        <f>IF('Employee Master'!B182="","",MIN(N182*2,10))</f>
        <v/>
      </c>
      <c r="P182" s="104" t="str">
        <f>IF('Employee Master'!B182="","",IF(F182&gt;=36,5,IF(F182&gt;=24,4,IF(F182&gt;=12,3,IF(F182&gt;=6,2,1)))))</f>
        <v/>
      </c>
      <c r="Q182" s="104" t="str">
        <f>IF('Employee Master'!B182="","",IF(D182="Sr. Controller",10,IF(D182="Coo",10,IF(D182="Controller",9,IF(D182="Asst. Controller",8,IF(D182="Sr. Manager",8,IF(D182="Manager",7,IF(D182="Asst. Manager",6,IF(D182="Team Lead",7,IF(D182="Asst. Team Lead",5,IF(D182="Sr. Associate",4,IF(D182="Associate",3,IF(D182="Full Stack Developer",5,IF(D182="Project Manager (S/W)",6,IF(D182="Marketing",4,4)))))))))))))))</f>
        <v/>
      </c>
      <c r="R182" s="107" t="str">
        <f>IF('Employee Master'!B182="","",H182+J182+L182+O182+P182+Q182)</f>
        <v/>
      </c>
      <c r="S182" s="108" t="str">
        <f>IF('Employee Master'!B182="","",3)</f>
        <v/>
      </c>
      <c r="T182" s="104" t="str">
        <f>IF('Employee Master'!B182="","",MIN(S182*2,10))</f>
        <v/>
      </c>
      <c r="U182" s="108" t="str">
        <f>IF('Employee Master'!B182="","",3)</f>
        <v/>
      </c>
      <c r="V182" s="104" t="str">
        <f>IF('Employee Master'!B182="","",MIN(U182*2,10))</f>
        <v/>
      </c>
      <c r="W182" s="108" t="str">
        <f>IF('Employee Master'!B182="","",3)</f>
        <v/>
      </c>
      <c r="X182" s="104" t="str">
        <f>IF('Employee Master'!B182="","",MIN(W182*2,10))</f>
        <v/>
      </c>
      <c r="Y182" s="108" t="str">
        <f>IF('Employee Master'!B182="","",3)</f>
        <v/>
      </c>
      <c r="Z182" s="104" t="str">
        <f>IF('Employee Master'!B182="","",MIN(Y182*2,10))</f>
        <v/>
      </c>
      <c r="AA182" s="109" t="str">
        <f>IF('Employee Master'!B182="","",T182+V182+X182+Z182)</f>
        <v/>
      </c>
      <c r="AB182" s="110" t="str">
        <f>IF('Employee Master'!B182="","",R182+AA182)</f>
        <v/>
      </c>
      <c r="AC182" s="27" t="str">
        <f>IF('Employee Master'!B182="","",IF(AB182&gt;=85,"Exceptional",IF(AB182&gt;=70,"High Performer",IF(AB182&gt;=50,"Meets Expectations",IF(AB182&gt;=30,"Below Expectations","Underperformer")))))</f>
        <v/>
      </c>
      <c r="AD182" s="51" t="str">
        <f>IF('Employee Master'!B182="","",'Employee Master'!M182)</f>
        <v/>
      </c>
      <c r="AE182" s="52" t="str">
        <f>IF('Employee Master'!B182="","",IF(AB182&gt;=85,Settings!B31,IF(AB182&gt;=70,Settings!B32,IF(AB182&gt;=50,Settings!B33,IF(AB182&gt;=30,Settings!B34,Settings!B35)))))</f>
        <v/>
      </c>
      <c r="AF182" s="51" t="str">
        <f>IF('Employee Master'!B182="","",AD182*(1+AE182))</f>
        <v/>
      </c>
      <c r="AG182" s="51" t="str">
        <f>IF('Employee Master'!B182="","",AF182-AD182)</f>
        <v/>
      </c>
      <c r="AH182" s="51" t="str">
        <f>IF('Employee Master'!B182="","",AG182*12)</f>
        <v/>
      </c>
    </row>
    <row r="183" spans="1:34" ht="15" customHeight="1" x14ac:dyDescent="0.2">
      <c r="A183" s="27" t="str">
        <f>IF('Employee Master'!B183="","",ROW()-3)</f>
        <v/>
      </c>
      <c r="B183" s="27" t="str">
        <f>IF('Employee Master'!B183="","",'Employee Master'!C183)</f>
        <v/>
      </c>
      <c r="C183" s="27" t="str">
        <f>IF('Employee Master'!B183="","",'Employee Master'!D183)</f>
        <v/>
      </c>
      <c r="D183" s="27" t="str">
        <f>IF('Employee Master'!B183="","",'Employee Master'!E183)</f>
        <v/>
      </c>
      <c r="E183" s="27" t="str">
        <f>IF('Employee Master'!B183="","",'Employee Master'!G183)</f>
        <v/>
      </c>
      <c r="F183" s="51" t="str">
        <f>IF('Employee Master'!B183="","",'⑥ Annual Performance'!R183)</f>
        <v/>
      </c>
      <c r="G183" s="103" t="str">
        <f>IF('Employee Master'!B183="","",'⑥ Annual Performance'!J183)</f>
        <v/>
      </c>
      <c r="H183" s="104" t="str">
        <f>IF('Employee Master'!B183="","",IF(G183&gt;=0.85,15,IF(G183&gt;=0.7,12,IF(G183&gt;=0.55,9,IF(G183&gt;=0.4,6,3)))))</f>
        <v/>
      </c>
      <c r="I183" s="103" t="str">
        <f>IF('Employee Master'!B183="","",'⑥ Annual Performance'!Q183)</f>
        <v/>
      </c>
      <c r="J183" s="104" t="str">
        <f>IF('Employee Master'!B183="","",IF(I183&gt;=0.98,10,IF(I183&gt;=0.95,8,IF(I183&gt;=0.9,6,IF(I183&gt;=0.85,4,2)))))</f>
        <v/>
      </c>
      <c r="K183" s="105" t="str">
        <f>IF('Employee Master'!B183="","",'⑥ Annual Performance'!N183)</f>
        <v/>
      </c>
      <c r="L183" s="104" t="str">
        <f>IF('Employee Master'!B183="","",IF(K183&gt;=1000,10,IF(K183&gt;=750,8,IF(K183&gt;=500,6,IF(K183&gt;=250,4,2)))))</f>
        <v/>
      </c>
      <c r="M183" s="105" t="str">
        <f>IF('Employee Master'!B183="","",'⑥ Annual Performance'!K183)</f>
        <v/>
      </c>
      <c r="N183" s="106" t="str">
        <f>IF('Employee Master'!B183="","",'⑥ Annual Performance'!L183)</f>
        <v/>
      </c>
      <c r="O183" s="104" t="str">
        <f>IF('Employee Master'!B183="","",MIN(N183*2,10))</f>
        <v/>
      </c>
      <c r="P183" s="104" t="str">
        <f>IF('Employee Master'!B183="","",IF(F183&gt;=36,5,IF(F183&gt;=24,4,IF(F183&gt;=12,3,IF(F183&gt;=6,2,1)))))</f>
        <v/>
      </c>
      <c r="Q183" s="104" t="str">
        <f>IF('Employee Master'!B183="","",IF(D183="Sr. Controller",10,IF(D183="Coo",10,IF(D183="Controller",9,IF(D183="Asst. Controller",8,IF(D183="Sr. Manager",8,IF(D183="Manager",7,IF(D183="Asst. Manager",6,IF(D183="Team Lead",7,IF(D183="Asst. Team Lead",5,IF(D183="Sr. Associate",4,IF(D183="Associate",3,IF(D183="Full Stack Developer",5,IF(D183="Project Manager (S/W)",6,IF(D183="Marketing",4,4)))))))))))))))</f>
        <v/>
      </c>
      <c r="R183" s="107" t="str">
        <f>IF('Employee Master'!B183="","",H183+J183+L183+O183+P183+Q183)</f>
        <v/>
      </c>
      <c r="S183" s="108" t="str">
        <f>IF('Employee Master'!B183="","",3)</f>
        <v/>
      </c>
      <c r="T183" s="104" t="str">
        <f>IF('Employee Master'!B183="","",MIN(S183*2,10))</f>
        <v/>
      </c>
      <c r="U183" s="108" t="str">
        <f>IF('Employee Master'!B183="","",3)</f>
        <v/>
      </c>
      <c r="V183" s="104" t="str">
        <f>IF('Employee Master'!B183="","",MIN(U183*2,10))</f>
        <v/>
      </c>
      <c r="W183" s="108" t="str">
        <f>IF('Employee Master'!B183="","",3)</f>
        <v/>
      </c>
      <c r="X183" s="104" t="str">
        <f>IF('Employee Master'!B183="","",MIN(W183*2,10))</f>
        <v/>
      </c>
      <c r="Y183" s="108" t="str">
        <f>IF('Employee Master'!B183="","",3)</f>
        <v/>
      </c>
      <c r="Z183" s="104" t="str">
        <f>IF('Employee Master'!B183="","",MIN(Y183*2,10))</f>
        <v/>
      </c>
      <c r="AA183" s="109" t="str">
        <f>IF('Employee Master'!B183="","",T183+V183+X183+Z183)</f>
        <v/>
      </c>
      <c r="AB183" s="110" t="str">
        <f>IF('Employee Master'!B183="","",R183+AA183)</f>
        <v/>
      </c>
      <c r="AC183" s="27" t="str">
        <f>IF('Employee Master'!B183="","",IF(AB183&gt;=85,"Exceptional",IF(AB183&gt;=70,"High Performer",IF(AB183&gt;=50,"Meets Expectations",IF(AB183&gt;=30,"Below Expectations","Underperformer")))))</f>
        <v/>
      </c>
      <c r="AD183" s="51" t="str">
        <f>IF('Employee Master'!B183="","",'Employee Master'!M183)</f>
        <v/>
      </c>
      <c r="AE183" s="52" t="str">
        <f>IF('Employee Master'!B183="","",IF(AB183&gt;=85,Settings!B31,IF(AB183&gt;=70,Settings!B32,IF(AB183&gt;=50,Settings!B33,IF(AB183&gt;=30,Settings!B34,Settings!B35)))))</f>
        <v/>
      </c>
      <c r="AF183" s="51" t="str">
        <f>IF('Employee Master'!B183="","",AD183*(1+AE183))</f>
        <v/>
      </c>
      <c r="AG183" s="51" t="str">
        <f>IF('Employee Master'!B183="","",AF183-AD183)</f>
        <v/>
      </c>
      <c r="AH183" s="51" t="str">
        <f>IF('Employee Master'!B183="","",AG183*12)</f>
        <v/>
      </c>
    </row>
    <row r="184" spans="1:34" ht="15" customHeight="1" x14ac:dyDescent="0.2">
      <c r="A184" s="27" t="str">
        <f>IF('Employee Master'!B184="","",ROW()-3)</f>
        <v/>
      </c>
      <c r="B184" s="27" t="str">
        <f>IF('Employee Master'!B184="","",'Employee Master'!C184)</f>
        <v/>
      </c>
      <c r="C184" s="27" t="str">
        <f>IF('Employee Master'!B184="","",'Employee Master'!D184)</f>
        <v/>
      </c>
      <c r="D184" s="27" t="str">
        <f>IF('Employee Master'!B184="","",'Employee Master'!E184)</f>
        <v/>
      </c>
      <c r="E184" s="27" t="str">
        <f>IF('Employee Master'!B184="","",'Employee Master'!G184)</f>
        <v/>
      </c>
      <c r="F184" s="51" t="str">
        <f>IF('Employee Master'!B184="","",'⑥ Annual Performance'!R184)</f>
        <v/>
      </c>
      <c r="G184" s="103" t="str">
        <f>IF('Employee Master'!B184="","",'⑥ Annual Performance'!J184)</f>
        <v/>
      </c>
      <c r="H184" s="104" t="str">
        <f>IF('Employee Master'!B184="","",IF(G184&gt;=0.85,15,IF(G184&gt;=0.7,12,IF(G184&gt;=0.55,9,IF(G184&gt;=0.4,6,3)))))</f>
        <v/>
      </c>
      <c r="I184" s="103" t="str">
        <f>IF('Employee Master'!B184="","",'⑥ Annual Performance'!Q184)</f>
        <v/>
      </c>
      <c r="J184" s="104" t="str">
        <f>IF('Employee Master'!B184="","",IF(I184&gt;=0.98,10,IF(I184&gt;=0.95,8,IF(I184&gt;=0.9,6,IF(I184&gt;=0.85,4,2)))))</f>
        <v/>
      </c>
      <c r="K184" s="105" t="str">
        <f>IF('Employee Master'!B184="","",'⑥ Annual Performance'!N184)</f>
        <v/>
      </c>
      <c r="L184" s="104" t="str">
        <f>IF('Employee Master'!B184="","",IF(K184&gt;=1000,10,IF(K184&gt;=750,8,IF(K184&gt;=500,6,IF(K184&gt;=250,4,2)))))</f>
        <v/>
      </c>
      <c r="M184" s="105" t="str">
        <f>IF('Employee Master'!B184="","",'⑥ Annual Performance'!K184)</f>
        <v/>
      </c>
      <c r="N184" s="106" t="str">
        <f>IF('Employee Master'!B184="","",'⑥ Annual Performance'!L184)</f>
        <v/>
      </c>
      <c r="O184" s="104" t="str">
        <f>IF('Employee Master'!B184="","",MIN(N184*2,10))</f>
        <v/>
      </c>
      <c r="P184" s="104" t="str">
        <f>IF('Employee Master'!B184="","",IF(F184&gt;=36,5,IF(F184&gt;=24,4,IF(F184&gt;=12,3,IF(F184&gt;=6,2,1)))))</f>
        <v/>
      </c>
      <c r="Q184" s="104" t="str">
        <f>IF('Employee Master'!B184="","",IF(D184="Sr. Controller",10,IF(D184="Coo",10,IF(D184="Controller",9,IF(D184="Asst. Controller",8,IF(D184="Sr. Manager",8,IF(D184="Manager",7,IF(D184="Asst. Manager",6,IF(D184="Team Lead",7,IF(D184="Asst. Team Lead",5,IF(D184="Sr. Associate",4,IF(D184="Associate",3,IF(D184="Full Stack Developer",5,IF(D184="Project Manager (S/W)",6,IF(D184="Marketing",4,4)))))))))))))))</f>
        <v/>
      </c>
      <c r="R184" s="107" t="str">
        <f>IF('Employee Master'!B184="","",H184+J184+L184+O184+P184+Q184)</f>
        <v/>
      </c>
      <c r="S184" s="108" t="str">
        <f>IF('Employee Master'!B184="","",3)</f>
        <v/>
      </c>
      <c r="T184" s="104" t="str">
        <f>IF('Employee Master'!B184="","",MIN(S184*2,10))</f>
        <v/>
      </c>
      <c r="U184" s="108" t="str">
        <f>IF('Employee Master'!B184="","",3)</f>
        <v/>
      </c>
      <c r="V184" s="104" t="str">
        <f>IF('Employee Master'!B184="","",MIN(U184*2,10))</f>
        <v/>
      </c>
      <c r="W184" s="108" t="str">
        <f>IF('Employee Master'!B184="","",3)</f>
        <v/>
      </c>
      <c r="X184" s="104" t="str">
        <f>IF('Employee Master'!B184="","",MIN(W184*2,10))</f>
        <v/>
      </c>
      <c r="Y184" s="108" t="str">
        <f>IF('Employee Master'!B184="","",3)</f>
        <v/>
      </c>
      <c r="Z184" s="104" t="str">
        <f>IF('Employee Master'!B184="","",MIN(Y184*2,10))</f>
        <v/>
      </c>
      <c r="AA184" s="109" t="str">
        <f>IF('Employee Master'!B184="","",T184+V184+X184+Z184)</f>
        <v/>
      </c>
      <c r="AB184" s="110" t="str">
        <f>IF('Employee Master'!B184="","",R184+AA184)</f>
        <v/>
      </c>
      <c r="AC184" s="27" t="str">
        <f>IF('Employee Master'!B184="","",IF(AB184&gt;=85,"Exceptional",IF(AB184&gt;=70,"High Performer",IF(AB184&gt;=50,"Meets Expectations",IF(AB184&gt;=30,"Below Expectations","Underperformer")))))</f>
        <v/>
      </c>
      <c r="AD184" s="51" t="str">
        <f>IF('Employee Master'!B184="","",'Employee Master'!M184)</f>
        <v/>
      </c>
      <c r="AE184" s="52" t="str">
        <f>IF('Employee Master'!B184="","",IF(AB184&gt;=85,Settings!B31,IF(AB184&gt;=70,Settings!B32,IF(AB184&gt;=50,Settings!B33,IF(AB184&gt;=30,Settings!B34,Settings!B35)))))</f>
        <v/>
      </c>
      <c r="AF184" s="51" t="str">
        <f>IF('Employee Master'!B184="","",AD184*(1+AE184))</f>
        <v/>
      </c>
      <c r="AG184" s="51" t="str">
        <f>IF('Employee Master'!B184="","",AF184-AD184)</f>
        <v/>
      </c>
      <c r="AH184" s="51" t="str">
        <f>IF('Employee Master'!B184="","",AG184*12)</f>
        <v/>
      </c>
    </row>
    <row r="185" spans="1:34" ht="15" customHeight="1" x14ac:dyDescent="0.2">
      <c r="A185" s="27" t="str">
        <f>IF('Employee Master'!B185="","",ROW()-3)</f>
        <v/>
      </c>
      <c r="B185" s="27" t="str">
        <f>IF('Employee Master'!B185="","",'Employee Master'!C185)</f>
        <v/>
      </c>
      <c r="C185" s="27" t="str">
        <f>IF('Employee Master'!B185="","",'Employee Master'!D185)</f>
        <v/>
      </c>
      <c r="D185" s="27" t="str">
        <f>IF('Employee Master'!B185="","",'Employee Master'!E185)</f>
        <v/>
      </c>
      <c r="E185" s="27" t="str">
        <f>IF('Employee Master'!B185="","",'Employee Master'!G185)</f>
        <v/>
      </c>
      <c r="F185" s="51" t="str">
        <f>IF('Employee Master'!B185="","",'⑥ Annual Performance'!R185)</f>
        <v/>
      </c>
      <c r="G185" s="103" t="str">
        <f>IF('Employee Master'!B185="","",'⑥ Annual Performance'!J185)</f>
        <v/>
      </c>
      <c r="H185" s="104" t="str">
        <f>IF('Employee Master'!B185="","",IF(G185&gt;=0.85,15,IF(G185&gt;=0.7,12,IF(G185&gt;=0.55,9,IF(G185&gt;=0.4,6,3)))))</f>
        <v/>
      </c>
      <c r="I185" s="103" t="str">
        <f>IF('Employee Master'!B185="","",'⑥ Annual Performance'!Q185)</f>
        <v/>
      </c>
      <c r="J185" s="104" t="str">
        <f>IF('Employee Master'!B185="","",IF(I185&gt;=0.98,10,IF(I185&gt;=0.95,8,IF(I185&gt;=0.9,6,IF(I185&gt;=0.85,4,2)))))</f>
        <v/>
      </c>
      <c r="K185" s="105" t="str">
        <f>IF('Employee Master'!B185="","",'⑥ Annual Performance'!N185)</f>
        <v/>
      </c>
      <c r="L185" s="104" t="str">
        <f>IF('Employee Master'!B185="","",IF(K185&gt;=1000,10,IF(K185&gt;=750,8,IF(K185&gt;=500,6,IF(K185&gt;=250,4,2)))))</f>
        <v/>
      </c>
      <c r="M185" s="105" t="str">
        <f>IF('Employee Master'!B185="","",'⑥ Annual Performance'!K185)</f>
        <v/>
      </c>
      <c r="N185" s="106" t="str">
        <f>IF('Employee Master'!B185="","",'⑥ Annual Performance'!L185)</f>
        <v/>
      </c>
      <c r="O185" s="104" t="str">
        <f>IF('Employee Master'!B185="","",MIN(N185*2,10))</f>
        <v/>
      </c>
      <c r="P185" s="104" t="str">
        <f>IF('Employee Master'!B185="","",IF(F185&gt;=36,5,IF(F185&gt;=24,4,IF(F185&gt;=12,3,IF(F185&gt;=6,2,1)))))</f>
        <v/>
      </c>
      <c r="Q185" s="104" t="str">
        <f>IF('Employee Master'!B185="","",IF(D185="Sr. Controller",10,IF(D185="Coo",10,IF(D185="Controller",9,IF(D185="Asst. Controller",8,IF(D185="Sr. Manager",8,IF(D185="Manager",7,IF(D185="Asst. Manager",6,IF(D185="Team Lead",7,IF(D185="Asst. Team Lead",5,IF(D185="Sr. Associate",4,IF(D185="Associate",3,IF(D185="Full Stack Developer",5,IF(D185="Project Manager (S/W)",6,IF(D185="Marketing",4,4)))))))))))))))</f>
        <v/>
      </c>
      <c r="R185" s="107" t="str">
        <f>IF('Employee Master'!B185="","",H185+J185+L185+O185+P185+Q185)</f>
        <v/>
      </c>
      <c r="S185" s="108" t="str">
        <f>IF('Employee Master'!B185="","",3)</f>
        <v/>
      </c>
      <c r="T185" s="104" t="str">
        <f>IF('Employee Master'!B185="","",MIN(S185*2,10))</f>
        <v/>
      </c>
      <c r="U185" s="108" t="str">
        <f>IF('Employee Master'!B185="","",3)</f>
        <v/>
      </c>
      <c r="V185" s="104" t="str">
        <f>IF('Employee Master'!B185="","",MIN(U185*2,10))</f>
        <v/>
      </c>
      <c r="W185" s="108" t="str">
        <f>IF('Employee Master'!B185="","",3)</f>
        <v/>
      </c>
      <c r="X185" s="104" t="str">
        <f>IF('Employee Master'!B185="","",MIN(W185*2,10))</f>
        <v/>
      </c>
      <c r="Y185" s="108" t="str">
        <f>IF('Employee Master'!B185="","",3)</f>
        <v/>
      </c>
      <c r="Z185" s="104" t="str">
        <f>IF('Employee Master'!B185="","",MIN(Y185*2,10))</f>
        <v/>
      </c>
      <c r="AA185" s="109" t="str">
        <f>IF('Employee Master'!B185="","",T185+V185+X185+Z185)</f>
        <v/>
      </c>
      <c r="AB185" s="110" t="str">
        <f>IF('Employee Master'!B185="","",R185+AA185)</f>
        <v/>
      </c>
      <c r="AC185" s="27" t="str">
        <f>IF('Employee Master'!B185="","",IF(AB185&gt;=85,"Exceptional",IF(AB185&gt;=70,"High Performer",IF(AB185&gt;=50,"Meets Expectations",IF(AB185&gt;=30,"Below Expectations","Underperformer")))))</f>
        <v/>
      </c>
      <c r="AD185" s="51" t="str">
        <f>IF('Employee Master'!B185="","",'Employee Master'!M185)</f>
        <v/>
      </c>
      <c r="AE185" s="52" t="str">
        <f>IF('Employee Master'!B185="","",IF(AB185&gt;=85,Settings!B31,IF(AB185&gt;=70,Settings!B32,IF(AB185&gt;=50,Settings!B33,IF(AB185&gt;=30,Settings!B34,Settings!B35)))))</f>
        <v/>
      </c>
      <c r="AF185" s="51" t="str">
        <f>IF('Employee Master'!B185="","",AD185*(1+AE185))</f>
        <v/>
      </c>
      <c r="AG185" s="51" t="str">
        <f>IF('Employee Master'!B185="","",AF185-AD185)</f>
        <v/>
      </c>
      <c r="AH185" s="51" t="str">
        <f>IF('Employee Master'!B185="","",AG185*12)</f>
        <v/>
      </c>
    </row>
    <row r="186" spans="1:34" ht="15" customHeight="1" x14ac:dyDescent="0.2">
      <c r="A186" s="27" t="str">
        <f>IF('Employee Master'!B186="","",ROW()-3)</f>
        <v/>
      </c>
      <c r="B186" s="27" t="str">
        <f>IF('Employee Master'!B186="","",'Employee Master'!C186)</f>
        <v/>
      </c>
      <c r="C186" s="27" t="str">
        <f>IF('Employee Master'!B186="","",'Employee Master'!D186)</f>
        <v/>
      </c>
      <c r="D186" s="27" t="str">
        <f>IF('Employee Master'!B186="","",'Employee Master'!E186)</f>
        <v/>
      </c>
      <c r="E186" s="27" t="str">
        <f>IF('Employee Master'!B186="","",'Employee Master'!G186)</f>
        <v/>
      </c>
      <c r="F186" s="51" t="str">
        <f>IF('Employee Master'!B186="","",'⑥ Annual Performance'!R186)</f>
        <v/>
      </c>
      <c r="G186" s="103" t="str">
        <f>IF('Employee Master'!B186="","",'⑥ Annual Performance'!J186)</f>
        <v/>
      </c>
      <c r="H186" s="104" t="str">
        <f>IF('Employee Master'!B186="","",IF(G186&gt;=0.85,15,IF(G186&gt;=0.7,12,IF(G186&gt;=0.55,9,IF(G186&gt;=0.4,6,3)))))</f>
        <v/>
      </c>
      <c r="I186" s="103" t="str">
        <f>IF('Employee Master'!B186="","",'⑥ Annual Performance'!Q186)</f>
        <v/>
      </c>
      <c r="J186" s="104" t="str">
        <f>IF('Employee Master'!B186="","",IF(I186&gt;=0.98,10,IF(I186&gt;=0.95,8,IF(I186&gt;=0.9,6,IF(I186&gt;=0.85,4,2)))))</f>
        <v/>
      </c>
      <c r="K186" s="105" t="str">
        <f>IF('Employee Master'!B186="","",'⑥ Annual Performance'!N186)</f>
        <v/>
      </c>
      <c r="L186" s="104" t="str">
        <f>IF('Employee Master'!B186="","",IF(K186&gt;=1000,10,IF(K186&gt;=750,8,IF(K186&gt;=500,6,IF(K186&gt;=250,4,2)))))</f>
        <v/>
      </c>
      <c r="M186" s="105" t="str">
        <f>IF('Employee Master'!B186="","",'⑥ Annual Performance'!K186)</f>
        <v/>
      </c>
      <c r="N186" s="106" t="str">
        <f>IF('Employee Master'!B186="","",'⑥ Annual Performance'!L186)</f>
        <v/>
      </c>
      <c r="O186" s="104" t="str">
        <f>IF('Employee Master'!B186="","",MIN(N186*2,10))</f>
        <v/>
      </c>
      <c r="P186" s="104" t="str">
        <f>IF('Employee Master'!B186="","",IF(F186&gt;=36,5,IF(F186&gt;=24,4,IF(F186&gt;=12,3,IF(F186&gt;=6,2,1)))))</f>
        <v/>
      </c>
      <c r="Q186" s="104" t="str">
        <f>IF('Employee Master'!B186="","",IF(D186="Sr. Controller",10,IF(D186="Coo",10,IF(D186="Controller",9,IF(D186="Asst. Controller",8,IF(D186="Sr. Manager",8,IF(D186="Manager",7,IF(D186="Asst. Manager",6,IF(D186="Team Lead",7,IF(D186="Asst. Team Lead",5,IF(D186="Sr. Associate",4,IF(D186="Associate",3,IF(D186="Full Stack Developer",5,IF(D186="Project Manager (S/W)",6,IF(D186="Marketing",4,4)))))))))))))))</f>
        <v/>
      </c>
      <c r="R186" s="107" t="str">
        <f>IF('Employee Master'!B186="","",H186+J186+L186+O186+P186+Q186)</f>
        <v/>
      </c>
      <c r="S186" s="108" t="str">
        <f>IF('Employee Master'!B186="","",3)</f>
        <v/>
      </c>
      <c r="T186" s="104" t="str">
        <f>IF('Employee Master'!B186="","",MIN(S186*2,10))</f>
        <v/>
      </c>
      <c r="U186" s="108" t="str">
        <f>IF('Employee Master'!B186="","",3)</f>
        <v/>
      </c>
      <c r="V186" s="104" t="str">
        <f>IF('Employee Master'!B186="","",MIN(U186*2,10))</f>
        <v/>
      </c>
      <c r="W186" s="108" t="str">
        <f>IF('Employee Master'!B186="","",3)</f>
        <v/>
      </c>
      <c r="X186" s="104" t="str">
        <f>IF('Employee Master'!B186="","",MIN(W186*2,10))</f>
        <v/>
      </c>
      <c r="Y186" s="108" t="str">
        <f>IF('Employee Master'!B186="","",3)</f>
        <v/>
      </c>
      <c r="Z186" s="104" t="str">
        <f>IF('Employee Master'!B186="","",MIN(Y186*2,10))</f>
        <v/>
      </c>
      <c r="AA186" s="109" t="str">
        <f>IF('Employee Master'!B186="","",T186+V186+X186+Z186)</f>
        <v/>
      </c>
      <c r="AB186" s="110" t="str">
        <f>IF('Employee Master'!B186="","",R186+AA186)</f>
        <v/>
      </c>
      <c r="AC186" s="27" t="str">
        <f>IF('Employee Master'!B186="","",IF(AB186&gt;=85,"Exceptional",IF(AB186&gt;=70,"High Performer",IF(AB186&gt;=50,"Meets Expectations",IF(AB186&gt;=30,"Below Expectations","Underperformer")))))</f>
        <v/>
      </c>
      <c r="AD186" s="51" t="str">
        <f>IF('Employee Master'!B186="","",'Employee Master'!M186)</f>
        <v/>
      </c>
      <c r="AE186" s="52" t="str">
        <f>IF('Employee Master'!B186="","",IF(AB186&gt;=85,Settings!B31,IF(AB186&gt;=70,Settings!B32,IF(AB186&gt;=50,Settings!B33,IF(AB186&gt;=30,Settings!B34,Settings!B35)))))</f>
        <v/>
      </c>
      <c r="AF186" s="51" t="str">
        <f>IF('Employee Master'!B186="","",AD186*(1+AE186))</f>
        <v/>
      </c>
      <c r="AG186" s="51" t="str">
        <f>IF('Employee Master'!B186="","",AF186-AD186)</f>
        <v/>
      </c>
      <c r="AH186" s="51" t="str">
        <f>IF('Employee Master'!B186="","",AG186*12)</f>
        <v/>
      </c>
    </row>
    <row r="187" spans="1:34" ht="15" customHeight="1" x14ac:dyDescent="0.2">
      <c r="A187" s="27" t="str">
        <f>IF('Employee Master'!B187="","",ROW()-3)</f>
        <v/>
      </c>
      <c r="B187" s="27" t="str">
        <f>IF('Employee Master'!B187="","",'Employee Master'!C187)</f>
        <v/>
      </c>
      <c r="C187" s="27" t="str">
        <f>IF('Employee Master'!B187="","",'Employee Master'!D187)</f>
        <v/>
      </c>
      <c r="D187" s="27" t="str">
        <f>IF('Employee Master'!B187="","",'Employee Master'!E187)</f>
        <v/>
      </c>
      <c r="E187" s="27" t="str">
        <f>IF('Employee Master'!B187="","",'Employee Master'!G187)</f>
        <v/>
      </c>
      <c r="F187" s="51" t="str">
        <f>IF('Employee Master'!B187="","",'⑥ Annual Performance'!R187)</f>
        <v/>
      </c>
      <c r="G187" s="103" t="str">
        <f>IF('Employee Master'!B187="","",'⑥ Annual Performance'!J187)</f>
        <v/>
      </c>
      <c r="H187" s="104" t="str">
        <f>IF('Employee Master'!B187="","",IF(G187&gt;=0.85,15,IF(G187&gt;=0.7,12,IF(G187&gt;=0.55,9,IF(G187&gt;=0.4,6,3)))))</f>
        <v/>
      </c>
      <c r="I187" s="103" t="str">
        <f>IF('Employee Master'!B187="","",'⑥ Annual Performance'!Q187)</f>
        <v/>
      </c>
      <c r="J187" s="104" t="str">
        <f>IF('Employee Master'!B187="","",IF(I187&gt;=0.98,10,IF(I187&gt;=0.95,8,IF(I187&gt;=0.9,6,IF(I187&gt;=0.85,4,2)))))</f>
        <v/>
      </c>
      <c r="K187" s="105" t="str">
        <f>IF('Employee Master'!B187="","",'⑥ Annual Performance'!N187)</f>
        <v/>
      </c>
      <c r="L187" s="104" t="str">
        <f>IF('Employee Master'!B187="","",IF(K187&gt;=1000,10,IF(K187&gt;=750,8,IF(K187&gt;=500,6,IF(K187&gt;=250,4,2)))))</f>
        <v/>
      </c>
      <c r="M187" s="105" t="str">
        <f>IF('Employee Master'!B187="","",'⑥ Annual Performance'!K187)</f>
        <v/>
      </c>
      <c r="N187" s="106" t="str">
        <f>IF('Employee Master'!B187="","",'⑥ Annual Performance'!L187)</f>
        <v/>
      </c>
      <c r="O187" s="104" t="str">
        <f>IF('Employee Master'!B187="","",MIN(N187*2,10))</f>
        <v/>
      </c>
      <c r="P187" s="104" t="str">
        <f>IF('Employee Master'!B187="","",IF(F187&gt;=36,5,IF(F187&gt;=24,4,IF(F187&gt;=12,3,IF(F187&gt;=6,2,1)))))</f>
        <v/>
      </c>
      <c r="Q187" s="104" t="str">
        <f>IF('Employee Master'!B187="","",IF(D187="Sr. Controller",10,IF(D187="Coo",10,IF(D187="Controller",9,IF(D187="Asst. Controller",8,IF(D187="Sr. Manager",8,IF(D187="Manager",7,IF(D187="Asst. Manager",6,IF(D187="Team Lead",7,IF(D187="Asst. Team Lead",5,IF(D187="Sr. Associate",4,IF(D187="Associate",3,IF(D187="Full Stack Developer",5,IF(D187="Project Manager (S/W)",6,IF(D187="Marketing",4,4)))))))))))))))</f>
        <v/>
      </c>
      <c r="R187" s="107" t="str">
        <f>IF('Employee Master'!B187="","",H187+J187+L187+O187+P187+Q187)</f>
        <v/>
      </c>
      <c r="S187" s="108" t="str">
        <f>IF('Employee Master'!B187="","",3)</f>
        <v/>
      </c>
      <c r="T187" s="104" t="str">
        <f>IF('Employee Master'!B187="","",MIN(S187*2,10))</f>
        <v/>
      </c>
      <c r="U187" s="108" t="str">
        <f>IF('Employee Master'!B187="","",3)</f>
        <v/>
      </c>
      <c r="V187" s="104" t="str">
        <f>IF('Employee Master'!B187="","",MIN(U187*2,10))</f>
        <v/>
      </c>
      <c r="W187" s="108" t="str">
        <f>IF('Employee Master'!B187="","",3)</f>
        <v/>
      </c>
      <c r="X187" s="104" t="str">
        <f>IF('Employee Master'!B187="","",MIN(W187*2,10))</f>
        <v/>
      </c>
      <c r="Y187" s="108" t="str">
        <f>IF('Employee Master'!B187="","",3)</f>
        <v/>
      </c>
      <c r="Z187" s="104" t="str">
        <f>IF('Employee Master'!B187="","",MIN(Y187*2,10))</f>
        <v/>
      </c>
      <c r="AA187" s="109" t="str">
        <f>IF('Employee Master'!B187="","",T187+V187+X187+Z187)</f>
        <v/>
      </c>
      <c r="AB187" s="110" t="str">
        <f>IF('Employee Master'!B187="","",R187+AA187)</f>
        <v/>
      </c>
      <c r="AC187" s="27" t="str">
        <f>IF('Employee Master'!B187="","",IF(AB187&gt;=85,"Exceptional",IF(AB187&gt;=70,"High Performer",IF(AB187&gt;=50,"Meets Expectations",IF(AB187&gt;=30,"Below Expectations","Underperformer")))))</f>
        <v/>
      </c>
      <c r="AD187" s="51" t="str">
        <f>IF('Employee Master'!B187="","",'Employee Master'!M187)</f>
        <v/>
      </c>
      <c r="AE187" s="52" t="str">
        <f>IF('Employee Master'!B187="","",IF(AB187&gt;=85,Settings!B31,IF(AB187&gt;=70,Settings!B32,IF(AB187&gt;=50,Settings!B33,IF(AB187&gt;=30,Settings!B34,Settings!B35)))))</f>
        <v/>
      </c>
      <c r="AF187" s="51" t="str">
        <f>IF('Employee Master'!B187="","",AD187*(1+AE187))</f>
        <v/>
      </c>
      <c r="AG187" s="51" t="str">
        <f>IF('Employee Master'!B187="","",AF187-AD187)</f>
        <v/>
      </c>
      <c r="AH187" s="51" t="str">
        <f>IF('Employee Master'!B187="","",AG187*12)</f>
        <v/>
      </c>
    </row>
    <row r="188" spans="1:34" ht="15" customHeight="1" x14ac:dyDescent="0.2">
      <c r="A188" s="27" t="str">
        <f>IF('Employee Master'!B188="","",ROW()-3)</f>
        <v/>
      </c>
      <c r="B188" s="27" t="str">
        <f>IF('Employee Master'!B188="","",'Employee Master'!C188)</f>
        <v/>
      </c>
      <c r="C188" s="27" t="str">
        <f>IF('Employee Master'!B188="","",'Employee Master'!D188)</f>
        <v/>
      </c>
      <c r="D188" s="27" t="str">
        <f>IF('Employee Master'!B188="","",'Employee Master'!E188)</f>
        <v/>
      </c>
      <c r="E188" s="27" t="str">
        <f>IF('Employee Master'!B188="","",'Employee Master'!G188)</f>
        <v/>
      </c>
      <c r="F188" s="51" t="str">
        <f>IF('Employee Master'!B188="","",'⑥ Annual Performance'!R188)</f>
        <v/>
      </c>
      <c r="G188" s="103" t="str">
        <f>IF('Employee Master'!B188="","",'⑥ Annual Performance'!J188)</f>
        <v/>
      </c>
      <c r="H188" s="104" t="str">
        <f>IF('Employee Master'!B188="","",IF(G188&gt;=0.85,15,IF(G188&gt;=0.7,12,IF(G188&gt;=0.55,9,IF(G188&gt;=0.4,6,3)))))</f>
        <v/>
      </c>
      <c r="I188" s="103" t="str">
        <f>IF('Employee Master'!B188="","",'⑥ Annual Performance'!Q188)</f>
        <v/>
      </c>
      <c r="J188" s="104" t="str">
        <f>IF('Employee Master'!B188="","",IF(I188&gt;=0.98,10,IF(I188&gt;=0.95,8,IF(I188&gt;=0.9,6,IF(I188&gt;=0.85,4,2)))))</f>
        <v/>
      </c>
      <c r="K188" s="105" t="str">
        <f>IF('Employee Master'!B188="","",'⑥ Annual Performance'!N188)</f>
        <v/>
      </c>
      <c r="L188" s="104" t="str">
        <f>IF('Employee Master'!B188="","",IF(K188&gt;=1000,10,IF(K188&gt;=750,8,IF(K188&gt;=500,6,IF(K188&gt;=250,4,2)))))</f>
        <v/>
      </c>
      <c r="M188" s="105" t="str">
        <f>IF('Employee Master'!B188="","",'⑥ Annual Performance'!K188)</f>
        <v/>
      </c>
      <c r="N188" s="106" t="str">
        <f>IF('Employee Master'!B188="","",'⑥ Annual Performance'!L188)</f>
        <v/>
      </c>
      <c r="O188" s="104" t="str">
        <f>IF('Employee Master'!B188="","",MIN(N188*2,10))</f>
        <v/>
      </c>
      <c r="P188" s="104" t="str">
        <f>IF('Employee Master'!B188="","",IF(F188&gt;=36,5,IF(F188&gt;=24,4,IF(F188&gt;=12,3,IF(F188&gt;=6,2,1)))))</f>
        <v/>
      </c>
      <c r="Q188" s="104" t="str">
        <f>IF('Employee Master'!B188="","",IF(D188="Sr. Controller",10,IF(D188="Coo",10,IF(D188="Controller",9,IF(D188="Asst. Controller",8,IF(D188="Sr. Manager",8,IF(D188="Manager",7,IF(D188="Asst. Manager",6,IF(D188="Team Lead",7,IF(D188="Asst. Team Lead",5,IF(D188="Sr. Associate",4,IF(D188="Associate",3,IF(D188="Full Stack Developer",5,IF(D188="Project Manager (S/W)",6,IF(D188="Marketing",4,4)))))))))))))))</f>
        <v/>
      </c>
      <c r="R188" s="107" t="str">
        <f>IF('Employee Master'!B188="","",H188+J188+L188+O188+P188+Q188)</f>
        <v/>
      </c>
      <c r="S188" s="108" t="str">
        <f>IF('Employee Master'!B188="","",3)</f>
        <v/>
      </c>
      <c r="T188" s="104" t="str">
        <f>IF('Employee Master'!B188="","",MIN(S188*2,10))</f>
        <v/>
      </c>
      <c r="U188" s="108" t="str">
        <f>IF('Employee Master'!B188="","",3)</f>
        <v/>
      </c>
      <c r="V188" s="104" t="str">
        <f>IF('Employee Master'!B188="","",MIN(U188*2,10))</f>
        <v/>
      </c>
      <c r="W188" s="108" t="str">
        <f>IF('Employee Master'!B188="","",3)</f>
        <v/>
      </c>
      <c r="X188" s="104" t="str">
        <f>IF('Employee Master'!B188="","",MIN(W188*2,10))</f>
        <v/>
      </c>
      <c r="Y188" s="108" t="str">
        <f>IF('Employee Master'!B188="","",3)</f>
        <v/>
      </c>
      <c r="Z188" s="104" t="str">
        <f>IF('Employee Master'!B188="","",MIN(Y188*2,10))</f>
        <v/>
      </c>
      <c r="AA188" s="109" t="str">
        <f>IF('Employee Master'!B188="","",T188+V188+X188+Z188)</f>
        <v/>
      </c>
      <c r="AB188" s="110" t="str">
        <f>IF('Employee Master'!B188="","",R188+AA188)</f>
        <v/>
      </c>
      <c r="AC188" s="27" t="str">
        <f>IF('Employee Master'!B188="","",IF(AB188&gt;=85,"Exceptional",IF(AB188&gt;=70,"High Performer",IF(AB188&gt;=50,"Meets Expectations",IF(AB188&gt;=30,"Below Expectations","Underperformer")))))</f>
        <v/>
      </c>
      <c r="AD188" s="51" t="str">
        <f>IF('Employee Master'!B188="","",'Employee Master'!M188)</f>
        <v/>
      </c>
      <c r="AE188" s="52" t="str">
        <f>IF('Employee Master'!B188="","",IF(AB188&gt;=85,Settings!B31,IF(AB188&gt;=70,Settings!B32,IF(AB188&gt;=50,Settings!B33,IF(AB188&gt;=30,Settings!B34,Settings!B35)))))</f>
        <v/>
      </c>
      <c r="AF188" s="51" t="str">
        <f>IF('Employee Master'!B188="","",AD188*(1+AE188))</f>
        <v/>
      </c>
      <c r="AG188" s="51" t="str">
        <f>IF('Employee Master'!B188="","",AF188-AD188)</f>
        <v/>
      </c>
      <c r="AH188" s="51" t="str">
        <f>IF('Employee Master'!B188="","",AG188*12)</f>
        <v/>
      </c>
    </row>
    <row r="189" spans="1:34" ht="15" customHeight="1" x14ac:dyDescent="0.2">
      <c r="A189" s="27" t="str">
        <f>IF('Employee Master'!B189="","",ROW()-3)</f>
        <v/>
      </c>
      <c r="B189" s="27" t="str">
        <f>IF('Employee Master'!B189="","",'Employee Master'!C189)</f>
        <v/>
      </c>
      <c r="C189" s="27" t="str">
        <f>IF('Employee Master'!B189="","",'Employee Master'!D189)</f>
        <v/>
      </c>
      <c r="D189" s="27" t="str">
        <f>IF('Employee Master'!B189="","",'Employee Master'!E189)</f>
        <v/>
      </c>
      <c r="E189" s="27" t="str">
        <f>IF('Employee Master'!B189="","",'Employee Master'!G189)</f>
        <v/>
      </c>
      <c r="F189" s="51" t="str">
        <f>IF('Employee Master'!B189="","",'⑥ Annual Performance'!R189)</f>
        <v/>
      </c>
      <c r="G189" s="103" t="str">
        <f>IF('Employee Master'!B189="","",'⑥ Annual Performance'!J189)</f>
        <v/>
      </c>
      <c r="H189" s="104" t="str">
        <f>IF('Employee Master'!B189="","",IF(G189&gt;=0.85,15,IF(G189&gt;=0.7,12,IF(G189&gt;=0.55,9,IF(G189&gt;=0.4,6,3)))))</f>
        <v/>
      </c>
      <c r="I189" s="103" t="str">
        <f>IF('Employee Master'!B189="","",'⑥ Annual Performance'!Q189)</f>
        <v/>
      </c>
      <c r="J189" s="104" t="str">
        <f>IF('Employee Master'!B189="","",IF(I189&gt;=0.98,10,IF(I189&gt;=0.95,8,IF(I189&gt;=0.9,6,IF(I189&gt;=0.85,4,2)))))</f>
        <v/>
      </c>
      <c r="K189" s="105" t="str">
        <f>IF('Employee Master'!B189="","",'⑥ Annual Performance'!N189)</f>
        <v/>
      </c>
      <c r="L189" s="104" t="str">
        <f>IF('Employee Master'!B189="","",IF(K189&gt;=1000,10,IF(K189&gt;=750,8,IF(K189&gt;=500,6,IF(K189&gt;=250,4,2)))))</f>
        <v/>
      </c>
      <c r="M189" s="105" t="str">
        <f>IF('Employee Master'!B189="","",'⑥ Annual Performance'!K189)</f>
        <v/>
      </c>
      <c r="N189" s="106" t="str">
        <f>IF('Employee Master'!B189="","",'⑥ Annual Performance'!L189)</f>
        <v/>
      </c>
      <c r="O189" s="104" t="str">
        <f>IF('Employee Master'!B189="","",MIN(N189*2,10))</f>
        <v/>
      </c>
      <c r="P189" s="104" t="str">
        <f>IF('Employee Master'!B189="","",IF(F189&gt;=36,5,IF(F189&gt;=24,4,IF(F189&gt;=12,3,IF(F189&gt;=6,2,1)))))</f>
        <v/>
      </c>
      <c r="Q189" s="104" t="str">
        <f>IF('Employee Master'!B189="","",IF(D189="Sr. Controller",10,IF(D189="Coo",10,IF(D189="Controller",9,IF(D189="Asst. Controller",8,IF(D189="Sr. Manager",8,IF(D189="Manager",7,IF(D189="Asst. Manager",6,IF(D189="Team Lead",7,IF(D189="Asst. Team Lead",5,IF(D189="Sr. Associate",4,IF(D189="Associate",3,IF(D189="Full Stack Developer",5,IF(D189="Project Manager (S/W)",6,IF(D189="Marketing",4,4)))))))))))))))</f>
        <v/>
      </c>
      <c r="R189" s="107" t="str">
        <f>IF('Employee Master'!B189="","",H189+J189+L189+O189+P189+Q189)</f>
        <v/>
      </c>
      <c r="S189" s="108" t="str">
        <f>IF('Employee Master'!B189="","",3)</f>
        <v/>
      </c>
      <c r="T189" s="104" t="str">
        <f>IF('Employee Master'!B189="","",MIN(S189*2,10))</f>
        <v/>
      </c>
      <c r="U189" s="108" t="str">
        <f>IF('Employee Master'!B189="","",3)</f>
        <v/>
      </c>
      <c r="V189" s="104" t="str">
        <f>IF('Employee Master'!B189="","",MIN(U189*2,10))</f>
        <v/>
      </c>
      <c r="W189" s="108" t="str">
        <f>IF('Employee Master'!B189="","",3)</f>
        <v/>
      </c>
      <c r="X189" s="104" t="str">
        <f>IF('Employee Master'!B189="","",MIN(W189*2,10))</f>
        <v/>
      </c>
      <c r="Y189" s="108" t="str">
        <f>IF('Employee Master'!B189="","",3)</f>
        <v/>
      </c>
      <c r="Z189" s="104" t="str">
        <f>IF('Employee Master'!B189="","",MIN(Y189*2,10))</f>
        <v/>
      </c>
      <c r="AA189" s="109" t="str">
        <f>IF('Employee Master'!B189="","",T189+V189+X189+Z189)</f>
        <v/>
      </c>
      <c r="AB189" s="110" t="str">
        <f>IF('Employee Master'!B189="","",R189+AA189)</f>
        <v/>
      </c>
      <c r="AC189" s="27" t="str">
        <f>IF('Employee Master'!B189="","",IF(AB189&gt;=85,"Exceptional",IF(AB189&gt;=70,"High Performer",IF(AB189&gt;=50,"Meets Expectations",IF(AB189&gt;=30,"Below Expectations","Underperformer")))))</f>
        <v/>
      </c>
      <c r="AD189" s="51" t="str">
        <f>IF('Employee Master'!B189="","",'Employee Master'!M189)</f>
        <v/>
      </c>
      <c r="AE189" s="52" t="str">
        <f>IF('Employee Master'!B189="","",IF(AB189&gt;=85,Settings!B31,IF(AB189&gt;=70,Settings!B32,IF(AB189&gt;=50,Settings!B33,IF(AB189&gt;=30,Settings!B34,Settings!B35)))))</f>
        <v/>
      </c>
      <c r="AF189" s="51" t="str">
        <f>IF('Employee Master'!B189="","",AD189*(1+AE189))</f>
        <v/>
      </c>
      <c r="AG189" s="51" t="str">
        <f>IF('Employee Master'!B189="","",AF189-AD189)</f>
        <v/>
      </c>
      <c r="AH189" s="51" t="str">
        <f>IF('Employee Master'!B189="","",AG189*12)</f>
        <v/>
      </c>
    </row>
    <row r="190" spans="1:34" ht="15" customHeight="1" x14ac:dyDescent="0.2">
      <c r="A190" s="27" t="str">
        <f>IF('Employee Master'!B190="","",ROW()-3)</f>
        <v/>
      </c>
      <c r="B190" s="27" t="str">
        <f>IF('Employee Master'!B190="","",'Employee Master'!C190)</f>
        <v/>
      </c>
      <c r="C190" s="27" t="str">
        <f>IF('Employee Master'!B190="","",'Employee Master'!D190)</f>
        <v/>
      </c>
      <c r="D190" s="27" t="str">
        <f>IF('Employee Master'!B190="","",'Employee Master'!E190)</f>
        <v/>
      </c>
      <c r="E190" s="27" t="str">
        <f>IF('Employee Master'!B190="","",'Employee Master'!G190)</f>
        <v/>
      </c>
      <c r="F190" s="51" t="str">
        <f>IF('Employee Master'!B190="","",'⑥ Annual Performance'!R190)</f>
        <v/>
      </c>
      <c r="G190" s="103" t="str">
        <f>IF('Employee Master'!B190="","",'⑥ Annual Performance'!J190)</f>
        <v/>
      </c>
      <c r="H190" s="104" t="str">
        <f>IF('Employee Master'!B190="","",IF(G190&gt;=0.85,15,IF(G190&gt;=0.7,12,IF(G190&gt;=0.55,9,IF(G190&gt;=0.4,6,3)))))</f>
        <v/>
      </c>
      <c r="I190" s="103" t="str">
        <f>IF('Employee Master'!B190="","",'⑥ Annual Performance'!Q190)</f>
        <v/>
      </c>
      <c r="J190" s="104" t="str">
        <f>IF('Employee Master'!B190="","",IF(I190&gt;=0.98,10,IF(I190&gt;=0.95,8,IF(I190&gt;=0.9,6,IF(I190&gt;=0.85,4,2)))))</f>
        <v/>
      </c>
      <c r="K190" s="105" t="str">
        <f>IF('Employee Master'!B190="","",'⑥ Annual Performance'!N190)</f>
        <v/>
      </c>
      <c r="L190" s="104" t="str">
        <f>IF('Employee Master'!B190="","",IF(K190&gt;=1000,10,IF(K190&gt;=750,8,IF(K190&gt;=500,6,IF(K190&gt;=250,4,2)))))</f>
        <v/>
      </c>
      <c r="M190" s="105" t="str">
        <f>IF('Employee Master'!B190="","",'⑥ Annual Performance'!K190)</f>
        <v/>
      </c>
      <c r="N190" s="106" t="str">
        <f>IF('Employee Master'!B190="","",'⑥ Annual Performance'!L190)</f>
        <v/>
      </c>
      <c r="O190" s="104" t="str">
        <f>IF('Employee Master'!B190="","",MIN(N190*2,10))</f>
        <v/>
      </c>
      <c r="P190" s="104" t="str">
        <f>IF('Employee Master'!B190="","",IF(F190&gt;=36,5,IF(F190&gt;=24,4,IF(F190&gt;=12,3,IF(F190&gt;=6,2,1)))))</f>
        <v/>
      </c>
      <c r="Q190" s="104" t="str">
        <f>IF('Employee Master'!B190="","",IF(D190="Sr. Controller",10,IF(D190="Coo",10,IF(D190="Controller",9,IF(D190="Asst. Controller",8,IF(D190="Sr. Manager",8,IF(D190="Manager",7,IF(D190="Asst. Manager",6,IF(D190="Team Lead",7,IF(D190="Asst. Team Lead",5,IF(D190="Sr. Associate",4,IF(D190="Associate",3,IF(D190="Full Stack Developer",5,IF(D190="Project Manager (S/W)",6,IF(D190="Marketing",4,4)))))))))))))))</f>
        <v/>
      </c>
      <c r="R190" s="107" t="str">
        <f>IF('Employee Master'!B190="","",H190+J190+L190+O190+P190+Q190)</f>
        <v/>
      </c>
      <c r="S190" s="108" t="str">
        <f>IF('Employee Master'!B190="","",3)</f>
        <v/>
      </c>
      <c r="T190" s="104" t="str">
        <f>IF('Employee Master'!B190="","",MIN(S190*2,10))</f>
        <v/>
      </c>
      <c r="U190" s="108" t="str">
        <f>IF('Employee Master'!B190="","",3)</f>
        <v/>
      </c>
      <c r="V190" s="104" t="str">
        <f>IF('Employee Master'!B190="","",MIN(U190*2,10))</f>
        <v/>
      </c>
      <c r="W190" s="108" t="str">
        <f>IF('Employee Master'!B190="","",3)</f>
        <v/>
      </c>
      <c r="X190" s="104" t="str">
        <f>IF('Employee Master'!B190="","",MIN(W190*2,10))</f>
        <v/>
      </c>
      <c r="Y190" s="108" t="str">
        <f>IF('Employee Master'!B190="","",3)</f>
        <v/>
      </c>
      <c r="Z190" s="104" t="str">
        <f>IF('Employee Master'!B190="","",MIN(Y190*2,10))</f>
        <v/>
      </c>
      <c r="AA190" s="109" t="str">
        <f>IF('Employee Master'!B190="","",T190+V190+X190+Z190)</f>
        <v/>
      </c>
      <c r="AB190" s="110" t="str">
        <f>IF('Employee Master'!B190="","",R190+AA190)</f>
        <v/>
      </c>
      <c r="AC190" s="27" t="str">
        <f>IF('Employee Master'!B190="","",IF(AB190&gt;=85,"Exceptional",IF(AB190&gt;=70,"High Performer",IF(AB190&gt;=50,"Meets Expectations",IF(AB190&gt;=30,"Below Expectations","Underperformer")))))</f>
        <v/>
      </c>
      <c r="AD190" s="51" t="str">
        <f>IF('Employee Master'!B190="","",'Employee Master'!M190)</f>
        <v/>
      </c>
      <c r="AE190" s="52" t="str">
        <f>IF('Employee Master'!B190="","",IF(AB190&gt;=85,Settings!B31,IF(AB190&gt;=70,Settings!B32,IF(AB190&gt;=50,Settings!B33,IF(AB190&gt;=30,Settings!B34,Settings!B35)))))</f>
        <v/>
      </c>
      <c r="AF190" s="51" t="str">
        <f>IF('Employee Master'!B190="","",AD190*(1+AE190))</f>
        <v/>
      </c>
      <c r="AG190" s="51" t="str">
        <f>IF('Employee Master'!B190="","",AF190-AD190)</f>
        <v/>
      </c>
      <c r="AH190" s="51" t="str">
        <f>IF('Employee Master'!B190="","",AG190*12)</f>
        <v/>
      </c>
    </row>
    <row r="191" spans="1:34" ht="15" customHeight="1" x14ac:dyDescent="0.2">
      <c r="A191" s="27" t="str">
        <f>IF('Employee Master'!B191="","",ROW()-3)</f>
        <v/>
      </c>
      <c r="B191" s="27" t="str">
        <f>IF('Employee Master'!B191="","",'Employee Master'!C191)</f>
        <v/>
      </c>
      <c r="C191" s="27" t="str">
        <f>IF('Employee Master'!B191="","",'Employee Master'!D191)</f>
        <v/>
      </c>
      <c r="D191" s="27" t="str">
        <f>IF('Employee Master'!B191="","",'Employee Master'!E191)</f>
        <v/>
      </c>
      <c r="E191" s="27" t="str">
        <f>IF('Employee Master'!B191="","",'Employee Master'!G191)</f>
        <v/>
      </c>
      <c r="F191" s="51" t="str">
        <f>IF('Employee Master'!B191="","",'⑥ Annual Performance'!R191)</f>
        <v/>
      </c>
      <c r="G191" s="103" t="str">
        <f>IF('Employee Master'!B191="","",'⑥ Annual Performance'!J191)</f>
        <v/>
      </c>
      <c r="H191" s="104" t="str">
        <f>IF('Employee Master'!B191="","",IF(G191&gt;=0.85,15,IF(G191&gt;=0.7,12,IF(G191&gt;=0.55,9,IF(G191&gt;=0.4,6,3)))))</f>
        <v/>
      </c>
      <c r="I191" s="103" t="str">
        <f>IF('Employee Master'!B191="","",'⑥ Annual Performance'!Q191)</f>
        <v/>
      </c>
      <c r="J191" s="104" t="str">
        <f>IF('Employee Master'!B191="","",IF(I191&gt;=0.98,10,IF(I191&gt;=0.95,8,IF(I191&gt;=0.9,6,IF(I191&gt;=0.85,4,2)))))</f>
        <v/>
      </c>
      <c r="K191" s="105" t="str">
        <f>IF('Employee Master'!B191="","",'⑥ Annual Performance'!N191)</f>
        <v/>
      </c>
      <c r="L191" s="104" t="str">
        <f>IF('Employee Master'!B191="","",IF(K191&gt;=1000,10,IF(K191&gt;=750,8,IF(K191&gt;=500,6,IF(K191&gt;=250,4,2)))))</f>
        <v/>
      </c>
      <c r="M191" s="105" t="str">
        <f>IF('Employee Master'!B191="","",'⑥ Annual Performance'!K191)</f>
        <v/>
      </c>
      <c r="N191" s="106" t="str">
        <f>IF('Employee Master'!B191="","",'⑥ Annual Performance'!L191)</f>
        <v/>
      </c>
      <c r="O191" s="104" t="str">
        <f>IF('Employee Master'!B191="","",MIN(N191*2,10))</f>
        <v/>
      </c>
      <c r="P191" s="104" t="str">
        <f>IF('Employee Master'!B191="","",IF(F191&gt;=36,5,IF(F191&gt;=24,4,IF(F191&gt;=12,3,IF(F191&gt;=6,2,1)))))</f>
        <v/>
      </c>
      <c r="Q191" s="104" t="str">
        <f>IF('Employee Master'!B191="","",IF(D191="Sr. Controller",10,IF(D191="Coo",10,IF(D191="Controller",9,IF(D191="Asst. Controller",8,IF(D191="Sr. Manager",8,IF(D191="Manager",7,IF(D191="Asst. Manager",6,IF(D191="Team Lead",7,IF(D191="Asst. Team Lead",5,IF(D191="Sr. Associate",4,IF(D191="Associate",3,IF(D191="Full Stack Developer",5,IF(D191="Project Manager (S/W)",6,IF(D191="Marketing",4,4)))))))))))))))</f>
        <v/>
      </c>
      <c r="R191" s="107" t="str">
        <f>IF('Employee Master'!B191="","",H191+J191+L191+O191+P191+Q191)</f>
        <v/>
      </c>
      <c r="S191" s="108" t="str">
        <f>IF('Employee Master'!B191="","",3)</f>
        <v/>
      </c>
      <c r="T191" s="104" t="str">
        <f>IF('Employee Master'!B191="","",MIN(S191*2,10))</f>
        <v/>
      </c>
      <c r="U191" s="108" t="str">
        <f>IF('Employee Master'!B191="","",3)</f>
        <v/>
      </c>
      <c r="V191" s="104" t="str">
        <f>IF('Employee Master'!B191="","",MIN(U191*2,10))</f>
        <v/>
      </c>
      <c r="W191" s="108" t="str">
        <f>IF('Employee Master'!B191="","",3)</f>
        <v/>
      </c>
      <c r="X191" s="104" t="str">
        <f>IF('Employee Master'!B191="","",MIN(W191*2,10))</f>
        <v/>
      </c>
      <c r="Y191" s="108" t="str">
        <f>IF('Employee Master'!B191="","",3)</f>
        <v/>
      </c>
      <c r="Z191" s="104" t="str">
        <f>IF('Employee Master'!B191="","",MIN(Y191*2,10))</f>
        <v/>
      </c>
      <c r="AA191" s="109" t="str">
        <f>IF('Employee Master'!B191="","",T191+V191+X191+Z191)</f>
        <v/>
      </c>
      <c r="AB191" s="110" t="str">
        <f>IF('Employee Master'!B191="","",R191+AA191)</f>
        <v/>
      </c>
      <c r="AC191" s="27" t="str">
        <f>IF('Employee Master'!B191="","",IF(AB191&gt;=85,"Exceptional",IF(AB191&gt;=70,"High Performer",IF(AB191&gt;=50,"Meets Expectations",IF(AB191&gt;=30,"Below Expectations","Underperformer")))))</f>
        <v/>
      </c>
      <c r="AD191" s="51" t="str">
        <f>IF('Employee Master'!B191="","",'Employee Master'!M191)</f>
        <v/>
      </c>
      <c r="AE191" s="52" t="str">
        <f>IF('Employee Master'!B191="","",IF(AB191&gt;=85,Settings!B31,IF(AB191&gt;=70,Settings!B32,IF(AB191&gt;=50,Settings!B33,IF(AB191&gt;=30,Settings!B34,Settings!B35)))))</f>
        <v/>
      </c>
      <c r="AF191" s="51" t="str">
        <f>IF('Employee Master'!B191="","",AD191*(1+AE191))</f>
        <v/>
      </c>
      <c r="AG191" s="51" t="str">
        <f>IF('Employee Master'!B191="","",AF191-AD191)</f>
        <v/>
      </c>
      <c r="AH191" s="51" t="str">
        <f>IF('Employee Master'!B191="","",AG191*12)</f>
        <v/>
      </c>
    </row>
    <row r="192" spans="1:34" ht="15" customHeight="1" x14ac:dyDescent="0.2">
      <c r="A192" s="27" t="str">
        <f>IF('Employee Master'!B192="","",ROW()-3)</f>
        <v/>
      </c>
      <c r="B192" s="27" t="str">
        <f>IF('Employee Master'!B192="","",'Employee Master'!C192)</f>
        <v/>
      </c>
      <c r="C192" s="27" t="str">
        <f>IF('Employee Master'!B192="","",'Employee Master'!D192)</f>
        <v/>
      </c>
      <c r="D192" s="27" t="str">
        <f>IF('Employee Master'!B192="","",'Employee Master'!E192)</f>
        <v/>
      </c>
      <c r="E192" s="27" t="str">
        <f>IF('Employee Master'!B192="","",'Employee Master'!G192)</f>
        <v/>
      </c>
      <c r="F192" s="51" t="str">
        <f>IF('Employee Master'!B192="","",'⑥ Annual Performance'!R192)</f>
        <v/>
      </c>
      <c r="G192" s="103" t="str">
        <f>IF('Employee Master'!B192="","",'⑥ Annual Performance'!J192)</f>
        <v/>
      </c>
      <c r="H192" s="104" t="str">
        <f>IF('Employee Master'!B192="","",IF(G192&gt;=0.85,15,IF(G192&gt;=0.7,12,IF(G192&gt;=0.55,9,IF(G192&gt;=0.4,6,3)))))</f>
        <v/>
      </c>
      <c r="I192" s="103" t="str">
        <f>IF('Employee Master'!B192="","",'⑥ Annual Performance'!Q192)</f>
        <v/>
      </c>
      <c r="J192" s="104" t="str">
        <f>IF('Employee Master'!B192="","",IF(I192&gt;=0.98,10,IF(I192&gt;=0.95,8,IF(I192&gt;=0.9,6,IF(I192&gt;=0.85,4,2)))))</f>
        <v/>
      </c>
      <c r="K192" s="105" t="str">
        <f>IF('Employee Master'!B192="","",'⑥ Annual Performance'!N192)</f>
        <v/>
      </c>
      <c r="L192" s="104" t="str">
        <f>IF('Employee Master'!B192="","",IF(K192&gt;=1000,10,IF(K192&gt;=750,8,IF(K192&gt;=500,6,IF(K192&gt;=250,4,2)))))</f>
        <v/>
      </c>
      <c r="M192" s="105" t="str">
        <f>IF('Employee Master'!B192="","",'⑥ Annual Performance'!K192)</f>
        <v/>
      </c>
      <c r="N192" s="106" t="str">
        <f>IF('Employee Master'!B192="","",'⑥ Annual Performance'!L192)</f>
        <v/>
      </c>
      <c r="O192" s="104" t="str">
        <f>IF('Employee Master'!B192="","",MIN(N192*2,10))</f>
        <v/>
      </c>
      <c r="P192" s="104" t="str">
        <f>IF('Employee Master'!B192="","",IF(F192&gt;=36,5,IF(F192&gt;=24,4,IF(F192&gt;=12,3,IF(F192&gt;=6,2,1)))))</f>
        <v/>
      </c>
      <c r="Q192" s="104" t="str">
        <f>IF('Employee Master'!B192="","",IF(D192="Sr. Controller",10,IF(D192="Coo",10,IF(D192="Controller",9,IF(D192="Asst. Controller",8,IF(D192="Sr. Manager",8,IF(D192="Manager",7,IF(D192="Asst. Manager",6,IF(D192="Team Lead",7,IF(D192="Asst. Team Lead",5,IF(D192="Sr. Associate",4,IF(D192="Associate",3,IF(D192="Full Stack Developer",5,IF(D192="Project Manager (S/W)",6,IF(D192="Marketing",4,4)))))))))))))))</f>
        <v/>
      </c>
      <c r="R192" s="107" t="str">
        <f>IF('Employee Master'!B192="","",H192+J192+L192+O192+P192+Q192)</f>
        <v/>
      </c>
      <c r="S192" s="108" t="str">
        <f>IF('Employee Master'!B192="","",3)</f>
        <v/>
      </c>
      <c r="T192" s="104" t="str">
        <f>IF('Employee Master'!B192="","",MIN(S192*2,10))</f>
        <v/>
      </c>
      <c r="U192" s="108" t="str">
        <f>IF('Employee Master'!B192="","",3)</f>
        <v/>
      </c>
      <c r="V192" s="104" t="str">
        <f>IF('Employee Master'!B192="","",MIN(U192*2,10))</f>
        <v/>
      </c>
      <c r="W192" s="108" t="str">
        <f>IF('Employee Master'!B192="","",3)</f>
        <v/>
      </c>
      <c r="X192" s="104" t="str">
        <f>IF('Employee Master'!B192="","",MIN(W192*2,10))</f>
        <v/>
      </c>
      <c r="Y192" s="108" t="str">
        <f>IF('Employee Master'!B192="","",3)</f>
        <v/>
      </c>
      <c r="Z192" s="104" t="str">
        <f>IF('Employee Master'!B192="","",MIN(Y192*2,10))</f>
        <v/>
      </c>
      <c r="AA192" s="109" t="str">
        <f>IF('Employee Master'!B192="","",T192+V192+X192+Z192)</f>
        <v/>
      </c>
      <c r="AB192" s="110" t="str">
        <f>IF('Employee Master'!B192="","",R192+AA192)</f>
        <v/>
      </c>
      <c r="AC192" s="27" t="str">
        <f>IF('Employee Master'!B192="","",IF(AB192&gt;=85,"Exceptional",IF(AB192&gt;=70,"High Performer",IF(AB192&gt;=50,"Meets Expectations",IF(AB192&gt;=30,"Below Expectations","Underperformer")))))</f>
        <v/>
      </c>
      <c r="AD192" s="51" t="str">
        <f>IF('Employee Master'!B192="","",'Employee Master'!M192)</f>
        <v/>
      </c>
      <c r="AE192" s="52" t="str">
        <f>IF('Employee Master'!B192="","",IF(AB192&gt;=85,Settings!B31,IF(AB192&gt;=70,Settings!B32,IF(AB192&gt;=50,Settings!B33,IF(AB192&gt;=30,Settings!B34,Settings!B35)))))</f>
        <v/>
      </c>
      <c r="AF192" s="51" t="str">
        <f>IF('Employee Master'!B192="","",AD192*(1+AE192))</f>
        <v/>
      </c>
      <c r="AG192" s="51" t="str">
        <f>IF('Employee Master'!B192="","",AF192-AD192)</f>
        <v/>
      </c>
      <c r="AH192" s="51" t="str">
        <f>IF('Employee Master'!B192="","",AG192*12)</f>
        <v/>
      </c>
    </row>
    <row r="193" spans="1:34" ht="15" customHeight="1" x14ac:dyDescent="0.2">
      <c r="A193" s="27" t="str">
        <f>IF('Employee Master'!B193="","",ROW()-3)</f>
        <v/>
      </c>
      <c r="B193" s="27" t="str">
        <f>IF('Employee Master'!B193="","",'Employee Master'!C193)</f>
        <v/>
      </c>
      <c r="C193" s="27" t="str">
        <f>IF('Employee Master'!B193="","",'Employee Master'!D193)</f>
        <v/>
      </c>
      <c r="D193" s="27" t="str">
        <f>IF('Employee Master'!B193="","",'Employee Master'!E193)</f>
        <v/>
      </c>
      <c r="E193" s="27" t="str">
        <f>IF('Employee Master'!B193="","",'Employee Master'!G193)</f>
        <v/>
      </c>
      <c r="F193" s="51" t="str">
        <f>IF('Employee Master'!B193="","",'⑥ Annual Performance'!R193)</f>
        <v/>
      </c>
      <c r="G193" s="103" t="str">
        <f>IF('Employee Master'!B193="","",'⑥ Annual Performance'!J193)</f>
        <v/>
      </c>
      <c r="H193" s="104" t="str">
        <f>IF('Employee Master'!B193="","",IF(G193&gt;=0.85,15,IF(G193&gt;=0.7,12,IF(G193&gt;=0.55,9,IF(G193&gt;=0.4,6,3)))))</f>
        <v/>
      </c>
      <c r="I193" s="103" t="str">
        <f>IF('Employee Master'!B193="","",'⑥ Annual Performance'!Q193)</f>
        <v/>
      </c>
      <c r="J193" s="104" t="str">
        <f>IF('Employee Master'!B193="","",IF(I193&gt;=0.98,10,IF(I193&gt;=0.95,8,IF(I193&gt;=0.9,6,IF(I193&gt;=0.85,4,2)))))</f>
        <v/>
      </c>
      <c r="K193" s="105" t="str">
        <f>IF('Employee Master'!B193="","",'⑥ Annual Performance'!N193)</f>
        <v/>
      </c>
      <c r="L193" s="104" t="str">
        <f>IF('Employee Master'!B193="","",IF(K193&gt;=1000,10,IF(K193&gt;=750,8,IF(K193&gt;=500,6,IF(K193&gt;=250,4,2)))))</f>
        <v/>
      </c>
      <c r="M193" s="105" t="str">
        <f>IF('Employee Master'!B193="","",'⑥ Annual Performance'!K193)</f>
        <v/>
      </c>
      <c r="N193" s="106" t="str">
        <f>IF('Employee Master'!B193="","",'⑥ Annual Performance'!L193)</f>
        <v/>
      </c>
      <c r="O193" s="104" t="str">
        <f>IF('Employee Master'!B193="","",MIN(N193*2,10))</f>
        <v/>
      </c>
      <c r="P193" s="104" t="str">
        <f>IF('Employee Master'!B193="","",IF(F193&gt;=36,5,IF(F193&gt;=24,4,IF(F193&gt;=12,3,IF(F193&gt;=6,2,1)))))</f>
        <v/>
      </c>
      <c r="Q193" s="104" t="str">
        <f>IF('Employee Master'!B193="","",IF(D193="Sr. Controller",10,IF(D193="Coo",10,IF(D193="Controller",9,IF(D193="Asst. Controller",8,IF(D193="Sr. Manager",8,IF(D193="Manager",7,IF(D193="Asst. Manager",6,IF(D193="Team Lead",7,IF(D193="Asst. Team Lead",5,IF(D193="Sr. Associate",4,IF(D193="Associate",3,IF(D193="Full Stack Developer",5,IF(D193="Project Manager (S/W)",6,IF(D193="Marketing",4,4)))))))))))))))</f>
        <v/>
      </c>
      <c r="R193" s="107" t="str">
        <f>IF('Employee Master'!B193="","",H193+J193+L193+O193+P193+Q193)</f>
        <v/>
      </c>
      <c r="S193" s="108" t="str">
        <f>IF('Employee Master'!B193="","",3)</f>
        <v/>
      </c>
      <c r="T193" s="104" t="str">
        <f>IF('Employee Master'!B193="","",MIN(S193*2,10))</f>
        <v/>
      </c>
      <c r="U193" s="108" t="str">
        <f>IF('Employee Master'!B193="","",3)</f>
        <v/>
      </c>
      <c r="V193" s="104" t="str">
        <f>IF('Employee Master'!B193="","",MIN(U193*2,10))</f>
        <v/>
      </c>
      <c r="W193" s="108" t="str">
        <f>IF('Employee Master'!B193="","",3)</f>
        <v/>
      </c>
      <c r="X193" s="104" t="str">
        <f>IF('Employee Master'!B193="","",MIN(W193*2,10))</f>
        <v/>
      </c>
      <c r="Y193" s="108" t="str">
        <f>IF('Employee Master'!B193="","",3)</f>
        <v/>
      </c>
      <c r="Z193" s="104" t="str">
        <f>IF('Employee Master'!B193="","",MIN(Y193*2,10))</f>
        <v/>
      </c>
      <c r="AA193" s="109" t="str">
        <f>IF('Employee Master'!B193="","",T193+V193+X193+Z193)</f>
        <v/>
      </c>
      <c r="AB193" s="110" t="str">
        <f>IF('Employee Master'!B193="","",R193+AA193)</f>
        <v/>
      </c>
      <c r="AC193" s="27" t="str">
        <f>IF('Employee Master'!B193="","",IF(AB193&gt;=85,"Exceptional",IF(AB193&gt;=70,"High Performer",IF(AB193&gt;=50,"Meets Expectations",IF(AB193&gt;=30,"Below Expectations","Underperformer")))))</f>
        <v/>
      </c>
      <c r="AD193" s="51" t="str">
        <f>IF('Employee Master'!B193="","",'Employee Master'!M193)</f>
        <v/>
      </c>
      <c r="AE193" s="52" t="str">
        <f>IF('Employee Master'!B193="","",IF(AB193&gt;=85,Settings!B31,IF(AB193&gt;=70,Settings!B32,IF(AB193&gt;=50,Settings!B33,IF(AB193&gt;=30,Settings!B34,Settings!B35)))))</f>
        <v/>
      </c>
      <c r="AF193" s="51" t="str">
        <f>IF('Employee Master'!B193="","",AD193*(1+AE193))</f>
        <v/>
      </c>
      <c r="AG193" s="51" t="str">
        <f>IF('Employee Master'!B193="","",AF193-AD193)</f>
        <v/>
      </c>
      <c r="AH193" s="51" t="str">
        <f>IF('Employee Master'!B193="","",AG193*12)</f>
        <v/>
      </c>
    </row>
    <row r="194" spans="1:34" ht="15" customHeight="1" x14ac:dyDescent="0.2">
      <c r="A194" s="27" t="str">
        <f>IF('Employee Master'!B194="","",ROW()-3)</f>
        <v/>
      </c>
      <c r="B194" s="27" t="str">
        <f>IF('Employee Master'!B194="","",'Employee Master'!C194)</f>
        <v/>
      </c>
      <c r="C194" s="27" t="str">
        <f>IF('Employee Master'!B194="","",'Employee Master'!D194)</f>
        <v/>
      </c>
      <c r="D194" s="27" t="str">
        <f>IF('Employee Master'!B194="","",'Employee Master'!E194)</f>
        <v/>
      </c>
      <c r="E194" s="27" t="str">
        <f>IF('Employee Master'!B194="","",'Employee Master'!G194)</f>
        <v/>
      </c>
      <c r="F194" s="51" t="str">
        <f>IF('Employee Master'!B194="","",'⑥ Annual Performance'!R194)</f>
        <v/>
      </c>
      <c r="G194" s="103" t="str">
        <f>IF('Employee Master'!B194="","",'⑥ Annual Performance'!J194)</f>
        <v/>
      </c>
      <c r="H194" s="104" t="str">
        <f>IF('Employee Master'!B194="","",IF(G194&gt;=0.85,15,IF(G194&gt;=0.7,12,IF(G194&gt;=0.55,9,IF(G194&gt;=0.4,6,3)))))</f>
        <v/>
      </c>
      <c r="I194" s="103" t="str">
        <f>IF('Employee Master'!B194="","",'⑥ Annual Performance'!Q194)</f>
        <v/>
      </c>
      <c r="J194" s="104" t="str">
        <f>IF('Employee Master'!B194="","",IF(I194&gt;=0.98,10,IF(I194&gt;=0.95,8,IF(I194&gt;=0.9,6,IF(I194&gt;=0.85,4,2)))))</f>
        <v/>
      </c>
      <c r="K194" s="105" t="str">
        <f>IF('Employee Master'!B194="","",'⑥ Annual Performance'!N194)</f>
        <v/>
      </c>
      <c r="L194" s="104" t="str">
        <f>IF('Employee Master'!B194="","",IF(K194&gt;=1000,10,IF(K194&gt;=750,8,IF(K194&gt;=500,6,IF(K194&gt;=250,4,2)))))</f>
        <v/>
      </c>
      <c r="M194" s="105" t="str">
        <f>IF('Employee Master'!B194="","",'⑥ Annual Performance'!K194)</f>
        <v/>
      </c>
      <c r="N194" s="106" t="str">
        <f>IF('Employee Master'!B194="","",'⑥ Annual Performance'!L194)</f>
        <v/>
      </c>
      <c r="O194" s="104" t="str">
        <f>IF('Employee Master'!B194="","",MIN(N194*2,10))</f>
        <v/>
      </c>
      <c r="P194" s="104" t="str">
        <f>IF('Employee Master'!B194="","",IF(F194&gt;=36,5,IF(F194&gt;=24,4,IF(F194&gt;=12,3,IF(F194&gt;=6,2,1)))))</f>
        <v/>
      </c>
      <c r="Q194" s="104" t="str">
        <f>IF('Employee Master'!B194="","",IF(D194="Sr. Controller",10,IF(D194="Coo",10,IF(D194="Controller",9,IF(D194="Asst. Controller",8,IF(D194="Sr. Manager",8,IF(D194="Manager",7,IF(D194="Asst. Manager",6,IF(D194="Team Lead",7,IF(D194="Asst. Team Lead",5,IF(D194="Sr. Associate",4,IF(D194="Associate",3,IF(D194="Full Stack Developer",5,IF(D194="Project Manager (S/W)",6,IF(D194="Marketing",4,4)))))))))))))))</f>
        <v/>
      </c>
      <c r="R194" s="107" t="str">
        <f>IF('Employee Master'!B194="","",H194+J194+L194+O194+P194+Q194)</f>
        <v/>
      </c>
      <c r="S194" s="108" t="str">
        <f>IF('Employee Master'!B194="","",3)</f>
        <v/>
      </c>
      <c r="T194" s="104" t="str">
        <f>IF('Employee Master'!B194="","",MIN(S194*2,10))</f>
        <v/>
      </c>
      <c r="U194" s="108" t="str">
        <f>IF('Employee Master'!B194="","",3)</f>
        <v/>
      </c>
      <c r="V194" s="104" t="str">
        <f>IF('Employee Master'!B194="","",MIN(U194*2,10))</f>
        <v/>
      </c>
      <c r="W194" s="108" t="str">
        <f>IF('Employee Master'!B194="","",3)</f>
        <v/>
      </c>
      <c r="X194" s="104" t="str">
        <f>IF('Employee Master'!B194="","",MIN(W194*2,10))</f>
        <v/>
      </c>
      <c r="Y194" s="108" t="str">
        <f>IF('Employee Master'!B194="","",3)</f>
        <v/>
      </c>
      <c r="Z194" s="104" t="str">
        <f>IF('Employee Master'!B194="","",MIN(Y194*2,10))</f>
        <v/>
      </c>
      <c r="AA194" s="109" t="str">
        <f>IF('Employee Master'!B194="","",T194+V194+X194+Z194)</f>
        <v/>
      </c>
      <c r="AB194" s="110" t="str">
        <f>IF('Employee Master'!B194="","",R194+AA194)</f>
        <v/>
      </c>
      <c r="AC194" s="27" t="str">
        <f>IF('Employee Master'!B194="","",IF(AB194&gt;=85,"Exceptional",IF(AB194&gt;=70,"High Performer",IF(AB194&gt;=50,"Meets Expectations",IF(AB194&gt;=30,"Below Expectations","Underperformer")))))</f>
        <v/>
      </c>
      <c r="AD194" s="51" t="str">
        <f>IF('Employee Master'!B194="","",'Employee Master'!M194)</f>
        <v/>
      </c>
      <c r="AE194" s="52" t="str">
        <f>IF('Employee Master'!B194="","",IF(AB194&gt;=85,Settings!B31,IF(AB194&gt;=70,Settings!B32,IF(AB194&gt;=50,Settings!B33,IF(AB194&gt;=30,Settings!B34,Settings!B35)))))</f>
        <v/>
      </c>
      <c r="AF194" s="51" t="str">
        <f>IF('Employee Master'!B194="","",AD194*(1+AE194))</f>
        <v/>
      </c>
      <c r="AG194" s="51" t="str">
        <f>IF('Employee Master'!B194="","",AF194-AD194)</f>
        <v/>
      </c>
      <c r="AH194" s="51" t="str">
        <f>IF('Employee Master'!B194="","",AG194*12)</f>
        <v/>
      </c>
    </row>
    <row r="195" spans="1:34" ht="15" customHeight="1" x14ac:dyDescent="0.2">
      <c r="A195" s="27" t="str">
        <f>IF('Employee Master'!B195="","",ROW()-3)</f>
        <v/>
      </c>
      <c r="B195" s="27" t="str">
        <f>IF('Employee Master'!B195="","",'Employee Master'!C195)</f>
        <v/>
      </c>
      <c r="C195" s="27" t="str">
        <f>IF('Employee Master'!B195="","",'Employee Master'!D195)</f>
        <v/>
      </c>
      <c r="D195" s="27" t="str">
        <f>IF('Employee Master'!B195="","",'Employee Master'!E195)</f>
        <v/>
      </c>
      <c r="E195" s="27" t="str">
        <f>IF('Employee Master'!B195="","",'Employee Master'!G195)</f>
        <v/>
      </c>
      <c r="F195" s="51" t="str">
        <f>IF('Employee Master'!B195="","",'⑥ Annual Performance'!R195)</f>
        <v/>
      </c>
      <c r="G195" s="103" t="str">
        <f>IF('Employee Master'!B195="","",'⑥ Annual Performance'!J195)</f>
        <v/>
      </c>
      <c r="H195" s="104" t="str">
        <f>IF('Employee Master'!B195="","",IF(G195&gt;=0.85,15,IF(G195&gt;=0.7,12,IF(G195&gt;=0.55,9,IF(G195&gt;=0.4,6,3)))))</f>
        <v/>
      </c>
      <c r="I195" s="103" t="str">
        <f>IF('Employee Master'!B195="","",'⑥ Annual Performance'!Q195)</f>
        <v/>
      </c>
      <c r="J195" s="104" t="str">
        <f>IF('Employee Master'!B195="","",IF(I195&gt;=0.98,10,IF(I195&gt;=0.95,8,IF(I195&gt;=0.9,6,IF(I195&gt;=0.85,4,2)))))</f>
        <v/>
      </c>
      <c r="K195" s="105" t="str">
        <f>IF('Employee Master'!B195="","",'⑥ Annual Performance'!N195)</f>
        <v/>
      </c>
      <c r="L195" s="104" t="str">
        <f>IF('Employee Master'!B195="","",IF(K195&gt;=1000,10,IF(K195&gt;=750,8,IF(K195&gt;=500,6,IF(K195&gt;=250,4,2)))))</f>
        <v/>
      </c>
      <c r="M195" s="105" t="str">
        <f>IF('Employee Master'!B195="","",'⑥ Annual Performance'!K195)</f>
        <v/>
      </c>
      <c r="N195" s="106" t="str">
        <f>IF('Employee Master'!B195="","",'⑥ Annual Performance'!L195)</f>
        <v/>
      </c>
      <c r="O195" s="104" t="str">
        <f>IF('Employee Master'!B195="","",MIN(N195*2,10))</f>
        <v/>
      </c>
      <c r="P195" s="104" t="str">
        <f>IF('Employee Master'!B195="","",IF(F195&gt;=36,5,IF(F195&gt;=24,4,IF(F195&gt;=12,3,IF(F195&gt;=6,2,1)))))</f>
        <v/>
      </c>
      <c r="Q195" s="104" t="str">
        <f>IF('Employee Master'!B195="","",IF(D195="Sr. Controller",10,IF(D195="Coo",10,IF(D195="Controller",9,IF(D195="Asst. Controller",8,IF(D195="Sr. Manager",8,IF(D195="Manager",7,IF(D195="Asst. Manager",6,IF(D195="Team Lead",7,IF(D195="Asst. Team Lead",5,IF(D195="Sr. Associate",4,IF(D195="Associate",3,IF(D195="Full Stack Developer",5,IF(D195="Project Manager (S/W)",6,IF(D195="Marketing",4,4)))))))))))))))</f>
        <v/>
      </c>
      <c r="R195" s="107" t="str">
        <f>IF('Employee Master'!B195="","",H195+J195+L195+O195+P195+Q195)</f>
        <v/>
      </c>
      <c r="S195" s="108" t="str">
        <f>IF('Employee Master'!B195="","",3)</f>
        <v/>
      </c>
      <c r="T195" s="104" t="str">
        <f>IF('Employee Master'!B195="","",MIN(S195*2,10))</f>
        <v/>
      </c>
      <c r="U195" s="108" t="str">
        <f>IF('Employee Master'!B195="","",3)</f>
        <v/>
      </c>
      <c r="V195" s="104" t="str">
        <f>IF('Employee Master'!B195="","",MIN(U195*2,10))</f>
        <v/>
      </c>
      <c r="W195" s="108" t="str">
        <f>IF('Employee Master'!B195="","",3)</f>
        <v/>
      </c>
      <c r="X195" s="104" t="str">
        <f>IF('Employee Master'!B195="","",MIN(W195*2,10))</f>
        <v/>
      </c>
      <c r="Y195" s="108" t="str">
        <f>IF('Employee Master'!B195="","",3)</f>
        <v/>
      </c>
      <c r="Z195" s="104" t="str">
        <f>IF('Employee Master'!B195="","",MIN(Y195*2,10))</f>
        <v/>
      </c>
      <c r="AA195" s="109" t="str">
        <f>IF('Employee Master'!B195="","",T195+V195+X195+Z195)</f>
        <v/>
      </c>
      <c r="AB195" s="110" t="str">
        <f>IF('Employee Master'!B195="","",R195+AA195)</f>
        <v/>
      </c>
      <c r="AC195" s="27" t="str">
        <f>IF('Employee Master'!B195="","",IF(AB195&gt;=85,"Exceptional",IF(AB195&gt;=70,"High Performer",IF(AB195&gt;=50,"Meets Expectations",IF(AB195&gt;=30,"Below Expectations","Underperformer")))))</f>
        <v/>
      </c>
      <c r="AD195" s="51" t="str">
        <f>IF('Employee Master'!B195="","",'Employee Master'!M195)</f>
        <v/>
      </c>
      <c r="AE195" s="52" t="str">
        <f>IF('Employee Master'!B195="","",IF(AB195&gt;=85,Settings!B31,IF(AB195&gt;=70,Settings!B32,IF(AB195&gt;=50,Settings!B33,IF(AB195&gt;=30,Settings!B34,Settings!B35)))))</f>
        <v/>
      </c>
      <c r="AF195" s="51" t="str">
        <f>IF('Employee Master'!B195="","",AD195*(1+AE195))</f>
        <v/>
      </c>
      <c r="AG195" s="51" t="str">
        <f>IF('Employee Master'!B195="","",AF195-AD195)</f>
        <v/>
      </c>
      <c r="AH195" s="51" t="str">
        <f>IF('Employee Master'!B195="","",AG195*12)</f>
        <v/>
      </c>
    </row>
    <row r="196" spans="1:34" ht="15" customHeight="1" x14ac:dyDescent="0.2">
      <c r="A196" s="27" t="str">
        <f>IF('Employee Master'!B196="","",ROW()-3)</f>
        <v/>
      </c>
      <c r="B196" s="27" t="str">
        <f>IF('Employee Master'!B196="","",'Employee Master'!C196)</f>
        <v/>
      </c>
      <c r="C196" s="27" t="str">
        <f>IF('Employee Master'!B196="","",'Employee Master'!D196)</f>
        <v/>
      </c>
      <c r="D196" s="27" t="str">
        <f>IF('Employee Master'!B196="","",'Employee Master'!E196)</f>
        <v/>
      </c>
      <c r="E196" s="27" t="str">
        <f>IF('Employee Master'!B196="","",'Employee Master'!G196)</f>
        <v/>
      </c>
      <c r="F196" s="51" t="str">
        <f>IF('Employee Master'!B196="","",'⑥ Annual Performance'!R196)</f>
        <v/>
      </c>
      <c r="G196" s="103" t="str">
        <f>IF('Employee Master'!B196="","",'⑥ Annual Performance'!J196)</f>
        <v/>
      </c>
      <c r="H196" s="104" t="str">
        <f>IF('Employee Master'!B196="","",IF(G196&gt;=0.85,15,IF(G196&gt;=0.7,12,IF(G196&gt;=0.55,9,IF(G196&gt;=0.4,6,3)))))</f>
        <v/>
      </c>
      <c r="I196" s="103" t="str">
        <f>IF('Employee Master'!B196="","",'⑥ Annual Performance'!Q196)</f>
        <v/>
      </c>
      <c r="J196" s="104" t="str">
        <f>IF('Employee Master'!B196="","",IF(I196&gt;=0.98,10,IF(I196&gt;=0.95,8,IF(I196&gt;=0.9,6,IF(I196&gt;=0.85,4,2)))))</f>
        <v/>
      </c>
      <c r="K196" s="105" t="str">
        <f>IF('Employee Master'!B196="","",'⑥ Annual Performance'!N196)</f>
        <v/>
      </c>
      <c r="L196" s="104" t="str">
        <f>IF('Employee Master'!B196="","",IF(K196&gt;=1000,10,IF(K196&gt;=750,8,IF(K196&gt;=500,6,IF(K196&gt;=250,4,2)))))</f>
        <v/>
      </c>
      <c r="M196" s="105" t="str">
        <f>IF('Employee Master'!B196="","",'⑥ Annual Performance'!K196)</f>
        <v/>
      </c>
      <c r="N196" s="106" t="str">
        <f>IF('Employee Master'!B196="","",'⑥ Annual Performance'!L196)</f>
        <v/>
      </c>
      <c r="O196" s="104" t="str">
        <f>IF('Employee Master'!B196="","",MIN(N196*2,10))</f>
        <v/>
      </c>
      <c r="P196" s="104" t="str">
        <f>IF('Employee Master'!B196="","",IF(F196&gt;=36,5,IF(F196&gt;=24,4,IF(F196&gt;=12,3,IF(F196&gt;=6,2,1)))))</f>
        <v/>
      </c>
      <c r="Q196" s="104" t="str">
        <f>IF('Employee Master'!B196="","",IF(D196="Sr. Controller",10,IF(D196="Coo",10,IF(D196="Controller",9,IF(D196="Asst. Controller",8,IF(D196="Sr. Manager",8,IF(D196="Manager",7,IF(D196="Asst. Manager",6,IF(D196="Team Lead",7,IF(D196="Asst. Team Lead",5,IF(D196="Sr. Associate",4,IF(D196="Associate",3,IF(D196="Full Stack Developer",5,IF(D196="Project Manager (S/W)",6,IF(D196="Marketing",4,4)))))))))))))))</f>
        <v/>
      </c>
      <c r="R196" s="107" t="str">
        <f>IF('Employee Master'!B196="","",H196+J196+L196+O196+P196+Q196)</f>
        <v/>
      </c>
      <c r="S196" s="108" t="str">
        <f>IF('Employee Master'!B196="","",3)</f>
        <v/>
      </c>
      <c r="T196" s="104" t="str">
        <f>IF('Employee Master'!B196="","",MIN(S196*2,10))</f>
        <v/>
      </c>
      <c r="U196" s="108" t="str">
        <f>IF('Employee Master'!B196="","",3)</f>
        <v/>
      </c>
      <c r="V196" s="104" t="str">
        <f>IF('Employee Master'!B196="","",MIN(U196*2,10))</f>
        <v/>
      </c>
      <c r="W196" s="108" t="str">
        <f>IF('Employee Master'!B196="","",3)</f>
        <v/>
      </c>
      <c r="X196" s="104" t="str">
        <f>IF('Employee Master'!B196="","",MIN(W196*2,10))</f>
        <v/>
      </c>
      <c r="Y196" s="108" t="str">
        <f>IF('Employee Master'!B196="","",3)</f>
        <v/>
      </c>
      <c r="Z196" s="104" t="str">
        <f>IF('Employee Master'!B196="","",MIN(Y196*2,10))</f>
        <v/>
      </c>
      <c r="AA196" s="109" t="str">
        <f>IF('Employee Master'!B196="","",T196+V196+X196+Z196)</f>
        <v/>
      </c>
      <c r="AB196" s="110" t="str">
        <f>IF('Employee Master'!B196="","",R196+AA196)</f>
        <v/>
      </c>
      <c r="AC196" s="27" t="str">
        <f>IF('Employee Master'!B196="","",IF(AB196&gt;=85,"Exceptional",IF(AB196&gt;=70,"High Performer",IF(AB196&gt;=50,"Meets Expectations",IF(AB196&gt;=30,"Below Expectations","Underperformer")))))</f>
        <v/>
      </c>
      <c r="AD196" s="51" t="str">
        <f>IF('Employee Master'!B196="","",'Employee Master'!M196)</f>
        <v/>
      </c>
      <c r="AE196" s="52" t="str">
        <f>IF('Employee Master'!B196="","",IF(AB196&gt;=85,Settings!B31,IF(AB196&gt;=70,Settings!B32,IF(AB196&gt;=50,Settings!B33,IF(AB196&gt;=30,Settings!B34,Settings!B35)))))</f>
        <v/>
      </c>
      <c r="AF196" s="51" t="str">
        <f>IF('Employee Master'!B196="","",AD196*(1+AE196))</f>
        <v/>
      </c>
      <c r="AG196" s="51" t="str">
        <f>IF('Employee Master'!B196="","",AF196-AD196)</f>
        <v/>
      </c>
      <c r="AH196" s="51" t="str">
        <f>IF('Employee Master'!B196="","",AG196*12)</f>
        <v/>
      </c>
    </row>
    <row r="197" spans="1:34" ht="15" customHeight="1" x14ac:dyDescent="0.2">
      <c r="A197" s="27" t="str">
        <f>IF('Employee Master'!B197="","",ROW()-3)</f>
        <v/>
      </c>
      <c r="B197" s="27" t="str">
        <f>IF('Employee Master'!B197="","",'Employee Master'!C197)</f>
        <v/>
      </c>
      <c r="C197" s="27" t="str">
        <f>IF('Employee Master'!B197="","",'Employee Master'!D197)</f>
        <v/>
      </c>
      <c r="D197" s="27" t="str">
        <f>IF('Employee Master'!B197="","",'Employee Master'!E197)</f>
        <v/>
      </c>
      <c r="E197" s="27" t="str">
        <f>IF('Employee Master'!B197="","",'Employee Master'!G197)</f>
        <v/>
      </c>
      <c r="F197" s="51" t="str">
        <f>IF('Employee Master'!B197="","",'⑥ Annual Performance'!R197)</f>
        <v/>
      </c>
      <c r="G197" s="103" t="str">
        <f>IF('Employee Master'!B197="","",'⑥ Annual Performance'!J197)</f>
        <v/>
      </c>
      <c r="H197" s="104" t="str">
        <f>IF('Employee Master'!B197="","",IF(G197&gt;=0.85,15,IF(G197&gt;=0.7,12,IF(G197&gt;=0.55,9,IF(G197&gt;=0.4,6,3)))))</f>
        <v/>
      </c>
      <c r="I197" s="103" t="str">
        <f>IF('Employee Master'!B197="","",'⑥ Annual Performance'!Q197)</f>
        <v/>
      </c>
      <c r="J197" s="104" t="str">
        <f>IF('Employee Master'!B197="","",IF(I197&gt;=0.98,10,IF(I197&gt;=0.95,8,IF(I197&gt;=0.9,6,IF(I197&gt;=0.85,4,2)))))</f>
        <v/>
      </c>
      <c r="K197" s="105" t="str">
        <f>IF('Employee Master'!B197="","",'⑥ Annual Performance'!N197)</f>
        <v/>
      </c>
      <c r="L197" s="104" t="str">
        <f>IF('Employee Master'!B197="","",IF(K197&gt;=1000,10,IF(K197&gt;=750,8,IF(K197&gt;=500,6,IF(K197&gt;=250,4,2)))))</f>
        <v/>
      </c>
      <c r="M197" s="105" t="str">
        <f>IF('Employee Master'!B197="","",'⑥ Annual Performance'!K197)</f>
        <v/>
      </c>
      <c r="N197" s="106" t="str">
        <f>IF('Employee Master'!B197="","",'⑥ Annual Performance'!L197)</f>
        <v/>
      </c>
      <c r="O197" s="104" t="str">
        <f>IF('Employee Master'!B197="","",MIN(N197*2,10))</f>
        <v/>
      </c>
      <c r="P197" s="104" t="str">
        <f>IF('Employee Master'!B197="","",IF(F197&gt;=36,5,IF(F197&gt;=24,4,IF(F197&gt;=12,3,IF(F197&gt;=6,2,1)))))</f>
        <v/>
      </c>
      <c r="Q197" s="104" t="str">
        <f>IF('Employee Master'!B197="","",IF(D197="Sr. Controller",10,IF(D197="Coo",10,IF(D197="Controller",9,IF(D197="Asst. Controller",8,IF(D197="Sr. Manager",8,IF(D197="Manager",7,IF(D197="Asst. Manager",6,IF(D197="Team Lead",7,IF(D197="Asst. Team Lead",5,IF(D197="Sr. Associate",4,IF(D197="Associate",3,IF(D197="Full Stack Developer",5,IF(D197="Project Manager (S/W)",6,IF(D197="Marketing",4,4)))))))))))))))</f>
        <v/>
      </c>
      <c r="R197" s="107" t="str">
        <f>IF('Employee Master'!B197="","",H197+J197+L197+O197+P197+Q197)</f>
        <v/>
      </c>
      <c r="S197" s="108" t="str">
        <f>IF('Employee Master'!B197="","",3)</f>
        <v/>
      </c>
      <c r="T197" s="104" t="str">
        <f>IF('Employee Master'!B197="","",MIN(S197*2,10))</f>
        <v/>
      </c>
      <c r="U197" s="108" t="str">
        <f>IF('Employee Master'!B197="","",3)</f>
        <v/>
      </c>
      <c r="V197" s="104" t="str">
        <f>IF('Employee Master'!B197="","",MIN(U197*2,10))</f>
        <v/>
      </c>
      <c r="W197" s="108" t="str">
        <f>IF('Employee Master'!B197="","",3)</f>
        <v/>
      </c>
      <c r="X197" s="104" t="str">
        <f>IF('Employee Master'!B197="","",MIN(W197*2,10))</f>
        <v/>
      </c>
      <c r="Y197" s="108" t="str">
        <f>IF('Employee Master'!B197="","",3)</f>
        <v/>
      </c>
      <c r="Z197" s="104" t="str">
        <f>IF('Employee Master'!B197="","",MIN(Y197*2,10))</f>
        <v/>
      </c>
      <c r="AA197" s="109" t="str">
        <f>IF('Employee Master'!B197="","",T197+V197+X197+Z197)</f>
        <v/>
      </c>
      <c r="AB197" s="110" t="str">
        <f>IF('Employee Master'!B197="","",R197+AA197)</f>
        <v/>
      </c>
      <c r="AC197" s="27" t="str">
        <f>IF('Employee Master'!B197="","",IF(AB197&gt;=85,"Exceptional",IF(AB197&gt;=70,"High Performer",IF(AB197&gt;=50,"Meets Expectations",IF(AB197&gt;=30,"Below Expectations","Underperformer")))))</f>
        <v/>
      </c>
      <c r="AD197" s="51" t="str">
        <f>IF('Employee Master'!B197="","",'Employee Master'!M197)</f>
        <v/>
      </c>
      <c r="AE197" s="52" t="str">
        <f>IF('Employee Master'!B197="","",IF(AB197&gt;=85,Settings!B31,IF(AB197&gt;=70,Settings!B32,IF(AB197&gt;=50,Settings!B33,IF(AB197&gt;=30,Settings!B34,Settings!B35)))))</f>
        <v/>
      </c>
      <c r="AF197" s="51" t="str">
        <f>IF('Employee Master'!B197="","",AD197*(1+AE197))</f>
        <v/>
      </c>
      <c r="AG197" s="51" t="str">
        <f>IF('Employee Master'!B197="","",AF197-AD197)</f>
        <v/>
      </c>
      <c r="AH197" s="51" t="str">
        <f>IF('Employee Master'!B197="","",AG197*12)</f>
        <v/>
      </c>
    </row>
    <row r="198" spans="1:34" ht="15" customHeight="1" x14ac:dyDescent="0.2">
      <c r="A198" s="27" t="str">
        <f>IF('Employee Master'!B198="","",ROW()-3)</f>
        <v/>
      </c>
      <c r="B198" s="27" t="str">
        <f>IF('Employee Master'!B198="","",'Employee Master'!C198)</f>
        <v/>
      </c>
      <c r="C198" s="27" t="str">
        <f>IF('Employee Master'!B198="","",'Employee Master'!D198)</f>
        <v/>
      </c>
      <c r="D198" s="27" t="str">
        <f>IF('Employee Master'!B198="","",'Employee Master'!E198)</f>
        <v/>
      </c>
      <c r="E198" s="27" t="str">
        <f>IF('Employee Master'!B198="","",'Employee Master'!G198)</f>
        <v/>
      </c>
      <c r="F198" s="51" t="str">
        <f>IF('Employee Master'!B198="","",'⑥ Annual Performance'!R198)</f>
        <v/>
      </c>
      <c r="G198" s="103" t="str">
        <f>IF('Employee Master'!B198="","",'⑥ Annual Performance'!J198)</f>
        <v/>
      </c>
      <c r="H198" s="104" t="str">
        <f>IF('Employee Master'!B198="","",IF(G198&gt;=0.85,15,IF(G198&gt;=0.7,12,IF(G198&gt;=0.55,9,IF(G198&gt;=0.4,6,3)))))</f>
        <v/>
      </c>
      <c r="I198" s="103" t="str">
        <f>IF('Employee Master'!B198="","",'⑥ Annual Performance'!Q198)</f>
        <v/>
      </c>
      <c r="J198" s="104" t="str">
        <f>IF('Employee Master'!B198="","",IF(I198&gt;=0.98,10,IF(I198&gt;=0.95,8,IF(I198&gt;=0.9,6,IF(I198&gt;=0.85,4,2)))))</f>
        <v/>
      </c>
      <c r="K198" s="105" t="str">
        <f>IF('Employee Master'!B198="","",'⑥ Annual Performance'!N198)</f>
        <v/>
      </c>
      <c r="L198" s="104" t="str">
        <f>IF('Employee Master'!B198="","",IF(K198&gt;=1000,10,IF(K198&gt;=750,8,IF(K198&gt;=500,6,IF(K198&gt;=250,4,2)))))</f>
        <v/>
      </c>
      <c r="M198" s="105" t="str">
        <f>IF('Employee Master'!B198="","",'⑥ Annual Performance'!K198)</f>
        <v/>
      </c>
      <c r="N198" s="106" t="str">
        <f>IF('Employee Master'!B198="","",'⑥ Annual Performance'!L198)</f>
        <v/>
      </c>
      <c r="O198" s="104" t="str">
        <f>IF('Employee Master'!B198="","",MIN(N198*2,10))</f>
        <v/>
      </c>
      <c r="P198" s="104" t="str">
        <f>IF('Employee Master'!B198="","",IF(F198&gt;=36,5,IF(F198&gt;=24,4,IF(F198&gt;=12,3,IF(F198&gt;=6,2,1)))))</f>
        <v/>
      </c>
      <c r="Q198" s="104" t="str">
        <f>IF('Employee Master'!B198="","",IF(D198="Sr. Controller",10,IF(D198="Coo",10,IF(D198="Controller",9,IF(D198="Asst. Controller",8,IF(D198="Sr. Manager",8,IF(D198="Manager",7,IF(D198="Asst. Manager",6,IF(D198="Team Lead",7,IF(D198="Asst. Team Lead",5,IF(D198="Sr. Associate",4,IF(D198="Associate",3,IF(D198="Full Stack Developer",5,IF(D198="Project Manager (S/W)",6,IF(D198="Marketing",4,4)))))))))))))))</f>
        <v/>
      </c>
      <c r="R198" s="107" t="str">
        <f>IF('Employee Master'!B198="","",H198+J198+L198+O198+P198+Q198)</f>
        <v/>
      </c>
      <c r="S198" s="108" t="str">
        <f>IF('Employee Master'!B198="","",3)</f>
        <v/>
      </c>
      <c r="T198" s="104" t="str">
        <f>IF('Employee Master'!B198="","",MIN(S198*2,10))</f>
        <v/>
      </c>
      <c r="U198" s="108" t="str">
        <f>IF('Employee Master'!B198="","",3)</f>
        <v/>
      </c>
      <c r="V198" s="104" t="str">
        <f>IF('Employee Master'!B198="","",MIN(U198*2,10))</f>
        <v/>
      </c>
      <c r="W198" s="108" t="str">
        <f>IF('Employee Master'!B198="","",3)</f>
        <v/>
      </c>
      <c r="X198" s="104" t="str">
        <f>IF('Employee Master'!B198="","",MIN(W198*2,10))</f>
        <v/>
      </c>
      <c r="Y198" s="108" t="str">
        <f>IF('Employee Master'!B198="","",3)</f>
        <v/>
      </c>
      <c r="Z198" s="104" t="str">
        <f>IF('Employee Master'!B198="","",MIN(Y198*2,10))</f>
        <v/>
      </c>
      <c r="AA198" s="109" t="str">
        <f>IF('Employee Master'!B198="","",T198+V198+X198+Z198)</f>
        <v/>
      </c>
      <c r="AB198" s="110" t="str">
        <f>IF('Employee Master'!B198="","",R198+AA198)</f>
        <v/>
      </c>
      <c r="AC198" s="27" t="str">
        <f>IF('Employee Master'!B198="","",IF(AB198&gt;=85,"Exceptional",IF(AB198&gt;=70,"High Performer",IF(AB198&gt;=50,"Meets Expectations",IF(AB198&gt;=30,"Below Expectations","Underperformer")))))</f>
        <v/>
      </c>
      <c r="AD198" s="51" t="str">
        <f>IF('Employee Master'!B198="","",'Employee Master'!M198)</f>
        <v/>
      </c>
      <c r="AE198" s="52" t="str">
        <f>IF('Employee Master'!B198="","",IF(AB198&gt;=85,Settings!B31,IF(AB198&gt;=70,Settings!B32,IF(AB198&gt;=50,Settings!B33,IF(AB198&gt;=30,Settings!B34,Settings!B35)))))</f>
        <v/>
      </c>
      <c r="AF198" s="51" t="str">
        <f>IF('Employee Master'!B198="","",AD198*(1+AE198))</f>
        <v/>
      </c>
      <c r="AG198" s="51" t="str">
        <f>IF('Employee Master'!B198="","",AF198-AD198)</f>
        <v/>
      </c>
      <c r="AH198" s="51" t="str">
        <f>IF('Employee Master'!B198="","",AG198*12)</f>
        <v/>
      </c>
    </row>
    <row r="199" spans="1:34" ht="15" customHeight="1" x14ac:dyDescent="0.2">
      <c r="A199" s="27" t="str">
        <f>IF('Employee Master'!B199="","",ROW()-3)</f>
        <v/>
      </c>
      <c r="B199" s="27" t="str">
        <f>IF('Employee Master'!B199="","",'Employee Master'!C199)</f>
        <v/>
      </c>
      <c r="C199" s="27" t="str">
        <f>IF('Employee Master'!B199="","",'Employee Master'!D199)</f>
        <v/>
      </c>
      <c r="D199" s="27" t="str">
        <f>IF('Employee Master'!B199="","",'Employee Master'!E199)</f>
        <v/>
      </c>
      <c r="E199" s="27" t="str">
        <f>IF('Employee Master'!B199="","",'Employee Master'!G199)</f>
        <v/>
      </c>
      <c r="F199" s="51" t="str">
        <f>IF('Employee Master'!B199="","",'⑥ Annual Performance'!R199)</f>
        <v/>
      </c>
      <c r="G199" s="103" t="str">
        <f>IF('Employee Master'!B199="","",'⑥ Annual Performance'!J199)</f>
        <v/>
      </c>
      <c r="H199" s="104" t="str">
        <f>IF('Employee Master'!B199="","",IF(G199&gt;=0.85,15,IF(G199&gt;=0.7,12,IF(G199&gt;=0.55,9,IF(G199&gt;=0.4,6,3)))))</f>
        <v/>
      </c>
      <c r="I199" s="103" t="str">
        <f>IF('Employee Master'!B199="","",'⑥ Annual Performance'!Q199)</f>
        <v/>
      </c>
      <c r="J199" s="104" t="str">
        <f>IF('Employee Master'!B199="","",IF(I199&gt;=0.98,10,IF(I199&gt;=0.95,8,IF(I199&gt;=0.9,6,IF(I199&gt;=0.85,4,2)))))</f>
        <v/>
      </c>
      <c r="K199" s="105" t="str">
        <f>IF('Employee Master'!B199="","",'⑥ Annual Performance'!N199)</f>
        <v/>
      </c>
      <c r="L199" s="104" t="str">
        <f>IF('Employee Master'!B199="","",IF(K199&gt;=1000,10,IF(K199&gt;=750,8,IF(K199&gt;=500,6,IF(K199&gt;=250,4,2)))))</f>
        <v/>
      </c>
      <c r="M199" s="105" t="str">
        <f>IF('Employee Master'!B199="","",'⑥ Annual Performance'!K199)</f>
        <v/>
      </c>
      <c r="N199" s="106" t="str">
        <f>IF('Employee Master'!B199="","",'⑥ Annual Performance'!L199)</f>
        <v/>
      </c>
      <c r="O199" s="104" t="str">
        <f>IF('Employee Master'!B199="","",MIN(N199*2,10))</f>
        <v/>
      </c>
      <c r="P199" s="104" t="str">
        <f>IF('Employee Master'!B199="","",IF(F199&gt;=36,5,IF(F199&gt;=24,4,IF(F199&gt;=12,3,IF(F199&gt;=6,2,1)))))</f>
        <v/>
      </c>
      <c r="Q199" s="104" t="str">
        <f>IF('Employee Master'!B199="","",IF(D199="Sr. Controller",10,IF(D199="Coo",10,IF(D199="Controller",9,IF(D199="Asst. Controller",8,IF(D199="Sr. Manager",8,IF(D199="Manager",7,IF(D199="Asst. Manager",6,IF(D199="Team Lead",7,IF(D199="Asst. Team Lead",5,IF(D199="Sr. Associate",4,IF(D199="Associate",3,IF(D199="Full Stack Developer",5,IF(D199="Project Manager (S/W)",6,IF(D199="Marketing",4,4)))))))))))))))</f>
        <v/>
      </c>
      <c r="R199" s="107" t="str">
        <f>IF('Employee Master'!B199="","",H199+J199+L199+O199+P199+Q199)</f>
        <v/>
      </c>
      <c r="S199" s="108" t="str">
        <f>IF('Employee Master'!B199="","",3)</f>
        <v/>
      </c>
      <c r="T199" s="104" t="str">
        <f>IF('Employee Master'!B199="","",MIN(S199*2,10))</f>
        <v/>
      </c>
      <c r="U199" s="108" t="str">
        <f>IF('Employee Master'!B199="","",3)</f>
        <v/>
      </c>
      <c r="V199" s="104" t="str">
        <f>IF('Employee Master'!B199="","",MIN(U199*2,10))</f>
        <v/>
      </c>
      <c r="W199" s="108" t="str">
        <f>IF('Employee Master'!B199="","",3)</f>
        <v/>
      </c>
      <c r="X199" s="104" t="str">
        <f>IF('Employee Master'!B199="","",MIN(W199*2,10))</f>
        <v/>
      </c>
      <c r="Y199" s="108" t="str">
        <f>IF('Employee Master'!B199="","",3)</f>
        <v/>
      </c>
      <c r="Z199" s="104" t="str">
        <f>IF('Employee Master'!B199="","",MIN(Y199*2,10))</f>
        <v/>
      </c>
      <c r="AA199" s="109" t="str">
        <f>IF('Employee Master'!B199="","",T199+V199+X199+Z199)</f>
        <v/>
      </c>
      <c r="AB199" s="110" t="str">
        <f>IF('Employee Master'!B199="","",R199+AA199)</f>
        <v/>
      </c>
      <c r="AC199" s="27" t="str">
        <f>IF('Employee Master'!B199="","",IF(AB199&gt;=85,"Exceptional",IF(AB199&gt;=70,"High Performer",IF(AB199&gt;=50,"Meets Expectations",IF(AB199&gt;=30,"Below Expectations","Underperformer")))))</f>
        <v/>
      </c>
      <c r="AD199" s="51" t="str">
        <f>IF('Employee Master'!B199="","",'Employee Master'!M199)</f>
        <v/>
      </c>
      <c r="AE199" s="52" t="str">
        <f>IF('Employee Master'!B199="","",IF(AB199&gt;=85,Settings!B31,IF(AB199&gt;=70,Settings!B32,IF(AB199&gt;=50,Settings!B33,IF(AB199&gt;=30,Settings!B34,Settings!B35)))))</f>
        <v/>
      </c>
      <c r="AF199" s="51" t="str">
        <f>IF('Employee Master'!B199="","",AD199*(1+AE199))</f>
        <v/>
      </c>
      <c r="AG199" s="51" t="str">
        <f>IF('Employee Master'!B199="","",AF199-AD199)</f>
        <v/>
      </c>
      <c r="AH199" s="51" t="str">
        <f>IF('Employee Master'!B199="","",AG199*12)</f>
        <v/>
      </c>
    </row>
    <row r="200" spans="1:34" ht="15" customHeight="1" x14ac:dyDescent="0.2">
      <c r="A200" s="27" t="str">
        <f>IF('Employee Master'!B200="","",ROW()-3)</f>
        <v/>
      </c>
      <c r="B200" s="27" t="str">
        <f>IF('Employee Master'!B200="","",'Employee Master'!C200)</f>
        <v/>
      </c>
      <c r="C200" s="27" t="str">
        <f>IF('Employee Master'!B200="","",'Employee Master'!D200)</f>
        <v/>
      </c>
      <c r="D200" s="27" t="str">
        <f>IF('Employee Master'!B200="","",'Employee Master'!E200)</f>
        <v/>
      </c>
      <c r="E200" s="27" t="str">
        <f>IF('Employee Master'!B200="","",'Employee Master'!G200)</f>
        <v/>
      </c>
      <c r="F200" s="51" t="str">
        <f>IF('Employee Master'!B200="","",'⑥ Annual Performance'!R200)</f>
        <v/>
      </c>
      <c r="G200" s="103" t="str">
        <f>IF('Employee Master'!B200="","",'⑥ Annual Performance'!J200)</f>
        <v/>
      </c>
      <c r="H200" s="104" t="str">
        <f>IF('Employee Master'!B200="","",IF(G200&gt;=0.85,15,IF(G200&gt;=0.7,12,IF(G200&gt;=0.55,9,IF(G200&gt;=0.4,6,3)))))</f>
        <v/>
      </c>
      <c r="I200" s="103" t="str">
        <f>IF('Employee Master'!B200="","",'⑥ Annual Performance'!Q200)</f>
        <v/>
      </c>
      <c r="J200" s="104" t="str">
        <f>IF('Employee Master'!B200="","",IF(I200&gt;=0.98,10,IF(I200&gt;=0.95,8,IF(I200&gt;=0.9,6,IF(I200&gt;=0.85,4,2)))))</f>
        <v/>
      </c>
      <c r="K200" s="105" t="str">
        <f>IF('Employee Master'!B200="","",'⑥ Annual Performance'!N200)</f>
        <v/>
      </c>
      <c r="L200" s="104" t="str">
        <f>IF('Employee Master'!B200="","",IF(K200&gt;=1000,10,IF(K200&gt;=750,8,IF(K200&gt;=500,6,IF(K200&gt;=250,4,2)))))</f>
        <v/>
      </c>
      <c r="M200" s="105" t="str">
        <f>IF('Employee Master'!B200="","",'⑥ Annual Performance'!K200)</f>
        <v/>
      </c>
      <c r="N200" s="106" t="str">
        <f>IF('Employee Master'!B200="","",'⑥ Annual Performance'!L200)</f>
        <v/>
      </c>
      <c r="O200" s="104" t="str">
        <f>IF('Employee Master'!B200="","",MIN(N200*2,10))</f>
        <v/>
      </c>
      <c r="P200" s="104" t="str">
        <f>IF('Employee Master'!B200="","",IF(F200&gt;=36,5,IF(F200&gt;=24,4,IF(F200&gt;=12,3,IF(F200&gt;=6,2,1)))))</f>
        <v/>
      </c>
      <c r="Q200" s="104" t="str">
        <f>IF('Employee Master'!B200="","",IF(D200="Sr. Controller",10,IF(D200="Coo",10,IF(D200="Controller",9,IF(D200="Asst. Controller",8,IF(D200="Sr. Manager",8,IF(D200="Manager",7,IF(D200="Asst. Manager",6,IF(D200="Team Lead",7,IF(D200="Asst. Team Lead",5,IF(D200="Sr. Associate",4,IF(D200="Associate",3,IF(D200="Full Stack Developer",5,IF(D200="Project Manager (S/W)",6,IF(D200="Marketing",4,4)))))))))))))))</f>
        <v/>
      </c>
      <c r="R200" s="107" t="str">
        <f>IF('Employee Master'!B200="","",H200+J200+L200+O200+P200+Q200)</f>
        <v/>
      </c>
      <c r="S200" s="108" t="str">
        <f>IF('Employee Master'!B200="","",3)</f>
        <v/>
      </c>
      <c r="T200" s="104" t="str">
        <f>IF('Employee Master'!B200="","",MIN(S200*2,10))</f>
        <v/>
      </c>
      <c r="U200" s="108" t="str">
        <f>IF('Employee Master'!B200="","",3)</f>
        <v/>
      </c>
      <c r="V200" s="104" t="str">
        <f>IF('Employee Master'!B200="","",MIN(U200*2,10))</f>
        <v/>
      </c>
      <c r="W200" s="108" t="str">
        <f>IF('Employee Master'!B200="","",3)</f>
        <v/>
      </c>
      <c r="X200" s="104" t="str">
        <f>IF('Employee Master'!B200="","",MIN(W200*2,10))</f>
        <v/>
      </c>
      <c r="Y200" s="108" t="str">
        <f>IF('Employee Master'!B200="","",3)</f>
        <v/>
      </c>
      <c r="Z200" s="104" t="str">
        <f>IF('Employee Master'!B200="","",MIN(Y200*2,10))</f>
        <v/>
      </c>
      <c r="AA200" s="109" t="str">
        <f>IF('Employee Master'!B200="","",T200+V200+X200+Z200)</f>
        <v/>
      </c>
      <c r="AB200" s="110" t="str">
        <f>IF('Employee Master'!B200="","",R200+AA200)</f>
        <v/>
      </c>
      <c r="AC200" s="27" t="str">
        <f>IF('Employee Master'!B200="","",IF(AB200&gt;=85,"Exceptional",IF(AB200&gt;=70,"High Performer",IF(AB200&gt;=50,"Meets Expectations",IF(AB200&gt;=30,"Below Expectations","Underperformer")))))</f>
        <v/>
      </c>
      <c r="AD200" s="51" t="str">
        <f>IF('Employee Master'!B200="","",'Employee Master'!M200)</f>
        <v/>
      </c>
      <c r="AE200" s="52" t="str">
        <f>IF('Employee Master'!B200="","",IF(AB200&gt;=85,Settings!B31,IF(AB200&gt;=70,Settings!B32,IF(AB200&gt;=50,Settings!B33,IF(AB200&gt;=30,Settings!B34,Settings!B35)))))</f>
        <v/>
      </c>
      <c r="AF200" s="51" t="str">
        <f>IF('Employee Master'!B200="","",AD200*(1+AE200))</f>
        <v/>
      </c>
      <c r="AG200" s="51" t="str">
        <f>IF('Employee Master'!B200="","",AF200-AD200)</f>
        <v/>
      </c>
      <c r="AH200" s="51" t="str">
        <f>IF('Employee Master'!B200="","",AG200*12)</f>
        <v/>
      </c>
    </row>
    <row r="201" spans="1:34" ht="15" customHeight="1" x14ac:dyDescent="0.2">
      <c r="A201" s="27" t="str">
        <f>IF('Employee Master'!B201="","",ROW()-3)</f>
        <v/>
      </c>
      <c r="B201" s="27" t="str">
        <f>IF('Employee Master'!B201="","",'Employee Master'!C201)</f>
        <v/>
      </c>
      <c r="C201" s="27" t="str">
        <f>IF('Employee Master'!B201="","",'Employee Master'!D201)</f>
        <v/>
      </c>
      <c r="D201" s="27" t="str">
        <f>IF('Employee Master'!B201="","",'Employee Master'!E201)</f>
        <v/>
      </c>
      <c r="E201" s="27" t="str">
        <f>IF('Employee Master'!B201="","",'Employee Master'!G201)</f>
        <v/>
      </c>
      <c r="F201" s="51" t="str">
        <f>IF('Employee Master'!B201="","",'⑥ Annual Performance'!R201)</f>
        <v/>
      </c>
      <c r="G201" s="103" t="str">
        <f>IF('Employee Master'!B201="","",'⑥ Annual Performance'!J201)</f>
        <v/>
      </c>
      <c r="H201" s="104" t="str">
        <f>IF('Employee Master'!B201="","",IF(G201&gt;=0.85,15,IF(G201&gt;=0.7,12,IF(G201&gt;=0.55,9,IF(G201&gt;=0.4,6,3)))))</f>
        <v/>
      </c>
      <c r="I201" s="103" t="str">
        <f>IF('Employee Master'!B201="","",'⑥ Annual Performance'!Q201)</f>
        <v/>
      </c>
      <c r="J201" s="104" t="str">
        <f>IF('Employee Master'!B201="","",IF(I201&gt;=0.98,10,IF(I201&gt;=0.95,8,IF(I201&gt;=0.9,6,IF(I201&gt;=0.85,4,2)))))</f>
        <v/>
      </c>
      <c r="K201" s="105" t="str">
        <f>IF('Employee Master'!B201="","",'⑥ Annual Performance'!N201)</f>
        <v/>
      </c>
      <c r="L201" s="104" t="str">
        <f>IF('Employee Master'!B201="","",IF(K201&gt;=1000,10,IF(K201&gt;=750,8,IF(K201&gt;=500,6,IF(K201&gt;=250,4,2)))))</f>
        <v/>
      </c>
      <c r="M201" s="105" t="str">
        <f>IF('Employee Master'!B201="","",'⑥ Annual Performance'!K201)</f>
        <v/>
      </c>
      <c r="N201" s="106" t="str">
        <f>IF('Employee Master'!B201="","",'⑥ Annual Performance'!L201)</f>
        <v/>
      </c>
      <c r="O201" s="104" t="str">
        <f>IF('Employee Master'!B201="","",MIN(N201*2,10))</f>
        <v/>
      </c>
      <c r="P201" s="104" t="str">
        <f>IF('Employee Master'!B201="","",IF(F201&gt;=36,5,IF(F201&gt;=24,4,IF(F201&gt;=12,3,IF(F201&gt;=6,2,1)))))</f>
        <v/>
      </c>
      <c r="Q201" s="104" t="str">
        <f>IF('Employee Master'!B201="","",IF(D201="Sr. Controller",10,IF(D201="Coo",10,IF(D201="Controller",9,IF(D201="Asst. Controller",8,IF(D201="Sr. Manager",8,IF(D201="Manager",7,IF(D201="Asst. Manager",6,IF(D201="Team Lead",7,IF(D201="Asst. Team Lead",5,IF(D201="Sr. Associate",4,IF(D201="Associate",3,IF(D201="Full Stack Developer",5,IF(D201="Project Manager (S/W)",6,IF(D201="Marketing",4,4)))))))))))))))</f>
        <v/>
      </c>
      <c r="R201" s="107" t="str">
        <f>IF('Employee Master'!B201="","",H201+J201+L201+O201+P201+Q201)</f>
        <v/>
      </c>
      <c r="S201" s="108" t="str">
        <f>IF('Employee Master'!B201="","",3)</f>
        <v/>
      </c>
      <c r="T201" s="104" t="str">
        <f>IF('Employee Master'!B201="","",MIN(S201*2,10))</f>
        <v/>
      </c>
      <c r="U201" s="108" t="str">
        <f>IF('Employee Master'!B201="","",3)</f>
        <v/>
      </c>
      <c r="V201" s="104" t="str">
        <f>IF('Employee Master'!B201="","",MIN(U201*2,10))</f>
        <v/>
      </c>
      <c r="W201" s="108" t="str">
        <f>IF('Employee Master'!B201="","",3)</f>
        <v/>
      </c>
      <c r="X201" s="104" t="str">
        <f>IF('Employee Master'!B201="","",MIN(W201*2,10))</f>
        <v/>
      </c>
      <c r="Y201" s="108" t="str">
        <f>IF('Employee Master'!B201="","",3)</f>
        <v/>
      </c>
      <c r="Z201" s="104" t="str">
        <f>IF('Employee Master'!B201="","",MIN(Y201*2,10))</f>
        <v/>
      </c>
      <c r="AA201" s="109" t="str">
        <f>IF('Employee Master'!B201="","",T201+V201+X201+Z201)</f>
        <v/>
      </c>
      <c r="AB201" s="110" t="str">
        <f>IF('Employee Master'!B201="","",R201+AA201)</f>
        <v/>
      </c>
      <c r="AC201" s="27" t="str">
        <f>IF('Employee Master'!B201="","",IF(AB201&gt;=85,"Exceptional",IF(AB201&gt;=70,"High Performer",IF(AB201&gt;=50,"Meets Expectations",IF(AB201&gt;=30,"Below Expectations","Underperformer")))))</f>
        <v/>
      </c>
      <c r="AD201" s="51" t="str">
        <f>IF('Employee Master'!B201="","",'Employee Master'!M201)</f>
        <v/>
      </c>
      <c r="AE201" s="52" t="str">
        <f>IF('Employee Master'!B201="","",IF(AB201&gt;=85,Settings!B31,IF(AB201&gt;=70,Settings!B32,IF(AB201&gt;=50,Settings!B33,IF(AB201&gt;=30,Settings!B34,Settings!B35)))))</f>
        <v/>
      </c>
      <c r="AF201" s="51" t="str">
        <f>IF('Employee Master'!B201="","",AD201*(1+AE201))</f>
        <v/>
      </c>
      <c r="AG201" s="51" t="str">
        <f>IF('Employee Master'!B201="","",AF201-AD201)</f>
        <v/>
      </c>
      <c r="AH201" s="51" t="str">
        <f>IF('Employee Master'!B201="","",AG201*12)</f>
        <v/>
      </c>
    </row>
    <row r="202" spans="1:34" ht="15" customHeight="1" x14ac:dyDescent="0.2">
      <c r="A202" s="27" t="str">
        <f>IF('Employee Master'!B202="","",ROW()-3)</f>
        <v/>
      </c>
      <c r="B202" s="27" t="str">
        <f>IF('Employee Master'!B202="","",'Employee Master'!C202)</f>
        <v/>
      </c>
      <c r="C202" s="27" t="str">
        <f>IF('Employee Master'!B202="","",'Employee Master'!D202)</f>
        <v/>
      </c>
      <c r="D202" s="27" t="str">
        <f>IF('Employee Master'!B202="","",'Employee Master'!E202)</f>
        <v/>
      </c>
      <c r="E202" s="27" t="str">
        <f>IF('Employee Master'!B202="","",'Employee Master'!G202)</f>
        <v/>
      </c>
      <c r="F202" s="51" t="str">
        <f>IF('Employee Master'!B202="","",'⑥ Annual Performance'!R202)</f>
        <v/>
      </c>
      <c r="G202" s="103" t="str">
        <f>IF('Employee Master'!B202="","",'⑥ Annual Performance'!J202)</f>
        <v/>
      </c>
      <c r="H202" s="104" t="str">
        <f>IF('Employee Master'!B202="","",IF(G202&gt;=0.85,15,IF(G202&gt;=0.7,12,IF(G202&gt;=0.55,9,IF(G202&gt;=0.4,6,3)))))</f>
        <v/>
      </c>
      <c r="I202" s="103" t="str">
        <f>IF('Employee Master'!B202="","",'⑥ Annual Performance'!Q202)</f>
        <v/>
      </c>
      <c r="J202" s="104" t="str">
        <f>IF('Employee Master'!B202="","",IF(I202&gt;=0.98,10,IF(I202&gt;=0.95,8,IF(I202&gt;=0.9,6,IF(I202&gt;=0.85,4,2)))))</f>
        <v/>
      </c>
      <c r="K202" s="105" t="str">
        <f>IF('Employee Master'!B202="","",'⑥ Annual Performance'!N202)</f>
        <v/>
      </c>
      <c r="L202" s="104" t="str">
        <f>IF('Employee Master'!B202="","",IF(K202&gt;=1000,10,IF(K202&gt;=750,8,IF(K202&gt;=500,6,IF(K202&gt;=250,4,2)))))</f>
        <v/>
      </c>
      <c r="M202" s="105" t="str">
        <f>IF('Employee Master'!B202="","",'⑥ Annual Performance'!K202)</f>
        <v/>
      </c>
      <c r="N202" s="106" t="str">
        <f>IF('Employee Master'!B202="","",'⑥ Annual Performance'!L202)</f>
        <v/>
      </c>
      <c r="O202" s="104" t="str">
        <f>IF('Employee Master'!B202="","",MIN(N202*2,10))</f>
        <v/>
      </c>
      <c r="P202" s="104" t="str">
        <f>IF('Employee Master'!B202="","",IF(F202&gt;=36,5,IF(F202&gt;=24,4,IF(F202&gt;=12,3,IF(F202&gt;=6,2,1)))))</f>
        <v/>
      </c>
      <c r="Q202" s="104" t="str">
        <f>IF('Employee Master'!B202="","",IF(D202="Sr. Controller",10,IF(D202="Coo",10,IF(D202="Controller",9,IF(D202="Asst. Controller",8,IF(D202="Sr. Manager",8,IF(D202="Manager",7,IF(D202="Asst. Manager",6,IF(D202="Team Lead",7,IF(D202="Asst. Team Lead",5,IF(D202="Sr. Associate",4,IF(D202="Associate",3,IF(D202="Full Stack Developer",5,IF(D202="Project Manager (S/W)",6,IF(D202="Marketing",4,4)))))))))))))))</f>
        <v/>
      </c>
      <c r="R202" s="107" t="str">
        <f>IF('Employee Master'!B202="","",H202+J202+L202+O202+P202+Q202)</f>
        <v/>
      </c>
      <c r="S202" s="108" t="str">
        <f>IF('Employee Master'!B202="","",3)</f>
        <v/>
      </c>
      <c r="T202" s="104" t="str">
        <f>IF('Employee Master'!B202="","",MIN(S202*2,10))</f>
        <v/>
      </c>
      <c r="U202" s="108" t="str">
        <f>IF('Employee Master'!B202="","",3)</f>
        <v/>
      </c>
      <c r="V202" s="104" t="str">
        <f>IF('Employee Master'!B202="","",MIN(U202*2,10))</f>
        <v/>
      </c>
      <c r="W202" s="108" t="str">
        <f>IF('Employee Master'!B202="","",3)</f>
        <v/>
      </c>
      <c r="X202" s="104" t="str">
        <f>IF('Employee Master'!B202="","",MIN(W202*2,10))</f>
        <v/>
      </c>
      <c r="Y202" s="108" t="str">
        <f>IF('Employee Master'!B202="","",3)</f>
        <v/>
      </c>
      <c r="Z202" s="104" t="str">
        <f>IF('Employee Master'!B202="","",MIN(Y202*2,10))</f>
        <v/>
      </c>
      <c r="AA202" s="109" t="str">
        <f>IF('Employee Master'!B202="","",T202+V202+X202+Z202)</f>
        <v/>
      </c>
      <c r="AB202" s="110" t="str">
        <f>IF('Employee Master'!B202="","",R202+AA202)</f>
        <v/>
      </c>
      <c r="AC202" s="27" t="str">
        <f>IF('Employee Master'!B202="","",IF(AB202&gt;=85,"Exceptional",IF(AB202&gt;=70,"High Performer",IF(AB202&gt;=50,"Meets Expectations",IF(AB202&gt;=30,"Below Expectations","Underperformer")))))</f>
        <v/>
      </c>
      <c r="AD202" s="51" t="str">
        <f>IF('Employee Master'!B202="","",'Employee Master'!M202)</f>
        <v/>
      </c>
      <c r="AE202" s="52" t="str">
        <f>IF('Employee Master'!B202="","",IF(AB202&gt;=85,Settings!B31,IF(AB202&gt;=70,Settings!B32,IF(AB202&gt;=50,Settings!B33,IF(AB202&gt;=30,Settings!B34,Settings!B35)))))</f>
        <v/>
      </c>
      <c r="AF202" s="51" t="str">
        <f>IF('Employee Master'!B202="","",AD202*(1+AE202))</f>
        <v/>
      </c>
      <c r="AG202" s="51" t="str">
        <f>IF('Employee Master'!B202="","",AF202-AD202)</f>
        <v/>
      </c>
      <c r="AH202" s="51" t="str">
        <f>IF('Employee Master'!B202="","",AG202*12)</f>
        <v/>
      </c>
    </row>
    <row r="203" spans="1:34" ht="15" customHeight="1" x14ac:dyDescent="0.2">
      <c r="A203" s="27" t="str">
        <f>IF('Employee Master'!B203="","",ROW()-3)</f>
        <v/>
      </c>
      <c r="B203" s="27" t="str">
        <f>IF('Employee Master'!B203="","",'Employee Master'!C203)</f>
        <v/>
      </c>
      <c r="C203" s="27" t="str">
        <f>IF('Employee Master'!B203="","",'Employee Master'!D203)</f>
        <v/>
      </c>
      <c r="D203" s="27" t="str">
        <f>IF('Employee Master'!B203="","",'Employee Master'!E203)</f>
        <v/>
      </c>
      <c r="E203" s="27" t="str">
        <f>IF('Employee Master'!B203="","",'Employee Master'!G203)</f>
        <v/>
      </c>
      <c r="F203" s="51" t="str">
        <f>IF('Employee Master'!B203="","",'⑥ Annual Performance'!R203)</f>
        <v/>
      </c>
      <c r="G203" s="103" t="str">
        <f>IF('Employee Master'!B203="","",'⑥ Annual Performance'!J203)</f>
        <v/>
      </c>
      <c r="H203" s="104" t="str">
        <f>IF('Employee Master'!B203="","",IF(G203&gt;=0.85,15,IF(G203&gt;=0.7,12,IF(G203&gt;=0.55,9,IF(G203&gt;=0.4,6,3)))))</f>
        <v/>
      </c>
      <c r="I203" s="103" t="str">
        <f>IF('Employee Master'!B203="","",'⑥ Annual Performance'!Q203)</f>
        <v/>
      </c>
      <c r="J203" s="104" t="str">
        <f>IF('Employee Master'!B203="","",IF(I203&gt;=0.98,10,IF(I203&gt;=0.95,8,IF(I203&gt;=0.9,6,IF(I203&gt;=0.85,4,2)))))</f>
        <v/>
      </c>
      <c r="K203" s="105" t="str">
        <f>IF('Employee Master'!B203="","",'⑥ Annual Performance'!N203)</f>
        <v/>
      </c>
      <c r="L203" s="104" t="str">
        <f>IF('Employee Master'!B203="","",IF(K203&gt;=1000,10,IF(K203&gt;=750,8,IF(K203&gt;=500,6,IF(K203&gt;=250,4,2)))))</f>
        <v/>
      </c>
      <c r="M203" s="105" t="str">
        <f>IF('Employee Master'!B203="","",'⑥ Annual Performance'!K203)</f>
        <v/>
      </c>
      <c r="N203" s="106" t="str">
        <f>IF('Employee Master'!B203="","",'⑥ Annual Performance'!L203)</f>
        <v/>
      </c>
      <c r="O203" s="104" t="str">
        <f>IF('Employee Master'!B203="","",MIN(N203*2,10))</f>
        <v/>
      </c>
      <c r="P203" s="104" t="str">
        <f>IF('Employee Master'!B203="","",IF(F203&gt;=36,5,IF(F203&gt;=24,4,IF(F203&gt;=12,3,IF(F203&gt;=6,2,1)))))</f>
        <v/>
      </c>
      <c r="Q203" s="104" t="str">
        <f>IF('Employee Master'!B203="","",IF(D203="Sr. Controller",10,IF(D203="Coo",10,IF(D203="Controller",9,IF(D203="Asst. Controller",8,IF(D203="Sr. Manager",8,IF(D203="Manager",7,IF(D203="Asst. Manager",6,IF(D203="Team Lead",7,IF(D203="Asst. Team Lead",5,IF(D203="Sr. Associate",4,IF(D203="Associate",3,IF(D203="Full Stack Developer",5,IF(D203="Project Manager (S/W)",6,IF(D203="Marketing",4,4)))))))))))))))</f>
        <v/>
      </c>
      <c r="R203" s="107" t="str">
        <f>IF('Employee Master'!B203="","",H203+J203+L203+O203+P203+Q203)</f>
        <v/>
      </c>
      <c r="S203" s="108" t="str">
        <f>IF('Employee Master'!B203="","",3)</f>
        <v/>
      </c>
      <c r="T203" s="104" t="str">
        <f>IF('Employee Master'!B203="","",MIN(S203*2,10))</f>
        <v/>
      </c>
      <c r="U203" s="108" t="str">
        <f>IF('Employee Master'!B203="","",3)</f>
        <v/>
      </c>
      <c r="V203" s="104" t="str">
        <f>IF('Employee Master'!B203="","",MIN(U203*2,10))</f>
        <v/>
      </c>
      <c r="W203" s="108" t="str">
        <f>IF('Employee Master'!B203="","",3)</f>
        <v/>
      </c>
      <c r="X203" s="104" t="str">
        <f>IF('Employee Master'!B203="","",MIN(W203*2,10))</f>
        <v/>
      </c>
      <c r="Y203" s="108" t="str">
        <f>IF('Employee Master'!B203="","",3)</f>
        <v/>
      </c>
      <c r="Z203" s="104" t="str">
        <f>IF('Employee Master'!B203="","",MIN(Y203*2,10))</f>
        <v/>
      </c>
      <c r="AA203" s="109" t="str">
        <f>IF('Employee Master'!B203="","",T203+V203+X203+Z203)</f>
        <v/>
      </c>
      <c r="AB203" s="110" t="str">
        <f>IF('Employee Master'!B203="","",R203+AA203)</f>
        <v/>
      </c>
      <c r="AC203" s="27" t="str">
        <f>IF('Employee Master'!B203="","",IF(AB203&gt;=85,"Exceptional",IF(AB203&gt;=70,"High Performer",IF(AB203&gt;=50,"Meets Expectations",IF(AB203&gt;=30,"Below Expectations","Underperformer")))))</f>
        <v/>
      </c>
      <c r="AD203" s="51" t="str">
        <f>IF('Employee Master'!B203="","",'Employee Master'!M203)</f>
        <v/>
      </c>
      <c r="AE203" s="52" t="str">
        <f>IF('Employee Master'!B203="","",IF(AB203&gt;=85,Settings!B31,IF(AB203&gt;=70,Settings!B32,IF(AB203&gt;=50,Settings!B33,IF(AB203&gt;=30,Settings!B34,Settings!B35)))))</f>
        <v/>
      </c>
      <c r="AF203" s="51" t="str">
        <f>IF('Employee Master'!B203="","",AD203*(1+AE203))</f>
        <v/>
      </c>
      <c r="AG203" s="51" t="str">
        <f>IF('Employee Master'!B203="","",AF203-AD203)</f>
        <v/>
      </c>
      <c r="AH203" s="51" t="str">
        <f>IF('Employee Master'!B203="","",AG203*12)</f>
        <v/>
      </c>
    </row>
    <row r="204" spans="1:34" ht="15" customHeight="1" x14ac:dyDescent="0.2">
      <c r="A204" s="31" t="s">
        <v>977</v>
      </c>
      <c r="B204" s="32"/>
      <c r="C204" s="32"/>
      <c r="D204" s="32"/>
      <c r="E204" s="32"/>
      <c r="F204" s="32"/>
      <c r="G204" s="42">
        <f>IFERROR(AVERAGE(G4:G203),0)</f>
        <v>4.7477259389671372E-2</v>
      </c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111">
        <f>IFERROR(AVERAGE(R4:R203),0)</f>
        <v>21.8943661971831</v>
      </c>
      <c r="S204" s="32"/>
      <c r="T204" s="32"/>
      <c r="U204" s="32"/>
      <c r="V204" s="32"/>
      <c r="W204" s="32"/>
      <c r="X204" s="32"/>
      <c r="Y204" s="32"/>
      <c r="Z204" s="32"/>
      <c r="AA204" s="111">
        <f>IFERROR(AVERAGE(AA4:AA203),0)</f>
        <v>24</v>
      </c>
      <c r="AB204" s="111">
        <f>IFERROR(AVERAGE(AB4:AB203),0)</f>
        <v>45.894366197183096</v>
      </c>
      <c r="AC204" s="32"/>
      <c r="AD204" s="33">
        <f>SUM(AD4:AD203)</f>
        <v>7579755</v>
      </c>
      <c r="AE204" s="32"/>
      <c r="AF204" s="33">
        <f>SUM(AF4:AF203)</f>
        <v>7874074.2600000007</v>
      </c>
      <c r="AG204" s="33">
        <f>SUM(AG4:AG203)</f>
        <v>294319.26000000007</v>
      </c>
      <c r="AH204" s="33">
        <f>SUM(AH4:AH203)</f>
        <v>3531831.120000002</v>
      </c>
    </row>
    <row r="206" spans="1:34" ht="15" customHeight="1" x14ac:dyDescent="0.2">
      <c r="A206" s="153" t="s">
        <v>978</v>
      </c>
      <c r="B206" s="153"/>
      <c r="C206" s="153"/>
      <c r="D206" s="153"/>
      <c r="E206" s="153"/>
      <c r="F206" s="153"/>
    </row>
    <row r="207" spans="1:34" ht="34.5" customHeight="1" x14ac:dyDescent="0.2">
      <c r="A207" s="12" t="s">
        <v>45</v>
      </c>
      <c r="B207" s="12" t="s">
        <v>979</v>
      </c>
      <c r="C207" s="12" t="s">
        <v>980</v>
      </c>
      <c r="D207" s="12" t="s">
        <v>981</v>
      </c>
      <c r="E207" s="12" t="s">
        <v>982</v>
      </c>
      <c r="F207" s="12" t="s">
        <v>983</v>
      </c>
    </row>
    <row r="208" spans="1:34" ht="57" customHeight="1" x14ac:dyDescent="0.2">
      <c r="A208" s="112" t="s">
        <v>984</v>
      </c>
      <c r="B208" s="27">
        <f>COUNTIF(AC4:AC203,"Exceptional")</f>
        <v>0</v>
      </c>
      <c r="C208" s="113">
        <f>IFERROR(AVERAGEIF(AC4:AC203,"Exceptional",AB4:AB203),0)</f>
        <v>0</v>
      </c>
      <c r="D208" s="52">
        <f>IFERROR(AVERAGEIF(AC4:AC203,"Exceptional",AE4:AE203),0)</f>
        <v>0</v>
      </c>
      <c r="E208" s="51">
        <f>SUMIF(AC4:AC203,"Exceptional",AG4:AG203)</f>
        <v>0</v>
      </c>
      <c r="F208" s="51">
        <f>SUMIF(AC4:AC203,"Exceptional",AH4:AH203)</f>
        <v>0</v>
      </c>
    </row>
    <row r="209" spans="1:6" ht="57" customHeight="1" x14ac:dyDescent="0.2">
      <c r="A209" s="114" t="s">
        <v>985</v>
      </c>
      <c r="B209" s="27">
        <f>COUNTIF(AC4:AC203,"High Performer")</f>
        <v>0</v>
      </c>
      <c r="C209" s="113">
        <f>IFERROR(AVERAGEIF(AC4:AC203,"High Performer",AB4:AB203),0)</f>
        <v>0</v>
      </c>
      <c r="D209" s="52">
        <f>IFERROR(AVERAGEIF(AC4:AC203,"High Performer",AE4:AE203),0)</f>
        <v>0</v>
      </c>
      <c r="E209" s="51">
        <f>SUMIF(AC4:AC203,"High Performer",AG4:AG203)</f>
        <v>0</v>
      </c>
      <c r="F209" s="51">
        <f>SUMIF(AC4:AC203,"High Performer",AH4:AH203)</f>
        <v>0</v>
      </c>
    </row>
    <row r="210" spans="1:6" ht="79.5" customHeight="1" x14ac:dyDescent="0.2">
      <c r="A210" s="115" t="s">
        <v>986</v>
      </c>
      <c r="B210" s="27">
        <f>COUNTIF(AC4:AC203,"Meets Expectations")</f>
        <v>11</v>
      </c>
      <c r="C210" s="113">
        <f>IFERROR(AVERAGEIF(AC4:AC203,"Meets Expectations",AB4:AB203),0)</f>
        <v>50.363636363636367</v>
      </c>
      <c r="D210" s="52">
        <f>IFERROR(AVERAGEIF(AC4:AC203,"Meets Expectations",AE4:AE203),0)</f>
        <v>7.4999999999999983E-2</v>
      </c>
      <c r="E210" s="51">
        <f>SUMIF(AC4:AC203,"Meets Expectations",AG4:AG203)</f>
        <v>111544.34999999996</v>
      </c>
      <c r="F210" s="51">
        <f>SUMIF(AC4:AC203,"Meets Expectations",AH4:AH203)</f>
        <v>1338532.1999999997</v>
      </c>
    </row>
    <row r="211" spans="1:6" ht="79.5" customHeight="1" x14ac:dyDescent="0.2">
      <c r="A211" s="115" t="s">
        <v>987</v>
      </c>
      <c r="B211" s="27">
        <f>COUNTIF(AC4:AC203,"Below Expectations")</f>
        <v>131</v>
      </c>
      <c r="C211" s="113">
        <f>IFERROR(AVERAGEIF(AC4:AC203,"Below Expectations",AB4:AB203),0)</f>
        <v>45.519083969465647</v>
      </c>
      <c r="D211" s="52">
        <f>IFERROR(AVERAGEIF(AC4:AC203,"Below Expectations",AE4:AE203),0)</f>
        <v>2.9999999999999916E-2</v>
      </c>
      <c r="E211" s="51">
        <f>SUMIF(AC4:AC203,"Below Expectations",AG4:AG203)</f>
        <v>182774.91000000021</v>
      </c>
      <c r="F211" s="51">
        <f>SUMIF(AC4:AC203,"Below Expectations",AH4:AH203)</f>
        <v>2193298.9200000009</v>
      </c>
    </row>
    <row r="212" spans="1:6" ht="57" customHeight="1" x14ac:dyDescent="0.2">
      <c r="A212" s="116" t="s">
        <v>988</v>
      </c>
      <c r="B212" s="27">
        <f>COUNTIF(AC4:AC203,"Underperformer")</f>
        <v>0</v>
      </c>
      <c r="C212" s="113">
        <f>IFERROR(AVERAGEIF(AC4:AC203,"Underperformer",AB4:AB203),0)</f>
        <v>0</v>
      </c>
      <c r="D212" s="52">
        <f>IFERROR(AVERAGEIF(AC4:AC203,"Underperformer",AE4:AE203),0)</f>
        <v>0</v>
      </c>
      <c r="E212" s="51">
        <f>SUMIF(AC4:AC203,"Underperformer",AG4:AG203)</f>
        <v>0</v>
      </c>
      <c r="F212" s="51">
        <f>SUMIF(AC4:AC203,"Underperformer",AH4:AH203)</f>
        <v>0</v>
      </c>
    </row>
    <row r="213" spans="1:6" ht="15" customHeight="1" x14ac:dyDescent="0.2">
      <c r="A213" s="31" t="s">
        <v>876</v>
      </c>
      <c r="B213" s="31">
        <f>SUM(B208:B212)</f>
        <v>142</v>
      </c>
      <c r="C213" s="32"/>
      <c r="D213" s="32"/>
      <c r="E213" s="33">
        <f>SUM(E208:E212)</f>
        <v>294319.26000000018</v>
      </c>
      <c r="F213" s="33">
        <f>SUM(F208:F212)</f>
        <v>3531831.1200000006</v>
      </c>
    </row>
  </sheetData>
  <mergeCells count="3">
    <mergeCell ref="A1:Z1"/>
    <mergeCell ref="A2:Z2"/>
    <mergeCell ref="A206:F20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H9"/>
  <sheetViews>
    <sheetView zoomScaleNormal="100" workbookViewId="0">
      <selection sqref="A1:H1"/>
    </sheetView>
  </sheetViews>
  <sheetFormatPr baseColWidth="10" defaultColWidth="8.6640625" defaultRowHeight="15" customHeight="1" x14ac:dyDescent="0.2"/>
  <cols>
    <col min="1" max="1" width="16" customWidth="1"/>
    <col min="2" max="2" width="12" customWidth="1"/>
    <col min="3" max="3" width="14" customWidth="1"/>
    <col min="4" max="5" width="16" customWidth="1"/>
    <col min="6" max="6" width="14" customWidth="1"/>
    <col min="7" max="7" width="10" customWidth="1"/>
    <col min="8" max="8" width="18" customWidth="1"/>
  </cols>
  <sheetData>
    <row r="1" spans="1:8" ht="17.25" customHeight="1" x14ac:dyDescent="0.2">
      <c r="A1" s="143" t="s">
        <v>989</v>
      </c>
      <c r="B1" s="143"/>
      <c r="C1" s="143"/>
      <c r="D1" s="143"/>
      <c r="E1" s="143"/>
      <c r="F1" s="143"/>
      <c r="G1" s="143"/>
      <c r="H1" s="143"/>
    </row>
    <row r="3" spans="1:8" ht="15" customHeight="1" x14ac:dyDescent="0.2">
      <c r="A3" s="12" t="s">
        <v>798</v>
      </c>
      <c r="B3" s="12" t="s">
        <v>990</v>
      </c>
      <c r="C3" s="12" t="s">
        <v>991</v>
      </c>
      <c r="D3" s="12" t="s">
        <v>992</v>
      </c>
      <c r="E3" s="12" t="s">
        <v>993</v>
      </c>
      <c r="F3" s="12" t="s">
        <v>994</v>
      </c>
      <c r="G3" s="12" t="s">
        <v>995</v>
      </c>
      <c r="H3" s="12" t="s">
        <v>996</v>
      </c>
    </row>
    <row r="4" spans="1:8" ht="15" customHeight="1" x14ac:dyDescent="0.2">
      <c r="A4" s="27" t="s">
        <v>148</v>
      </c>
      <c r="B4" s="27">
        <f>SUMIF('④ Client-Service Map'!B$4:B$200,A4,'④ Client-Service Map'!C$4:C$200)</f>
        <v>68.25</v>
      </c>
      <c r="C4" s="27">
        <f>COUNTIFS('④ Client-Service Map'!B$4:B$200,A4,'④ Client-Service Map'!D$4:D$200,"ACTIVE")</f>
        <v>60</v>
      </c>
      <c r="D4" s="51">
        <f>IF(B4=0,0,B4*IFERROR('③ Billing Input'!F$104/SUMIF('④ Client-Service Map'!D$4:D$200,"ACTIVE",'④ Client-Service Map'!C$4:C$200),100000))</f>
        <v>8734466.2921348307</v>
      </c>
      <c r="E4" s="51">
        <f>B4*Settings!B6*'Utilization Dashboard'!G8</f>
        <v>5859506.821502598</v>
      </c>
      <c r="F4" s="51">
        <f t="shared" ref="F4:F9" si="0">D4-E4</f>
        <v>2874959.4706322327</v>
      </c>
      <c r="G4" s="52">
        <f t="shared" ref="G4:G9" si="1">IF(D4=0,0,F4/D4)</f>
        <v>0.32915113236180921</v>
      </c>
      <c r="H4" s="27" t="str">
        <f t="shared" ref="H4:H9" si="2">IF(G4&gt;=0.3,"INVEST &amp; GROW",IF(G4&gt;=0.1,"OPTIMIZE",IF(G4&gt;=0,"MAINTAIN","FIX OR CUT")))</f>
        <v>INVEST &amp; GROW</v>
      </c>
    </row>
    <row r="5" spans="1:8" ht="15" customHeight="1" x14ac:dyDescent="0.2">
      <c r="A5" s="27" t="s">
        <v>221</v>
      </c>
      <c r="B5" s="27">
        <f>SUMIF('④ Client-Service Map'!B$4:B$200,A5,'④ Client-Service Map'!C$4:C$200)</f>
        <v>7.45</v>
      </c>
      <c r="C5" s="27">
        <f>COUNTIFS('④ Client-Service Map'!B$4:B$200,A5,'④ Client-Service Map'!D$4:D$200,"ACTIVE")</f>
        <v>11</v>
      </c>
      <c r="D5" s="51">
        <f>IF(B5=0,0,B5*IFERROR('③ Billing Input'!F$104/SUMIF('④ Client-Service Map'!D$4:D$200,"ACTIVE",'④ Client-Service Map'!C$4:C$200),100000))</f>
        <v>953432.58426966297</v>
      </c>
      <c r="E5" s="51">
        <f>B5*Settings!B6*'Utilization Dashboard'!G8</f>
        <v>639609.16952665721</v>
      </c>
      <c r="F5" s="51">
        <f t="shared" si="0"/>
        <v>313823.41474300576</v>
      </c>
      <c r="G5" s="52">
        <f t="shared" si="1"/>
        <v>0.32915113236180932</v>
      </c>
      <c r="H5" s="27" t="str">
        <f t="shared" si="2"/>
        <v>INVEST &amp; GROW</v>
      </c>
    </row>
    <row r="6" spans="1:8" ht="15" customHeight="1" x14ac:dyDescent="0.2">
      <c r="A6" s="27" t="s">
        <v>294</v>
      </c>
      <c r="B6" s="27">
        <f>SUMIF('④ Client-Service Map'!B$4:B$200,A6,'④ Client-Service Map'!C$4:C$200)</f>
        <v>3.0499999999999994</v>
      </c>
      <c r="C6" s="27">
        <f>COUNTIFS('④ Client-Service Map'!B$4:B$200,A6,'④ Client-Service Map'!D$4:D$200,"ACTIVE")</f>
        <v>10</v>
      </c>
      <c r="D6" s="51">
        <f>IF(B6=0,0,B6*IFERROR('③ Billing Input'!F$104/SUMIF('④ Client-Service Map'!D$4:D$200,"ACTIVE",'④ Client-Service Map'!C$4:C$200),100000))</f>
        <v>390331.46067415719</v>
      </c>
      <c r="E6" s="51">
        <f>B6*Settings!B6*'Utilization Dashboard'!G8</f>
        <v>261853.41839681935</v>
      </c>
      <c r="F6" s="51">
        <f t="shared" si="0"/>
        <v>128478.04227733784</v>
      </c>
      <c r="G6" s="52">
        <f t="shared" si="1"/>
        <v>0.32915113236180921</v>
      </c>
      <c r="H6" s="27" t="str">
        <f t="shared" si="2"/>
        <v>INVEST &amp; GROW</v>
      </c>
    </row>
    <row r="7" spans="1:8" ht="15" customHeight="1" x14ac:dyDescent="0.2">
      <c r="A7" s="27" t="s">
        <v>238</v>
      </c>
      <c r="B7" s="27">
        <f>SUMIF('④ Client-Service Map'!B$4:B$200,A7,'④ Client-Service Map'!C$4:C$200)</f>
        <v>8</v>
      </c>
      <c r="C7" s="27">
        <f>COUNTIFS('④ Client-Service Map'!B$4:B$200,A7,'④ Client-Service Map'!D$4:D$200,"ACTIVE")</f>
        <v>3</v>
      </c>
      <c r="D7" s="51">
        <f>IF(B7=0,0,B7*IFERROR('③ Billing Input'!F$104/SUMIF('④ Client-Service Map'!D$4:D$200,"ACTIVE",'④ Client-Service Map'!C$4:C$200),100000))</f>
        <v>1023820.2247191011</v>
      </c>
      <c r="E7" s="51">
        <f>B7*Settings!B6*'Utilization Dashboard'!G8</f>
        <v>686828.63841788704</v>
      </c>
      <c r="F7" s="51">
        <f t="shared" si="0"/>
        <v>336991.58630121406</v>
      </c>
      <c r="G7" s="52">
        <f t="shared" si="1"/>
        <v>0.32915113236180915</v>
      </c>
      <c r="H7" s="27" t="str">
        <f t="shared" si="2"/>
        <v>INVEST &amp; GROW</v>
      </c>
    </row>
    <row r="8" spans="1:8" ht="15" customHeight="1" x14ac:dyDescent="0.2">
      <c r="A8" s="27" t="s">
        <v>802</v>
      </c>
      <c r="B8" s="27">
        <f>SUMIF('④ Client-Service Map'!B$4:B$200,A8,'④ Client-Service Map'!C$4:C$200)</f>
        <v>1.25</v>
      </c>
      <c r="C8" s="27">
        <f>COUNTIFS('④ Client-Service Map'!B$4:B$200,A8,'④ Client-Service Map'!D$4:D$200,"ACTIVE")</f>
        <v>2</v>
      </c>
      <c r="D8" s="51">
        <f>IF(B8=0,0,B8*IFERROR('③ Billing Input'!F$104/SUMIF('④ Client-Service Map'!D$4:D$200,"ACTIVE",'④ Client-Service Map'!C$4:C$200),100000))</f>
        <v>159971.91011235956</v>
      </c>
      <c r="E8" s="51">
        <f>B8*Settings!B6*'Utilization Dashboard'!G8</f>
        <v>107316.97475279483</v>
      </c>
      <c r="F8" s="51">
        <f t="shared" si="0"/>
        <v>52654.935359564726</v>
      </c>
      <c r="G8" s="52">
        <f t="shared" si="1"/>
        <v>0.32915113236180932</v>
      </c>
      <c r="H8" s="27" t="str">
        <f t="shared" si="2"/>
        <v>INVEST &amp; GROW</v>
      </c>
    </row>
    <row r="9" spans="1:8" ht="15" customHeight="1" x14ac:dyDescent="0.2">
      <c r="A9" s="27" t="s">
        <v>184</v>
      </c>
      <c r="B9" s="27">
        <f>SUMIF('④ Client-Service Map'!B$4:B$200,A9,'④ Client-Service Map'!C$4:C$200)</f>
        <v>1</v>
      </c>
      <c r="C9" s="27">
        <f>COUNTIFS('④ Client-Service Map'!B$4:B$200,A9,'④ Client-Service Map'!D$4:D$200,"ACTIVE")</f>
        <v>1</v>
      </c>
      <c r="D9" s="51">
        <f>IF(B9=0,0,B9*IFERROR('③ Billing Input'!F$104/SUMIF('④ Client-Service Map'!D$4:D$200,"ACTIVE",'④ Client-Service Map'!C$4:C$200),100000))</f>
        <v>127977.52808988764</v>
      </c>
      <c r="E9" s="51">
        <f>B9*Settings!B6*'Utilization Dashboard'!G8</f>
        <v>85853.579802235879</v>
      </c>
      <c r="F9" s="51">
        <f t="shared" si="0"/>
        <v>42123.948287651758</v>
      </c>
      <c r="G9" s="52">
        <f t="shared" si="1"/>
        <v>0.32915113236180915</v>
      </c>
      <c r="H9" s="27" t="str">
        <f t="shared" si="2"/>
        <v>INVEST &amp; GROW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F35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18" customWidth="1"/>
    <col min="3" max="3" width="14" customWidth="1"/>
    <col min="4" max="4" width="16" customWidth="1"/>
    <col min="5" max="5" width="14" customWidth="1"/>
    <col min="6" max="6" width="32" customWidth="1"/>
  </cols>
  <sheetData>
    <row r="1" spans="1:6" ht="17.25" customHeight="1" x14ac:dyDescent="0.2">
      <c r="A1" s="155" t="s">
        <v>997</v>
      </c>
      <c r="B1" s="155"/>
      <c r="C1" s="155"/>
      <c r="D1" s="155"/>
      <c r="E1" s="155"/>
      <c r="F1" s="155"/>
    </row>
    <row r="2" spans="1:6" ht="15" customHeight="1" x14ac:dyDescent="0.2">
      <c r="A2" s="2" t="s">
        <v>998</v>
      </c>
    </row>
    <row r="4" spans="1:6" ht="15" customHeight="1" x14ac:dyDescent="0.2">
      <c r="A4" s="1" t="s">
        <v>999</v>
      </c>
    </row>
    <row r="5" spans="1:6" ht="15" customHeight="1" x14ac:dyDescent="0.2">
      <c r="A5" s="12" t="s">
        <v>852</v>
      </c>
      <c r="B5" s="12" t="s">
        <v>4</v>
      </c>
    </row>
    <row r="6" spans="1:6" ht="15" customHeight="1" x14ac:dyDescent="0.2">
      <c r="A6" s="27" t="s">
        <v>881</v>
      </c>
      <c r="B6" s="27">
        <f>'Utilization Dashboard'!B8</f>
        <v>142</v>
      </c>
    </row>
    <row r="7" spans="1:6" ht="15" customHeight="1" x14ac:dyDescent="0.2">
      <c r="A7" s="27" t="s">
        <v>1000</v>
      </c>
      <c r="B7" s="51">
        <f>'Utilization Dashboard'!D8</f>
        <v>7579755</v>
      </c>
    </row>
    <row r="8" spans="1:6" ht="15" customHeight="1" x14ac:dyDescent="0.2">
      <c r="A8" s="27" t="s">
        <v>1001</v>
      </c>
      <c r="B8" s="27">
        <f>'Utilization Dashboard'!C8</f>
        <v>14125.920000000002</v>
      </c>
    </row>
    <row r="9" spans="1:6" ht="15" customHeight="1" x14ac:dyDescent="0.2">
      <c r="A9" s="27" t="s">
        <v>1002</v>
      </c>
      <c r="B9" s="52">
        <f>'Utilization Dashboard'!H8</f>
        <v>0.62173943661971842</v>
      </c>
    </row>
    <row r="10" spans="1:6" ht="15" customHeight="1" x14ac:dyDescent="0.2">
      <c r="A10" s="27" t="s">
        <v>1003</v>
      </c>
      <c r="B10" s="51">
        <f>'③ Billing Input'!F104</f>
        <v>11390000</v>
      </c>
    </row>
    <row r="11" spans="1:6" ht="15" customHeight="1" x14ac:dyDescent="0.2">
      <c r="A11" s="27" t="s">
        <v>1004</v>
      </c>
      <c r="B11" s="51">
        <f>'Utilization Dashboard'!G8</f>
        <v>536.5848737639742</v>
      </c>
    </row>
    <row r="12" spans="1:6" ht="15" customHeight="1" x14ac:dyDescent="0.2">
      <c r="A12" s="27" t="s">
        <v>1005</v>
      </c>
      <c r="B12" s="27">
        <f>'Utilization Dashboard'!B5</f>
        <v>56</v>
      </c>
    </row>
    <row r="13" spans="1:6" ht="15" customHeight="1" x14ac:dyDescent="0.2">
      <c r="A13" s="27" t="s">
        <v>1006</v>
      </c>
      <c r="B13" s="27">
        <f>'Utilization Dashboard'!B6</f>
        <v>82</v>
      </c>
    </row>
    <row r="14" spans="1:6" ht="15" customHeight="1" x14ac:dyDescent="0.2">
      <c r="A14" s="27" t="s">
        <v>1007</v>
      </c>
      <c r="B14" s="51">
        <f>'Increment Calculator'!R204</f>
        <v>21.8943661971831</v>
      </c>
    </row>
    <row r="17" spans="1:6" ht="15" customHeight="1" x14ac:dyDescent="0.2">
      <c r="A17" s="153" t="s">
        <v>1008</v>
      </c>
      <c r="B17" s="153"/>
      <c r="C17" s="153"/>
      <c r="D17" s="153"/>
      <c r="E17" s="153"/>
      <c r="F17" s="153"/>
    </row>
    <row r="18" spans="1:6" ht="15" customHeight="1" x14ac:dyDescent="0.2">
      <c r="A18" s="12" t="s">
        <v>66</v>
      </c>
      <c r="B18" s="12" t="s">
        <v>1009</v>
      </c>
      <c r="C18" s="12" t="s">
        <v>837</v>
      </c>
      <c r="D18" s="12" t="s">
        <v>800</v>
      </c>
      <c r="E18" s="12" t="s">
        <v>1010</v>
      </c>
      <c r="F18" s="12" t="s">
        <v>1011</v>
      </c>
    </row>
    <row r="19" spans="1:6" ht="15" customHeight="1" x14ac:dyDescent="0.2">
      <c r="A19" s="60" t="str">
        <f>IF('Controller KPIs'!B4="","",'Controller KPIs'!B4)</f>
        <v>Nikita Shah</v>
      </c>
      <c r="B19" s="82">
        <f>IF('Controller KPIs'!B4="","",'Controller KPIs'!C4)</f>
        <v>31</v>
      </c>
      <c r="C19" s="86">
        <f>IF('Controller KPIs'!B4="","",'Controller KPIs'!G4)</f>
        <v>1184153</v>
      </c>
      <c r="D19" s="96">
        <f>IF('Controller KPIs'!B4="","",'Controller KPIs'!J4)</f>
        <v>109.87870967741934</v>
      </c>
      <c r="E19" s="82">
        <f>IF('Controller KPIs'!B4="","",'Controller KPIs'!F4)</f>
        <v>101</v>
      </c>
      <c r="F19" s="82">
        <f>IF('Controller KPIs'!B4="","",'Controller KPIs'!K4)</f>
        <v>0</v>
      </c>
    </row>
    <row r="20" spans="1:6" ht="15" customHeight="1" x14ac:dyDescent="0.2">
      <c r="A20" s="60" t="str">
        <f>IF('Controller KPIs'!B5="","",'Controller KPIs'!B5)</f>
        <v>Jasleen.D</v>
      </c>
      <c r="B20" s="82">
        <f>IF('Controller KPIs'!B5="","",'Controller KPIs'!C5)</f>
        <v>27</v>
      </c>
      <c r="C20" s="86">
        <f>IF('Controller KPIs'!B5="","",'Controller KPIs'!G5)</f>
        <v>1176983</v>
      </c>
      <c r="D20" s="96">
        <f>IF('Controller KPIs'!B5="","",'Controller KPIs'!J5)</f>
        <v>140.44962962962961</v>
      </c>
      <c r="E20" s="82">
        <f>IF('Controller KPIs'!B5="","",'Controller KPIs'!F5)</f>
        <v>107</v>
      </c>
      <c r="F20" s="82">
        <f>IF('Controller KPIs'!B5="","",'Controller KPIs'!K5)</f>
        <v>15</v>
      </c>
    </row>
    <row r="21" spans="1:6" ht="15" customHeight="1" x14ac:dyDescent="0.2">
      <c r="A21" s="60" t="str">
        <f>IF('Controller KPIs'!B6="","",'Controller KPIs'!B6)</f>
        <v>Ayushi</v>
      </c>
      <c r="B21" s="82">
        <f>IF('Controller KPIs'!B6="","",'Controller KPIs'!C6)</f>
        <v>16</v>
      </c>
      <c r="C21" s="86">
        <f>IF('Controller KPIs'!B6="","",'Controller KPIs'!G6)</f>
        <v>592387</v>
      </c>
      <c r="D21" s="96">
        <f>IF('Controller KPIs'!B6="","",'Controller KPIs'!J6)</f>
        <v>112.72437499999999</v>
      </c>
      <c r="E21" s="82">
        <f>IF('Controller KPIs'!B6="","",'Controller KPIs'!F6)</f>
        <v>0</v>
      </c>
      <c r="F21" s="82">
        <f>IF('Controller KPIs'!B6="","",'Controller KPIs'!K6)</f>
        <v>13</v>
      </c>
    </row>
    <row r="22" spans="1:6" ht="15" customHeight="1" x14ac:dyDescent="0.2">
      <c r="A22" s="60" t="str">
        <f>IF('Controller KPIs'!B7="","",'Controller KPIs'!B7)</f>
        <v>Jyoti</v>
      </c>
      <c r="B22" s="82">
        <f>IF('Controller KPIs'!B7="","",'Controller KPIs'!C7)</f>
        <v>11</v>
      </c>
      <c r="C22" s="86">
        <f>IF('Controller KPIs'!B7="","",'Controller KPIs'!G7)</f>
        <v>481145</v>
      </c>
      <c r="D22" s="96">
        <f>IF('Controller KPIs'!B7="","",'Controller KPIs'!J7)</f>
        <v>144.08545454545455</v>
      </c>
      <c r="E22" s="82">
        <f>IF('Controller KPIs'!B7="","",'Controller KPIs'!F7)</f>
        <v>151.9</v>
      </c>
      <c r="F22" s="82">
        <f>IF('Controller KPIs'!B7="","",'Controller KPIs'!K7)</f>
        <v>13</v>
      </c>
    </row>
    <row r="23" spans="1:6" ht="15" customHeight="1" x14ac:dyDescent="0.2">
      <c r="A23" s="60" t="str">
        <f>IF('Controller KPIs'!B8="","",'Controller KPIs'!B8)</f>
        <v>Smriti Shah</v>
      </c>
      <c r="B23" s="117">
        <f>IF('Controller KPIs'!B8="","",'Controller KPIs'!C8)</f>
        <v>12</v>
      </c>
      <c r="C23" s="86">
        <f>IF('Controller KPIs'!B8="","",'Controller KPIs'!G8)</f>
        <v>503850</v>
      </c>
      <c r="D23" s="96">
        <f>IF('Controller KPIs'!B8="","",'Controller KPIs'!J8)</f>
        <v>95.311666666666667</v>
      </c>
      <c r="E23" s="82">
        <f>IF('Controller KPIs'!B8="","",'Controller KPIs'!F8)</f>
        <v>42.75</v>
      </c>
      <c r="F23" s="82">
        <f>IF('Controller KPIs'!B8="","",'Controller KPIs'!K8)</f>
        <v>0</v>
      </c>
    </row>
    <row r="24" spans="1:6" ht="15" customHeight="1" x14ac:dyDescent="0.2">
      <c r="A24" s="60" t="str">
        <f>IF('Controller KPIs'!B9="","",'Controller KPIs'!B9)</f>
        <v>Sachi Mazumdar</v>
      </c>
      <c r="B24" s="86">
        <f>IF('Controller KPIs'!B9="","",'Controller KPIs'!C9)</f>
        <v>6</v>
      </c>
      <c r="C24" s="86">
        <f>IF('Controller KPIs'!B9="","",'Controller KPIs'!G9)</f>
        <v>1300002</v>
      </c>
      <c r="D24" s="96">
        <f>IF('Controller KPIs'!B9="","",'Controller KPIs'!J9)</f>
        <v>122.66666666666667</v>
      </c>
      <c r="E24" s="82">
        <f>IF('Controller KPIs'!B9="","",'Controller KPIs'!F9)</f>
        <v>0</v>
      </c>
      <c r="F24" s="82">
        <f>IF('Controller KPIs'!B9="","",'Controller KPIs'!K9)</f>
        <v>0</v>
      </c>
    </row>
    <row r="25" spans="1:6" ht="15" customHeight="1" x14ac:dyDescent="0.2">
      <c r="A25" s="60" t="str">
        <f>IF('Controller KPIs'!B10="","",'Controller KPIs'!B10)</f>
        <v>Vinita Dagar</v>
      </c>
      <c r="B25" s="118">
        <f>IF('Controller KPIs'!B10="","",'Controller KPIs'!C10)</f>
        <v>7</v>
      </c>
      <c r="C25" s="86">
        <f>IF('Controller KPIs'!B10="","",'Controller KPIs'!G10)</f>
        <v>198000</v>
      </c>
      <c r="D25" s="96">
        <f>IF('Controller KPIs'!B10="","",'Controller KPIs'!J10)</f>
        <v>78.77428571428571</v>
      </c>
      <c r="E25" s="82">
        <f>IF('Controller KPIs'!B10="","",'Controller KPIs'!F10)</f>
        <v>10.42</v>
      </c>
      <c r="F25" s="82">
        <f>IF('Controller KPIs'!B10="","",'Controller KPIs'!K10)</f>
        <v>0</v>
      </c>
    </row>
    <row r="26" spans="1:6" ht="15" customHeight="1" x14ac:dyDescent="0.2">
      <c r="A26" s="60" t="str">
        <f>IF('Controller KPIs'!B11="","",'Controller KPIs'!B11)</f>
        <v>Ammie</v>
      </c>
      <c r="B26" s="118">
        <f>IF('Controller KPIs'!B11="","",'Controller KPIs'!C11)</f>
        <v>6</v>
      </c>
      <c r="C26" s="86">
        <f>IF('Controller KPIs'!B11="","",'Controller KPIs'!G11)</f>
        <v>0</v>
      </c>
      <c r="D26" s="96">
        <f>IF('Controller KPIs'!B11="","",'Controller KPIs'!J11)</f>
        <v>30.844999999999999</v>
      </c>
      <c r="E26" s="82">
        <f>IF('Controller KPIs'!B11="","",'Controller KPIs'!F11)</f>
        <v>177.82</v>
      </c>
      <c r="F26" s="82">
        <f>IF('Controller KPIs'!B11="","",'Controller KPIs'!K11)</f>
        <v>11</v>
      </c>
    </row>
    <row r="27" spans="1:6" ht="15" customHeight="1" x14ac:dyDescent="0.2">
      <c r="A27" s="60" t="str">
        <f>IF('Controller KPIs'!B12="","",'Controller KPIs'!B12)</f>
        <v>Angela</v>
      </c>
      <c r="B27" s="82">
        <f>IF('Controller KPIs'!B12="","",'Controller KPIs'!C12)</f>
        <v>4</v>
      </c>
      <c r="C27" s="86">
        <f>IF('Controller KPIs'!B12="","",'Controller KPIs'!G12)</f>
        <v>0</v>
      </c>
      <c r="D27" s="96">
        <f>IF('Controller KPIs'!B12="","",'Controller KPIs'!J12)</f>
        <v>16</v>
      </c>
      <c r="E27" s="82">
        <f>IF('Controller KPIs'!B12="","",'Controller KPIs'!F12)</f>
        <v>16</v>
      </c>
      <c r="F27" s="82">
        <f>IF('Controller KPIs'!B12="","",'Controller KPIs'!K12)</f>
        <v>0</v>
      </c>
    </row>
    <row r="28" spans="1:6" ht="15" customHeight="1" x14ac:dyDescent="0.2">
      <c r="A28" s="60" t="str">
        <f>IF('Controller KPIs'!B13="","",'Controller KPIs'!B13)</f>
        <v>Sarah</v>
      </c>
      <c r="B28" s="82">
        <f>IF('Controller KPIs'!B13="","",'Controller KPIs'!C13)</f>
        <v>1</v>
      </c>
      <c r="C28" s="86">
        <f>IF('Controller KPIs'!B13="","",'Controller KPIs'!G13)</f>
        <v>75000</v>
      </c>
      <c r="D28" s="96">
        <f>IF('Controller KPIs'!B13="","",'Controller KPIs'!J13)</f>
        <v>150.27000000000001</v>
      </c>
      <c r="E28" s="82">
        <f>IF('Controller KPIs'!B13="","",'Controller KPIs'!F13)</f>
        <v>0</v>
      </c>
      <c r="F28" s="82">
        <f>IF('Controller KPIs'!B13="","",'Controller KPIs'!K13)</f>
        <v>0</v>
      </c>
    </row>
    <row r="29" spans="1:6" ht="15" customHeight="1" x14ac:dyDescent="0.2">
      <c r="A29" s="60" t="str">
        <f>IF('Controller KPIs'!B14="","",'Controller KPIs'!B14)</f>
        <v>Akhilesh Sirvi</v>
      </c>
      <c r="B29" s="82">
        <f>IF('Controller KPIs'!B14="","",'Controller KPIs'!C14)</f>
        <v>2</v>
      </c>
      <c r="C29" s="86">
        <f>IF('Controller KPIs'!B14="","",'Controller KPIs'!G14)</f>
        <v>0</v>
      </c>
      <c r="D29" s="96">
        <f>IF('Controller KPIs'!B14="","",'Controller KPIs'!J14)</f>
        <v>94.43</v>
      </c>
      <c r="E29" s="82">
        <f>IF('Controller KPIs'!B14="","",'Controller KPIs'!F14)</f>
        <v>0</v>
      </c>
      <c r="F29" s="82">
        <f>IF('Controller KPIs'!B14="","",'Controller KPIs'!K14)</f>
        <v>0</v>
      </c>
    </row>
    <row r="30" spans="1:6" ht="15" customHeight="1" x14ac:dyDescent="0.2">
      <c r="A30" s="60" t="str">
        <f>IF('Controller KPIs'!B15="","",'Controller KPIs'!B15)</f>
        <v>Prachi Guglani</v>
      </c>
      <c r="B30" s="82">
        <f>IF('Controller KPIs'!B15="","",'Controller KPIs'!C15)</f>
        <v>1</v>
      </c>
      <c r="C30" s="86">
        <f>IF('Controller KPIs'!B15="","",'Controller KPIs'!G15)</f>
        <v>208333</v>
      </c>
      <c r="D30" s="96">
        <f>IF('Controller KPIs'!B15="","",'Controller KPIs'!J15)</f>
        <v>153</v>
      </c>
      <c r="E30" s="82">
        <f>IF('Controller KPIs'!B15="","",'Controller KPIs'!F15)</f>
        <v>0</v>
      </c>
      <c r="F30" s="82">
        <f>IF('Controller KPIs'!B15="","",'Controller KPIs'!K15)</f>
        <v>0</v>
      </c>
    </row>
    <row r="31" spans="1:6" ht="15" customHeight="1" x14ac:dyDescent="0.2">
      <c r="A31" s="60" t="str">
        <f>IF('Controller KPIs'!B16="","",'Controller KPIs'!B16)</f>
        <v>Snehal Kothari</v>
      </c>
      <c r="B31" s="82">
        <f>IF('Controller KPIs'!B16="","",'Controller KPIs'!C16)</f>
        <v>0</v>
      </c>
      <c r="C31" s="86">
        <f>IF('Controller KPIs'!B16="","",'Controller KPIs'!G16)</f>
        <v>0</v>
      </c>
      <c r="D31" s="96">
        <f>IF('Controller KPIs'!B16="","",'Controller KPIs'!J16)</f>
        <v>0</v>
      </c>
      <c r="E31" s="82">
        <f>IF('Controller KPIs'!B16="","",'Controller KPIs'!F16)</f>
        <v>0</v>
      </c>
      <c r="F31" s="82">
        <f>IF('Controller KPIs'!B16="","",'Controller KPIs'!K16)</f>
        <v>0</v>
      </c>
    </row>
    <row r="32" spans="1:6" ht="15" customHeight="1" x14ac:dyDescent="0.2">
      <c r="A32" s="60" t="str">
        <f>IF('Controller KPIs'!B17="","",'Controller KPIs'!B17)</f>
        <v>Tithi Gandhi</v>
      </c>
      <c r="B32" s="82">
        <f>IF('Controller KPIs'!B17="","",'Controller KPIs'!C17)</f>
        <v>1</v>
      </c>
      <c r="C32" s="86">
        <f>IF('Controller KPIs'!B17="","",'Controller KPIs'!G17)</f>
        <v>54839</v>
      </c>
      <c r="D32" s="96">
        <f>IF('Controller KPIs'!B17="","",'Controller KPIs'!J17)</f>
        <v>136.63</v>
      </c>
      <c r="E32" s="82">
        <f>IF('Controller KPIs'!B17="","",'Controller KPIs'!F17)</f>
        <v>0</v>
      </c>
      <c r="F32" s="82">
        <f>IF('Controller KPIs'!B17="","",'Controller KPIs'!K17)</f>
        <v>0</v>
      </c>
    </row>
    <row r="33" spans="1:6" ht="15" customHeight="1" x14ac:dyDescent="0.2">
      <c r="A33" s="60" t="str">
        <f>IF('Controller KPIs'!B18="","",'Controller KPIs'!B18)</f>
        <v>Suhani</v>
      </c>
      <c r="B33" s="82">
        <f>IF('Controller KPIs'!B18="","",'Controller KPIs'!C18)</f>
        <v>1</v>
      </c>
      <c r="C33" s="86">
        <f>IF('Controller KPIs'!B18="","",'Controller KPIs'!G18)</f>
        <v>0</v>
      </c>
      <c r="D33" s="96">
        <f>IF('Controller KPIs'!B18="","",'Controller KPIs'!J18)</f>
        <v>0</v>
      </c>
      <c r="E33" s="82">
        <f>IF('Controller KPIs'!B18="","",'Controller KPIs'!F18)</f>
        <v>0</v>
      </c>
      <c r="F33" s="82">
        <f>IF('Controller KPIs'!B18="","",'Controller KPIs'!K18)</f>
        <v>0</v>
      </c>
    </row>
    <row r="34" spans="1:6" x14ac:dyDescent="0.2">
      <c r="A34" s="60" t="str">
        <f>IF('Controller KPIs'!B19="","",'Controller KPIs'!B19)</f>
        <v>Sukhmeen.K</v>
      </c>
      <c r="B34" s="82">
        <f>IF('Controller KPIs'!B19="","",'Controller KPIs'!C19)</f>
        <v>2</v>
      </c>
      <c r="C34" s="82">
        <f>IF('Controller KPIs'!B19="","",'Controller KPIs'!G19)</f>
        <v>47805</v>
      </c>
      <c r="D34" s="84">
        <f>IF('Controller KPIs'!B19="","",'Controller KPIs'!J19)</f>
        <v>71.010000000000005</v>
      </c>
      <c r="E34" s="84">
        <f>IF('Controller KPIs'!B19="","",'Controller KPIs'!F19)</f>
        <v>0</v>
      </c>
      <c r="F34" s="82">
        <f>IF('Controller KPIs'!B19="","",'Controller KPIs'!K19)</f>
        <v>0</v>
      </c>
    </row>
    <row r="35" spans="1:6" x14ac:dyDescent="0.2">
      <c r="A35" s="60" t="str">
        <f>IF('Controller KPIs'!B20="","",'Controller KPIs'!B20)</f>
        <v>Unassigned / Self-Managed</v>
      </c>
      <c r="B35" s="60">
        <f>IF('Controller KPIs'!B20="","",'Controller KPIs'!C20)</f>
        <v>4</v>
      </c>
      <c r="C35" s="82">
        <f>IF('Controller KPIs'!B20="","",'Controller KPIs'!G20)</f>
        <v>1757258</v>
      </c>
      <c r="D35" s="60">
        <f>IF('Controller KPIs'!B20="","",'Controller KPIs'!J20)</f>
        <v>0</v>
      </c>
      <c r="E35" s="84">
        <f>IF('Controller KPIs'!B20="","",'Controller KPIs'!F20)</f>
        <v>0</v>
      </c>
      <c r="F35" s="60">
        <f>IF('Controller KPIs'!B20="","",'Controller KPIs'!K20)</f>
        <v>0</v>
      </c>
    </row>
  </sheetData>
  <mergeCells count="2">
    <mergeCell ref="A1:F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L93"/>
  <sheetViews>
    <sheetView zoomScaleNormal="100" workbookViewId="0"/>
  </sheetViews>
  <sheetFormatPr baseColWidth="10" defaultColWidth="8.6640625" defaultRowHeight="15" customHeight="1" x14ac:dyDescent="0.2"/>
  <cols>
    <col min="1" max="1" width="6" customWidth="1"/>
    <col min="2" max="2" width="36" customWidth="1"/>
    <col min="3" max="3" width="12" customWidth="1"/>
    <col min="4" max="4" width="16" customWidth="1"/>
    <col min="5" max="5" width="18" customWidth="1"/>
    <col min="6" max="7" width="14" customWidth="1"/>
    <col min="8" max="8" width="16" customWidth="1"/>
    <col min="9" max="9" width="10" customWidth="1"/>
    <col min="10" max="10" width="14" customWidth="1"/>
    <col min="11" max="11" width="12" customWidth="1"/>
    <col min="12" max="12" width="14" customWidth="1"/>
  </cols>
  <sheetData>
    <row r="1" spans="1:12" ht="17.25" customHeight="1" x14ac:dyDescent="0.2">
      <c r="A1" s="143" t="s">
        <v>1012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ht="15" customHeight="1" x14ac:dyDescent="0.2">
      <c r="A2" s="145" t="s">
        <v>1013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</row>
    <row r="3" spans="1:12" ht="23.25" customHeight="1" x14ac:dyDescent="0.2">
      <c r="A3" s="12" t="s">
        <v>1014</v>
      </c>
      <c r="B3" s="12" t="s">
        <v>695</v>
      </c>
      <c r="C3" s="12" t="s">
        <v>946</v>
      </c>
      <c r="D3" s="12" t="s">
        <v>698</v>
      </c>
      <c r="E3" s="12" t="s">
        <v>1015</v>
      </c>
      <c r="F3" s="12" t="s">
        <v>1016</v>
      </c>
      <c r="G3" s="12" t="s">
        <v>1017</v>
      </c>
      <c r="H3" s="12" t="s">
        <v>1018</v>
      </c>
      <c r="I3" s="12" t="s">
        <v>995</v>
      </c>
      <c r="J3" s="12" t="s">
        <v>1019</v>
      </c>
      <c r="K3" s="12" t="s">
        <v>1020</v>
      </c>
      <c r="L3" s="12" t="s">
        <v>1021</v>
      </c>
    </row>
    <row r="4" spans="1:12" ht="15" customHeight="1" x14ac:dyDescent="0.2">
      <c r="A4" s="46">
        <v>1</v>
      </c>
      <c r="B4" s="46" t="s">
        <v>755</v>
      </c>
      <c r="C4" s="49">
        <f>IFERROR(VLOOKUP(B4,'③ Billing Input'!B$4:F$103,4,FALSE()),0)</f>
        <v>21820</v>
      </c>
      <c r="D4" s="49">
        <f>C4*Settings!B8</f>
        <v>1854700</v>
      </c>
      <c r="E4" s="49">
        <f>SUMPRODUCT(('⑤ Emp-Client Hours'!$C$4:$C$412=B4)*('⑤ Emp-Client Hours'!$F$4:$F$412="NO")*'⑤ Emp-Client Hours'!$D$4:$D$412*'⑤ Emp-Client Hours'!$G$4:$G$412)</f>
        <v>0</v>
      </c>
      <c r="F4" s="46">
        <f>COUNTIFS('⑤ Emp-Client Hours'!$C$4:$C$412,B4,'⑤ Emp-Client Hours'!$F$4:$F$412,"NO")</f>
        <v>0</v>
      </c>
      <c r="G4" s="119">
        <f>SUMIFS('⑤ Emp-Client Hours'!$D$4:$D$412,'⑤ Emp-Client Hours'!$C$4:$C$412,B4,'⑤ Emp-Client Hours'!$F$4:$F$412,"NO")</f>
        <v>0</v>
      </c>
      <c r="H4" s="49">
        <f t="shared" ref="H4:H35" si="0">D4-E4</f>
        <v>1854700</v>
      </c>
      <c r="I4" s="48">
        <f t="shared" ref="I4:I35" si="1">IF(D4=0,IF(E4&gt;0,-1,0),H4/D4)</f>
        <v>1</v>
      </c>
      <c r="J4" s="49">
        <f t="shared" ref="J4:J35" si="2">IF(G4=0,0,D4/G4)</f>
        <v>0</v>
      </c>
      <c r="K4" s="49">
        <f t="shared" ref="K4:K35" si="3">IF(G4=0,0,E4/G4)</f>
        <v>0</v>
      </c>
      <c r="L4" s="46" t="str">
        <f t="shared" ref="L4:L35" si="4">IF(AND(D4=0,E4&gt;0),"NO BILLING",IF(AND(D4=0,E4=0),"INACTIVE",IF(I4&gt;=0.3,"PROFITABLE",IF(I4&gt;=0.1,"MODERATE",IF(I4&gt;=0,"BREAK-EVEN","LOSS-MAKING")))))</f>
        <v>PROFITABLE</v>
      </c>
    </row>
    <row r="5" spans="1:12" ht="15" customHeight="1" x14ac:dyDescent="0.2">
      <c r="A5" s="46">
        <v>2</v>
      </c>
      <c r="B5" s="46" t="s">
        <v>772</v>
      </c>
      <c r="C5" s="49">
        <f>IFERROR(VLOOKUP(B5,'③ Billing Input'!B$4:F$103,4,FALSE()),0)</f>
        <v>12550</v>
      </c>
      <c r="D5" s="49">
        <f>C5*Settings!B8</f>
        <v>1066750</v>
      </c>
      <c r="E5" s="49">
        <f>SUMPRODUCT(('⑤ Emp-Client Hours'!$C$4:$C$412=B5)*('⑤ Emp-Client Hours'!$F$4:$F$412="NO")*'⑤ Emp-Client Hours'!$D$4:$D$412*'⑤ Emp-Client Hours'!$G$4:$G$412)</f>
        <v>0</v>
      </c>
      <c r="F5" s="46">
        <f>COUNTIFS('⑤ Emp-Client Hours'!$C$4:$C$412,B5,'⑤ Emp-Client Hours'!$F$4:$F$412,"NO")</f>
        <v>0</v>
      </c>
      <c r="G5" s="119">
        <f>SUMIFS('⑤ Emp-Client Hours'!$D$4:$D$412,'⑤ Emp-Client Hours'!$C$4:$C$412,B5,'⑤ Emp-Client Hours'!$F$4:$F$412,"NO")</f>
        <v>0</v>
      </c>
      <c r="H5" s="49">
        <f t="shared" si="0"/>
        <v>1066750</v>
      </c>
      <c r="I5" s="48">
        <f t="shared" si="1"/>
        <v>1</v>
      </c>
      <c r="J5" s="49">
        <f t="shared" si="2"/>
        <v>0</v>
      </c>
      <c r="K5" s="49">
        <f t="shared" si="3"/>
        <v>0</v>
      </c>
      <c r="L5" s="46" t="str">
        <f t="shared" si="4"/>
        <v>PROFITABLE</v>
      </c>
    </row>
    <row r="6" spans="1:12" ht="15" customHeight="1" x14ac:dyDescent="0.2">
      <c r="A6" s="46">
        <v>3</v>
      </c>
      <c r="B6" s="46" t="s">
        <v>121</v>
      </c>
      <c r="C6" s="49">
        <f>IFERROR(VLOOKUP(B6,'③ Billing Input'!B$4:F$103,4,FALSE()),0)</f>
        <v>8300</v>
      </c>
      <c r="D6" s="49">
        <f>C6*Settings!B8</f>
        <v>705500</v>
      </c>
      <c r="E6" s="49">
        <f>SUMPRODUCT(('⑤ Emp-Client Hours'!$C$4:$C$412=B6)*('⑤ Emp-Client Hours'!$F$4:$F$412="NO")*'⑤ Emp-Client Hours'!$D$4:$D$412*'⑤ Emp-Client Hours'!$G$4:$G$412)</f>
        <v>0</v>
      </c>
      <c r="F6" s="46">
        <f>COUNTIFS('⑤ Emp-Client Hours'!$C$4:$C$412,B6,'⑤ Emp-Client Hours'!$F$4:$F$412,"NO")</f>
        <v>1</v>
      </c>
      <c r="G6" s="119">
        <f>SUMIFS('⑤ Emp-Client Hours'!$D$4:$D$412,'⑤ Emp-Client Hours'!$C$4:$C$412,B6,'⑤ Emp-Client Hours'!$F$4:$F$412,"NO")</f>
        <v>0</v>
      </c>
      <c r="H6" s="49">
        <f t="shared" si="0"/>
        <v>705500</v>
      </c>
      <c r="I6" s="48">
        <f t="shared" si="1"/>
        <v>1</v>
      </c>
      <c r="J6" s="49">
        <f t="shared" si="2"/>
        <v>0</v>
      </c>
      <c r="K6" s="49">
        <f t="shared" si="3"/>
        <v>0</v>
      </c>
      <c r="L6" s="46" t="str">
        <f t="shared" si="4"/>
        <v>PROFITABLE</v>
      </c>
    </row>
    <row r="7" spans="1:12" ht="15" customHeight="1" x14ac:dyDescent="0.2">
      <c r="A7" s="46">
        <v>4</v>
      </c>
      <c r="B7" s="46" t="s">
        <v>80</v>
      </c>
      <c r="C7" s="49">
        <f>IFERROR(VLOOKUP(B7,'③ Billing Input'!B$4:F$103,4,FALSE()),0)</f>
        <v>5800</v>
      </c>
      <c r="D7" s="49">
        <f>C7*Settings!B8</f>
        <v>493000</v>
      </c>
      <c r="E7" s="49">
        <f>SUMPRODUCT(('⑤ Emp-Client Hours'!$C$4:$C$412=B7)*('⑤ Emp-Client Hours'!$F$4:$F$412="NO")*'⑤ Emp-Client Hours'!$D$4:$D$412*'⑤ Emp-Client Hours'!$G$4:$G$412)</f>
        <v>0</v>
      </c>
      <c r="F7" s="46">
        <f>COUNTIFS('⑤ Emp-Client Hours'!$C$4:$C$412,B7,'⑤ Emp-Client Hours'!$F$4:$F$412,"NO")</f>
        <v>5</v>
      </c>
      <c r="G7" s="119">
        <f>SUMIFS('⑤ Emp-Client Hours'!$D$4:$D$412,'⑤ Emp-Client Hours'!$C$4:$C$412,B7,'⑤ Emp-Client Hours'!$F$4:$F$412,"NO")</f>
        <v>0</v>
      </c>
      <c r="H7" s="49">
        <f t="shared" si="0"/>
        <v>493000</v>
      </c>
      <c r="I7" s="48">
        <f t="shared" si="1"/>
        <v>1</v>
      </c>
      <c r="J7" s="49">
        <f t="shared" si="2"/>
        <v>0</v>
      </c>
      <c r="K7" s="49">
        <f t="shared" si="3"/>
        <v>0</v>
      </c>
      <c r="L7" s="46" t="str">
        <f t="shared" si="4"/>
        <v>PROFITABLE</v>
      </c>
    </row>
    <row r="8" spans="1:12" ht="15" customHeight="1" x14ac:dyDescent="0.2">
      <c r="A8" s="46">
        <v>5</v>
      </c>
      <c r="B8" s="46" t="s">
        <v>117</v>
      </c>
      <c r="C8" s="49">
        <f>IFERROR(VLOOKUP(B8,'③ Billing Input'!B$4:F$103,4,FALSE()),0)</f>
        <v>4000</v>
      </c>
      <c r="D8" s="49">
        <f>C8*Settings!B8</f>
        <v>340000</v>
      </c>
      <c r="E8" s="49">
        <f>SUMPRODUCT(('⑤ Emp-Client Hours'!$C$4:$C$412=B8)*('⑤ Emp-Client Hours'!$F$4:$F$412="NO")*'⑤ Emp-Client Hours'!$D$4:$D$412*'⑤ Emp-Client Hours'!$G$4:$G$412)</f>
        <v>120898.41699999999</v>
      </c>
      <c r="F8" s="46">
        <f>COUNTIFS('⑤ Emp-Client Hours'!$C$4:$C$412,B8,'⑤ Emp-Client Hours'!$F$4:$F$412,"NO")</f>
        <v>12</v>
      </c>
      <c r="G8" s="119">
        <f>SUMIFS('⑤ Emp-Client Hours'!$D$4:$D$412,'⑤ Emp-Client Hours'!$C$4:$C$412,B8,'⑤ Emp-Client Hours'!$F$4:$F$412,"NO")</f>
        <v>40.159999999999997</v>
      </c>
      <c r="H8" s="49">
        <f t="shared" si="0"/>
        <v>219101.58300000001</v>
      </c>
      <c r="I8" s="48">
        <f t="shared" si="1"/>
        <v>0.64441642058823534</v>
      </c>
      <c r="J8" s="49">
        <f t="shared" si="2"/>
        <v>8466.1354581673313</v>
      </c>
      <c r="K8" s="49">
        <f t="shared" si="3"/>
        <v>3010.4187499999998</v>
      </c>
      <c r="L8" s="46" t="str">
        <f t="shared" si="4"/>
        <v>PROFITABLE</v>
      </c>
    </row>
    <row r="9" spans="1:12" ht="15" customHeight="1" x14ac:dyDescent="0.2">
      <c r="A9" s="46">
        <v>6</v>
      </c>
      <c r="B9" s="46" t="s">
        <v>124</v>
      </c>
      <c r="C9" s="49">
        <f>IFERROR(VLOOKUP(B9,'③ Billing Input'!B$4:F$103,4,FALSE()),0)</f>
        <v>3600</v>
      </c>
      <c r="D9" s="49">
        <f>C9*Settings!B8</f>
        <v>306000</v>
      </c>
      <c r="E9" s="49">
        <f>SUMPRODUCT(('⑤ Emp-Client Hours'!$C$4:$C$412=B9)*('⑤ Emp-Client Hours'!$F$4:$F$412="NO")*'⑤ Emp-Client Hours'!$D$4:$D$412*'⑤ Emp-Client Hours'!$G$4:$G$412)</f>
        <v>26895.907500000001</v>
      </c>
      <c r="F9" s="46">
        <f>COUNTIFS('⑤ Emp-Client Hours'!$C$4:$C$412,B9,'⑤ Emp-Client Hours'!$F$4:$F$412,"NO")</f>
        <v>17</v>
      </c>
      <c r="G9" s="119">
        <f>SUMIFS('⑤ Emp-Client Hours'!$D$4:$D$412,'⑤ Emp-Client Hours'!$C$4:$C$412,B9,'⑤ Emp-Client Hours'!$F$4:$F$412,"NO")</f>
        <v>111.07000000000001</v>
      </c>
      <c r="H9" s="49">
        <f t="shared" si="0"/>
        <v>279104.09250000003</v>
      </c>
      <c r="I9" s="48">
        <f t="shared" si="1"/>
        <v>0.91210487745098046</v>
      </c>
      <c r="J9" s="49">
        <f t="shared" si="2"/>
        <v>2755.0193571621498</v>
      </c>
      <c r="K9" s="49">
        <f t="shared" si="3"/>
        <v>242.15276402268839</v>
      </c>
      <c r="L9" s="46" t="str">
        <f t="shared" si="4"/>
        <v>PROFITABLE</v>
      </c>
    </row>
    <row r="10" spans="1:12" ht="15" customHeight="1" x14ac:dyDescent="0.2">
      <c r="A10" s="46">
        <v>7</v>
      </c>
      <c r="B10" s="46" t="s">
        <v>77</v>
      </c>
      <c r="C10" s="49">
        <f>IFERROR(VLOOKUP(B10,'③ Billing Input'!B$4:F$103,4,FALSE()),0)</f>
        <v>3600</v>
      </c>
      <c r="D10" s="49">
        <f>C10*Settings!B8</f>
        <v>306000</v>
      </c>
      <c r="E10" s="49">
        <f>SUMPRODUCT(('⑤ Emp-Client Hours'!$C$4:$C$412=B10)*('⑤ Emp-Client Hours'!$F$4:$F$412="NO")*'⑤ Emp-Client Hours'!$D$4:$D$412*'⑤ Emp-Client Hours'!$G$4:$G$412)</f>
        <v>0</v>
      </c>
      <c r="F10" s="46">
        <f>COUNTIFS('⑤ Emp-Client Hours'!$C$4:$C$412,B10,'⑤ Emp-Client Hours'!$F$4:$F$412,"NO")</f>
        <v>10</v>
      </c>
      <c r="G10" s="119">
        <f>SUMIFS('⑤ Emp-Client Hours'!$D$4:$D$412,'⑤ Emp-Client Hours'!$C$4:$C$412,B10,'⑤ Emp-Client Hours'!$F$4:$F$412,"NO")</f>
        <v>0</v>
      </c>
      <c r="H10" s="49">
        <f t="shared" si="0"/>
        <v>306000</v>
      </c>
      <c r="I10" s="48">
        <f t="shared" si="1"/>
        <v>1</v>
      </c>
      <c r="J10" s="49">
        <f t="shared" si="2"/>
        <v>0</v>
      </c>
      <c r="K10" s="49">
        <f t="shared" si="3"/>
        <v>0</v>
      </c>
      <c r="L10" s="46" t="str">
        <f t="shared" si="4"/>
        <v>PROFITABLE</v>
      </c>
    </row>
    <row r="11" spans="1:12" ht="15" customHeight="1" x14ac:dyDescent="0.2">
      <c r="A11" s="46">
        <v>8</v>
      </c>
      <c r="B11" s="46" t="s">
        <v>745</v>
      </c>
      <c r="C11" s="49">
        <f>IFERROR(VLOOKUP(B11,'③ Billing Input'!B$4:F$103,4,FALSE()),0)</f>
        <v>3600</v>
      </c>
      <c r="D11" s="49">
        <f>C11*Settings!B8</f>
        <v>306000</v>
      </c>
      <c r="E11" s="49">
        <f>SUMPRODUCT(('⑤ Emp-Client Hours'!$C$4:$C$412=B11)*('⑤ Emp-Client Hours'!$F$4:$F$412="NO")*'⑤ Emp-Client Hours'!$D$4:$D$412*'⑤ Emp-Client Hours'!$G$4:$G$412)</f>
        <v>0</v>
      </c>
      <c r="F11" s="46">
        <f>COUNTIFS('⑤ Emp-Client Hours'!$C$4:$C$412,B11,'⑤ Emp-Client Hours'!$F$4:$F$412,"NO")</f>
        <v>0</v>
      </c>
      <c r="G11" s="119">
        <f>SUMIFS('⑤ Emp-Client Hours'!$D$4:$D$412,'⑤ Emp-Client Hours'!$C$4:$C$412,B11,'⑤ Emp-Client Hours'!$F$4:$F$412,"NO")</f>
        <v>0</v>
      </c>
      <c r="H11" s="49">
        <f t="shared" si="0"/>
        <v>306000</v>
      </c>
      <c r="I11" s="48">
        <f t="shared" si="1"/>
        <v>1</v>
      </c>
      <c r="J11" s="49">
        <f t="shared" si="2"/>
        <v>0</v>
      </c>
      <c r="K11" s="49">
        <f t="shared" si="3"/>
        <v>0</v>
      </c>
      <c r="L11" s="46" t="str">
        <f t="shared" si="4"/>
        <v>PROFITABLE</v>
      </c>
    </row>
    <row r="12" spans="1:12" ht="15" customHeight="1" x14ac:dyDescent="0.2">
      <c r="A12" s="46">
        <v>9</v>
      </c>
      <c r="B12" s="46" t="s">
        <v>81</v>
      </c>
      <c r="C12" s="49">
        <f>IFERROR(VLOOKUP(B12,'③ Billing Input'!B$4:F$103,4,FALSE()),0)</f>
        <v>3400</v>
      </c>
      <c r="D12" s="49">
        <f>C12*Settings!B8</f>
        <v>289000</v>
      </c>
      <c r="E12" s="49">
        <f>SUMPRODUCT(('⑤ Emp-Client Hours'!$C$4:$C$412=B12)*('⑤ Emp-Client Hours'!$F$4:$F$412="NO")*'⑤ Emp-Client Hours'!$D$4:$D$412*'⑤ Emp-Client Hours'!$G$4:$G$412)</f>
        <v>39216.9575625</v>
      </c>
      <c r="F12" s="46">
        <f>COUNTIFS('⑤ Emp-Client Hours'!$C$4:$C$412,B12,'⑤ Emp-Client Hours'!$F$4:$F$412,"NO")</f>
        <v>8</v>
      </c>
      <c r="G12" s="119">
        <f>SUMIFS('⑤ Emp-Client Hours'!$D$4:$D$412,'⑤ Emp-Client Hours'!$C$4:$C$412,B12,'⑤ Emp-Client Hours'!$F$4:$F$412,"NO")</f>
        <v>153.23999999999998</v>
      </c>
      <c r="H12" s="49">
        <f t="shared" si="0"/>
        <v>249783.0424375</v>
      </c>
      <c r="I12" s="48">
        <f t="shared" si="1"/>
        <v>0.86430118490484431</v>
      </c>
      <c r="J12" s="49">
        <f t="shared" si="2"/>
        <v>1885.9305664317412</v>
      </c>
      <c r="K12" s="49">
        <f t="shared" si="3"/>
        <v>255.91854321652312</v>
      </c>
      <c r="L12" s="46" t="str">
        <f t="shared" si="4"/>
        <v>PROFITABLE</v>
      </c>
    </row>
    <row r="13" spans="1:12" ht="15" customHeight="1" x14ac:dyDescent="0.2">
      <c r="A13" s="46">
        <v>10</v>
      </c>
      <c r="B13" s="46" t="s">
        <v>740</v>
      </c>
      <c r="C13" s="49">
        <f>IFERROR(VLOOKUP(B13,'③ Billing Input'!B$4:F$103,4,FALSE()),0)</f>
        <v>3400</v>
      </c>
      <c r="D13" s="49">
        <f>C13*Settings!B8</f>
        <v>289000</v>
      </c>
      <c r="E13" s="49">
        <f>SUMPRODUCT(('⑤ Emp-Client Hours'!$C$4:$C$412=B13)*('⑤ Emp-Client Hours'!$F$4:$F$412="NO")*'⑤ Emp-Client Hours'!$D$4:$D$412*'⑤ Emp-Client Hours'!$G$4:$G$412)</f>
        <v>0</v>
      </c>
      <c r="F13" s="46">
        <f>COUNTIFS('⑤ Emp-Client Hours'!$C$4:$C$412,B13,'⑤ Emp-Client Hours'!$F$4:$F$412,"NO")</f>
        <v>0</v>
      </c>
      <c r="G13" s="119">
        <f>SUMIFS('⑤ Emp-Client Hours'!$D$4:$D$412,'⑤ Emp-Client Hours'!$C$4:$C$412,B13,'⑤ Emp-Client Hours'!$F$4:$F$412,"NO")</f>
        <v>0</v>
      </c>
      <c r="H13" s="49">
        <f t="shared" si="0"/>
        <v>289000</v>
      </c>
      <c r="I13" s="48">
        <f t="shared" si="1"/>
        <v>1</v>
      </c>
      <c r="J13" s="49">
        <f t="shared" si="2"/>
        <v>0</v>
      </c>
      <c r="K13" s="49">
        <f t="shared" si="3"/>
        <v>0</v>
      </c>
      <c r="L13" s="46" t="str">
        <f t="shared" si="4"/>
        <v>PROFITABLE</v>
      </c>
    </row>
    <row r="14" spans="1:12" ht="15" customHeight="1" x14ac:dyDescent="0.2">
      <c r="A14" s="46">
        <v>11</v>
      </c>
      <c r="B14" s="46" t="s">
        <v>750</v>
      </c>
      <c r="C14" s="49">
        <f>IFERROR(VLOOKUP(B14,'③ Billing Input'!B$4:F$103,4,FALSE()),0)</f>
        <v>3200</v>
      </c>
      <c r="D14" s="49">
        <f>C14*Settings!B8</f>
        <v>272000</v>
      </c>
      <c r="E14" s="49">
        <f>SUMPRODUCT(('⑤ Emp-Client Hours'!$C$4:$C$412=B14)*('⑤ Emp-Client Hours'!$F$4:$F$412="NO")*'⑤ Emp-Client Hours'!$D$4:$D$412*'⑤ Emp-Client Hours'!$G$4:$G$412)</f>
        <v>0</v>
      </c>
      <c r="F14" s="46">
        <f>COUNTIFS('⑤ Emp-Client Hours'!$C$4:$C$412,B14,'⑤ Emp-Client Hours'!$F$4:$F$412,"NO")</f>
        <v>0</v>
      </c>
      <c r="G14" s="119">
        <f>SUMIFS('⑤ Emp-Client Hours'!$D$4:$D$412,'⑤ Emp-Client Hours'!$C$4:$C$412,B14,'⑤ Emp-Client Hours'!$F$4:$F$412,"NO")</f>
        <v>0</v>
      </c>
      <c r="H14" s="49">
        <f t="shared" si="0"/>
        <v>272000</v>
      </c>
      <c r="I14" s="48">
        <f t="shared" si="1"/>
        <v>1</v>
      </c>
      <c r="J14" s="49">
        <f t="shared" si="2"/>
        <v>0</v>
      </c>
      <c r="K14" s="49">
        <f t="shared" si="3"/>
        <v>0</v>
      </c>
      <c r="L14" s="46" t="str">
        <f t="shared" si="4"/>
        <v>PROFITABLE</v>
      </c>
    </row>
    <row r="15" spans="1:12" ht="15" customHeight="1" x14ac:dyDescent="0.2">
      <c r="A15" s="46">
        <v>12</v>
      </c>
      <c r="B15" s="46" t="s">
        <v>788</v>
      </c>
      <c r="C15" s="49">
        <f>IFERROR(VLOOKUP(B15,'③ Billing Input'!B$4:F$103,4,FALSE()),0)</f>
        <v>3000</v>
      </c>
      <c r="D15" s="49">
        <f>C15*Settings!B8</f>
        <v>255000</v>
      </c>
      <c r="E15" s="49">
        <f>SUMPRODUCT(('⑤ Emp-Client Hours'!$C$4:$C$412=B15)*('⑤ Emp-Client Hours'!$F$4:$F$412="NO")*'⑤ Emp-Client Hours'!$D$4:$D$412*'⑤ Emp-Client Hours'!$G$4:$G$412)</f>
        <v>544.34375</v>
      </c>
      <c r="F15" s="46">
        <f>COUNTIFS('⑤ Emp-Client Hours'!$C$4:$C$412,B15,'⑤ Emp-Client Hours'!$F$4:$F$412,"NO")</f>
        <v>12</v>
      </c>
      <c r="G15" s="119">
        <f>SUMIFS('⑤ Emp-Client Hours'!$D$4:$D$412,'⑤ Emp-Client Hours'!$C$4:$C$412,B15,'⑤ Emp-Client Hours'!$F$4:$F$412,"NO")</f>
        <v>5</v>
      </c>
      <c r="H15" s="49">
        <f t="shared" si="0"/>
        <v>254455.65625</v>
      </c>
      <c r="I15" s="48">
        <f t="shared" si="1"/>
        <v>0.99786531862745098</v>
      </c>
      <c r="J15" s="49">
        <f t="shared" si="2"/>
        <v>51000</v>
      </c>
      <c r="K15" s="49">
        <f t="shared" si="3"/>
        <v>108.86875000000001</v>
      </c>
      <c r="L15" s="46" t="str">
        <f t="shared" si="4"/>
        <v>PROFITABLE</v>
      </c>
    </row>
    <row r="16" spans="1:12" ht="15" customHeight="1" x14ac:dyDescent="0.2">
      <c r="A16" s="46">
        <v>13</v>
      </c>
      <c r="B16" s="46" t="s">
        <v>106</v>
      </c>
      <c r="C16" s="49">
        <f>IFERROR(VLOOKUP(B16,'③ Billing Input'!B$4:F$103,4,FALSE()),0)</f>
        <v>2640</v>
      </c>
      <c r="D16" s="49">
        <f>C16*Settings!B8</f>
        <v>224400</v>
      </c>
      <c r="E16" s="49">
        <f>SUMPRODUCT(('⑤ Emp-Client Hours'!$C$4:$C$412=B16)*('⑤ Emp-Client Hours'!$F$4:$F$412="NO")*'⑤ Emp-Client Hours'!$D$4:$D$412*'⑤ Emp-Client Hours'!$G$4:$G$412)</f>
        <v>93997.8125</v>
      </c>
      <c r="F16" s="46">
        <f>COUNTIFS('⑤ Emp-Client Hours'!$C$4:$C$412,B16,'⑤ Emp-Client Hours'!$F$4:$F$412,"NO")</f>
        <v>13</v>
      </c>
      <c r="G16" s="119">
        <f>SUMIFS('⑤ Emp-Client Hours'!$D$4:$D$412,'⑤ Emp-Client Hours'!$C$4:$C$412,B16,'⑤ Emp-Client Hours'!$F$4:$F$412,"NO")</f>
        <v>366.15</v>
      </c>
      <c r="H16" s="49">
        <f t="shared" si="0"/>
        <v>130402.1875</v>
      </c>
      <c r="I16" s="48">
        <f t="shared" si="1"/>
        <v>0.58111491755793221</v>
      </c>
      <c r="J16" s="49">
        <f t="shared" si="2"/>
        <v>612.86358049979515</v>
      </c>
      <c r="K16" s="49">
        <f t="shared" si="3"/>
        <v>256.71941144339752</v>
      </c>
      <c r="L16" s="46" t="str">
        <f t="shared" si="4"/>
        <v>PROFITABLE</v>
      </c>
    </row>
    <row r="17" spans="1:12" ht="15" customHeight="1" x14ac:dyDescent="0.2">
      <c r="A17" s="46">
        <v>14</v>
      </c>
      <c r="B17" s="46" t="s">
        <v>135</v>
      </c>
      <c r="C17" s="49">
        <f>IFERROR(VLOOKUP(B17,'③ Billing Input'!B$4:F$103,4,FALSE()),0)</f>
        <v>2600</v>
      </c>
      <c r="D17" s="49">
        <f>C17*Settings!B8</f>
        <v>221000</v>
      </c>
      <c r="E17" s="49">
        <f>SUMPRODUCT(('⑤ Emp-Client Hours'!$C$4:$C$412=B17)*('⑤ Emp-Client Hours'!$F$4:$F$412="NO")*'⑤ Emp-Client Hours'!$D$4:$D$412*'⑤ Emp-Client Hours'!$G$4:$G$412)</f>
        <v>0</v>
      </c>
      <c r="F17" s="46">
        <f>COUNTIFS('⑤ Emp-Client Hours'!$C$4:$C$412,B17,'⑤ Emp-Client Hours'!$F$4:$F$412,"NO")</f>
        <v>3</v>
      </c>
      <c r="G17" s="119">
        <f>SUMIFS('⑤ Emp-Client Hours'!$D$4:$D$412,'⑤ Emp-Client Hours'!$C$4:$C$412,B17,'⑤ Emp-Client Hours'!$F$4:$F$412,"NO")</f>
        <v>0</v>
      </c>
      <c r="H17" s="49">
        <f t="shared" si="0"/>
        <v>221000</v>
      </c>
      <c r="I17" s="48">
        <f t="shared" si="1"/>
        <v>1</v>
      </c>
      <c r="J17" s="49">
        <f t="shared" si="2"/>
        <v>0</v>
      </c>
      <c r="K17" s="49">
        <f t="shared" si="3"/>
        <v>0</v>
      </c>
      <c r="L17" s="46" t="str">
        <f t="shared" si="4"/>
        <v>PROFITABLE</v>
      </c>
    </row>
    <row r="18" spans="1:12" ht="15" customHeight="1" x14ac:dyDescent="0.2">
      <c r="A18" s="46">
        <v>15</v>
      </c>
      <c r="B18" s="46" t="s">
        <v>100</v>
      </c>
      <c r="C18" s="49">
        <f>IFERROR(VLOOKUP(B18,'③ Billing Input'!B$4:F$103,4,FALSE()),0)</f>
        <v>2600</v>
      </c>
      <c r="D18" s="49">
        <f>C18*Settings!B8</f>
        <v>221000</v>
      </c>
      <c r="E18" s="49">
        <f>SUMPRODUCT(('⑤ Emp-Client Hours'!$C$4:$C$412=B18)*('⑤ Emp-Client Hours'!$F$4:$F$412="NO")*'⑤ Emp-Client Hours'!$D$4:$D$412*'⑤ Emp-Client Hours'!$G$4:$G$412)</f>
        <v>57964.193749999999</v>
      </c>
      <c r="F18" s="46">
        <f>COUNTIFS('⑤ Emp-Client Hours'!$C$4:$C$412,B18,'⑤ Emp-Client Hours'!$F$4:$F$412,"NO")</f>
        <v>11</v>
      </c>
      <c r="G18" s="119">
        <f>SUMIFS('⑤ Emp-Client Hours'!$D$4:$D$412,'⑤ Emp-Client Hours'!$C$4:$C$412,B18,'⑤ Emp-Client Hours'!$F$4:$F$412,"NO")</f>
        <v>139.25</v>
      </c>
      <c r="H18" s="49">
        <f t="shared" si="0"/>
        <v>163035.80624999999</v>
      </c>
      <c r="I18" s="48">
        <f t="shared" si="1"/>
        <v>0.73771858031674209</v>
      </c>
      <c r="J18" s="49">
        <f t="shared" si="2"/>
        <v>1587.0736086175943</v>
      </c>
      <c r="K18" s="49">
        <f t="shared" si="3"/>
        <v>416.25991921005385</v>
      </c>
      <c r="L18" s="46" t="str">
        <f t="shared" si="4"/>
        <v>PROFITABLE</v>
      </c>
    </row>
    <row r="19" spans="1:12" ht="15" customHeight="1" x14ac:dyDescent="0.2">
      <c r="A19" s="46">
        <v>16</v>
      </c>
      <c r="B19" s="46" t="s">
        <v>89</v>
      </c>
      <c r="C19" s="49">
        <f>IFERROR(VLOOKUP(B19,'③ Billing Input'!B$4:F$103,4,FALSE()),0)</f>
        <v>2600</v>
      </c>
      <c r="D19" s="49">
        <f>C19*Settings!B8</f>
        <v>221000</v>
      </c>
      <c r="E19" s="49">
        <f>SUMPRODUCT(('⑤ Emp-Client Hours'!$C$4:$C$412=B19)*('⑤ Emp-Client Hours'!$F$4:$F$412="NO")*'⑤ Emp-Client Hours'!$D$4:$D$412*'⑤ Emp-Client Hours'!$G$4:$G$412)</f>
        <v>75518.625</v>
      </c>
      <c r="F19" s="46">
        <f>COUNTIFS('⑤ Emp-Client Hours'!$C$4:$C$412,B19,'⑤ Emp-Client Hours'!$F$4:$F$412,"NO")</f>
        <v>6</v>
      </c>
      <c r="G19" s="119">
        <f>SUMIFS('⑤ Emp-Client Hours'!$D$4:$D$412,'⑤ Emp-Client Hours'!$C$4:$C$412,B19,'⑤ Emp-Client Hours'!$F$4:$F$412,"NO")</f>
        <v>223.75</v>
      </c>
      <c r="H19" s="49">
        <f t="shared" si="0"/>
        <v>145481.375</v>
      </c>
      <c r="I19" s="48">
        <f t="shared" si="1"/>
        <v>0.65828676470588232</v>
      </c>
      <c r="J19" s="49">
        <f t="shared" si="2"/>
        <v>987.70949720670387</v>
      </c>
      <c r="K19" s="49">
        <f t="shared" si="3"/>
        <v>337.51340782122907</v>
      </c>
      <c r="L19" s="46" t="str">
        <f t="shared" si="4"/>
        <v>PROFITABLE</v>
      </c>
    </row>
    <row r="20" spans="1:12" ht="15" customHeight="1" x14ac:dyDescent="0.2">
      <c r="A20" s="46">
        <v>17</v>
      </c>
      <c r="B20" s="46" t="s">
        <v>131</v>
      </c>
      <c r="C20" s="49">
        <f>IFERROR(VLOOKUP(B20,'③ Billing Input'!B$4:F$103,4,FALSE()),0)</f>
        <v>2320</v>
      </c>
      <c r="D20" s="49">
        <f>C20*Settings!B8</f>
        <v>197200</v>
      </c>
      <c r="E20" s="49">
        <f>SUMPRODUCT(('⑤ Emp-Client Hours'!$C$4:$C$412=B20)*('⑤ Emp-Client Hours'!$F$4:$F$412="NO")*'⑤ Emp-Client Hours'!$D$4:$D$412*'⑤ Emp-Client Hours'!$G$4:$G$412)</f>
        <v>0</v>
      </c>
      <c r="F20" s="46">
        <f>COUNTIFS('⑤ Emp-Client Hours'!$C$4:$C$412,B20,'⑤ Emp-Client Hours'!$F$4:$F$412,"NO")</f>
        <v>5</v>
      </c>
      <c r="G20" s="119">
        <f>SUMIFS('⑤ Emp-Client Hours'!$D$4:$D$412,'⑤ Emp-Client Hours'!$C$4:$C$412,B20,'⑤ Emp-Client Hours'!$F$4:$F$412,"NO")</f>
        <v>0</v>
      </c>
      <c r="H20" s="49">
        <f t="shared" si="0"/>
        <v>197200</v>
      </c>
      <c r="I20" s="48">
        <f t="shared" si="1"/>
        <v>1</v>
      </c>
      <c r="J20" s="49">
        <f t="shared" si="2"/>
        <v>0</v>
      </c>
      <c r="K20" s="49">
        <f t="shared" si="3"/>
        <v>0</v>
      </c>
      <c r="L20" s="46" t="str">
        <f t="shared" si="4"/>
        <v>PROFITABLE</v>
      </c>
    </row>
    <row r="21" spans="1:12" ht="15" customHeight="1" x14ac:dyDescent="0.2">
      <c r="A21" s="46">
        <v>18</v>
      </c>
      <c r="B21" s="46" t="s">
        <v>98</v>
      </c>
      <c r="C21" s="49">
        <f>IFERROR(VLOOKUP(B21,'③ Billing Input'!B$4:F$103,4,FALSE()),0)</f>
        <v>2000</v>
      </c>
      <c r="D21" s="49">
        <f>C21*Settings!B8</f>
        <v>170000</v>
      </c>
      <c r="E21" s="49">
        <f>SUMPRODUCT(('⑤ Emp-Client Hours'!$C$4:$C$412=B21)*('⑤ Emp-Client Hours'!$F$4:$F$412="NO")*'⑤ Emp-Client Hours'!$D$4:$D$412*'⑤ Emp-Client Hours'!$G$4:$G$412)</f>
        <v>0</v>
      </c>
      <c r="F21" s="46">
        <f>COUNTIFS('⑤ Emp-Client Hours'!$C$4:$C$412,B21,'⑤ Emp-Client Hours'!$F$4:$F$412,"NO")</f>
        <v>3</v>
      </c>
      <c r="G21" s="119">
        <f>SUMIFS('⑤ Emp-Client Hours'!$D$4:$D$412,'⑤ Emp-Client Hours'!$C$4:$C$412,B21,'⑤ Emp-Client Hours'!$F$4:$F$412,"NO")</f>
        <v>0</v>
      </c>
      <c r="H21" s="49">
        <f t="shared" si="0"/>
        <v>170000</v>
      </c>
      <c r="I21" s="48">
        <f t="shared" si="1"/>
        <v>1</v>
      </c>
      <c r="J21" s="49">
        <f t="shared" si="2"/>
        <v>0</v>
      </c>
      <c r="K21" s="49">
        <f t="shared" si="3"/>
        <v>0</v>
      </c>
      <c r="L21" s="46" t="str">
        <f t="shared" si="4"/>
        <v>PROFITABLE</v>
      </c>
    </row>
    <row r="22" spans="1:12" ht="15" customHeight="1" x14ac:dyDescent="0.2">
      <c r="A22" s="46">
        <v>19</v>
      </c>
      <c r="B22" s="46" t="s">
        <v>110</v>
      </c>
      <c r="C22" s="49">
        <f>IFERROR(VLOOKUP(B22,'③ Billing Input'!B$4:F$103,4,FALSE()),0)</f>
        <v>1900</v>
      </c>
      <c r="D22" s="49">
        <f>C22*Settings!B8</f>
        <v>161500</v>
      </c>
      <c r="E22" s="49">
        <f>SUMPRODUCT(('⑤ Emp-Client Hours'!$C$4:$C$412=B22)*('⑤ Emp-Client Hours'!$F$4:$F$412="NO")*'⑤ Emp-Client Hours'!$D$4:$D$412*'⑤ Emp-Client Hours'!$G$4:$G$412)</f>
        <v>0</v>
      </c>
      <c r="F22" s="46">
        <f>COUNTIFS('⑤ Emp-Client Hours'!$C$4:$C$412,B22,'⑤ Emp-Client Hours'!$F$4:$F$412,"NO")</f>
        <v>2</v>
      </c>
      <c r="G22" s="119">
        <f>SUMIFS('⑤ Emp-Client Hours'!$D$4:$D$412,'⑤ Emp-Client Hours'!$C$4:$C$412,B22,'⑤ Emp-Client Hours'!$F$4:$F$412,"NO")</f>
        <v>0</v>
      </c>
      <c r="H22" s="49">
        <f t="shared" si="0"/>
        <v>161500</v>
      </c>
      <c r="I22" s="48">
        <f t="shared" si="1"/>
        <v>1</v>
      </c>
      <c r="J22" s="49">
        <f t="shared" si="2"/>
        <v>0</v>
      </c>
      <c r="K22" s="49">
        <f t="shared" si="3"/>
        <v>0</v>
      </c>
      <c r="L22" s="46" t="str">
        <f t="shared" si="4"/>
        <v>PROFITABLE</v>
      </c>
    </row>
    <row r="23" spans="1:12" ht="15" customHeight="1" x14ac:dyDescent="0.2">
      <c r="A23" s="46">
        <v>20</v>
      </c>
      <c r="B23" s="46" t="s">
        <v>93</v>
      </c>
      <c r="C23" s="49">
        <f>IFERROR(VLOOKUP(B23,'③ Billing Input'!B$4:F$103,4,FALSE()),0)</f>
        <v>1880</v>
      </c>
      <c r="D23" s="49">
        <f>C23*Settings!B8</f>
        <v>159800</v>
      </c>
      <c r="E23" s="49">
        <f>SUMPRODUCT(('⑤ Emp-Client Hours'!$C$4:$C$412=B23)*('⑤ Emp-Client Hours'!$F$4:$F$412="NO")*'⑤ Emp-Client Hours'!$D$4:$D$412*'⑤ Emp-Client Hours'!$G$4:$G$412)</f>
        <v>0</v>
      </c>
      <c r="F23" s="46">
        <f>COUNTIFS('⑤ Emp-Client Hours'!$C$4:$C$412,B23,'⑤ Emp-Client Hours'!$F$4:$F$412,"NO")</f>
        <v>7</v>
      </c>
      <c r="G23" s="119">
        <f>SUMIFS('⑤ Emp-Client Hours'!$D$4:$D$412,'⑤ Emp-Client Hours'!$C$4:$C$412,B23,'⑤ Emp-Client Hours'!$F$4:$F$412,"NO")</f>
        <v>0</v>
      </c>
      <c r="H23" s="49">
        <f t="shared" si="0"/>
        <v>159800</v>
      </c>
      <c r="I23" s="48">
        <f t="shared" si="1"/>
        <v>1</v>
      </c>
      <c r="J23" s="49">
        <f t="shared" si="2"/>
        <v>0</v>
      </c>
      <c r="K23" s="49">
        <f t="shared" si="3"/>
        <v>0</v>
      </c>
      <c r="L23" s="46" t="str">
        <f t="shared" si="4"/>
        <v>PROFITABLE</v>
      </c>
    </row>
    <row r="24" spans="1:12" ht="15" customHeight="1" x14ac:dyDescent="0.2">
      <c r="A24" s="46">
        <v>21</v>
      </c>
      <c r="B24" s="46" t="s">
        <v>714</v>
      </c>
      <c r="C24" s="49">
        <f>IFERROR(VLOOKUP(B24,'③ Billing Input'!B$4:F$103,4,FALSE()),0)</f>
        <v>1800</v>
      </c>
      <c r="D24" s="49">
        <f>C24*Settings!B8</f>
        <v>153000</v>
      </c>
      <c r="E24" s="49">
        <f>SUMPRODUCT(('⑤ Emp-Client Hours'!$C$4:$C$412=B24)*('⑤ Emp-Client Hours'!$F$4:$F$412="NO")*'⑤ Emp-Client Hours'!$D$4:$D$412*'⑤ Emp-Client Hours'!$G$4:$G$412)</f>
        <v>0</v>
      </c>
      <c r="F24" s="46">
        <f>COUNTIFS('⑤ Emp-Client Hours'!$C$4:$C$412,B24,'⑤ Emp-Client Hours'!$F$4:$F$412,"NO")</f>
        <v>0</v>
      </c>
      <c r="G24" s="119">
        <f>SUMIFS('⑤ Emp-Client Hours'!$D$4:$D$412,'⑤ Emp-Client Hours'!$C$4:$C$412,B24,'⑤ Emp-Client Hours'!$F$4:$F$412,"NO")</f>
        <v>0</v>
      </c>
      <c r="H24" s="49">
        <f t="shared" si="0"/>
        <v>153000</v>
      </c>
      <c r="I24" s="48">
        <f t="shared" si="1"/>
        <v>1</v>
      </c>
      <c r="J24" s="49">
        <f t="shared" si="2"/>
        <v>0</v>
      </c>
      <c r="K24" s="49">
        <f t="shared" si="3"/>
        <v>0</v>
      </c>
      <c r="L24" s="46" t="str">
        <f t="shared" si="4"/>
        <v>PROFITABLE</v>
      </c>
    </row>
    <row r="25" spans="1:12" ht="15" customHeight="1" x14ac:dyDescent="0.2">
      <c r="A25" s="46">
        <v>22</v>
      </c>
      <c r="B25" s="46" t="s">
        <v>132</v>
      </c>
      <c r="C25" s="49">
        <f>IFERROR(VLOOKUP(B25,'③ Billing Input'!B$4:F$103,4,FALSE()),0)</f>
        <v>1800</v>
      </c>
      <c r="D25" s="49">
        <f>C25*Settings!B8</f>
        <v>153000</v>
      </c>
      <c r="E25" s="49">
        <f>SUMPRODUCT(('⑤ Emp-Client Hours'!$C$4:$C$412=B25)*('⑤ Emp-Client Hours'!$F$4:$F$412="NO")*'⑤ Emp-Client Hours'!$D$4:$D$412*'⑤ Emp-Client Hours'!$G$4:$G$412)</f>
        <v>12000.226375</v>
      </c>
      <c r="F25" s="46">
        <f>COUNTIFS('⑤ Emp-Client Hours'!$C$4:$C$412,B25,'⑤ Emp-Client Hours'!$F$4:$F$412,"NO")</f>
        <v>6</v>
      </c>
      <c r="G25" s="119">
        <f>SUMIFS('⑤ Emp-Client Hours'!$D$4:$D$412,'⑤ Emp-Client Hours'!$C$4:$C$412,B25,'⑤ Emp-Client Hours'!$F$4:$F$412,"NO")</f>
        <v>45.739999999999995</v>
      </c>
      <c r="H25" s="49">
        <f t="shared" si="0"/>
        <v>140999.773625</v>
      </c>
      <c r="I25" s="48">
        <f t="shared" si="1"/>
        <v>0.92156714787581695</v>
      </c>
      <c r="J25" s="49">
        <f t="shared" si="2"/>
        <v>3344.9934411893314</v>
      </c>
      <c r="K25" s="49">
        <f t="shared" si="3"/>
        <v>262.3573759291649</v>
      </c>
      <c r="L25" s="46" t="str">
        <f t="shared" si="4"/>
        <v>PROFITABLE</v>
      </c>
    </row>
    <row r="26" spans="1:12" ht="15" customHeight="1" x14ac:dyDescent="0.2">
      <c r="A26" s="46">
        <v>23</v>
      </c>
      <c r="B26" s="46" t="s">
        <v>115</v>
      </c>
      <c r="C26" s="49">
        <f>IFERROR(VLOOKUP(B26,'③ Billing Input'!B$4:F$103,4,FALSE()),0)</f>
        <v>1800</v>
      </c>
      <c r="D26" s="49">
        <f>C26*Settings!B8</f>
        <v>153000</v>
      </c>
      <c r="E26" s="49">
        <f>SUMPRODUCT(('⑤ Emp-Client Hours'!$C$4:$C$412=B26)*('⑤ Emp-Client Hours'!$F$4:$F$412="NO")*'⑤ Emp-Client Hours'!$D$4:$D$412*'⑤ Emp-Client Hours'!$G$4:$G$412)</f>
        <v>0</v>
      </c>
      <c r="F26" s="46">
        <f>COUNTIFS('⑤ Emp-Client Hours'!$C$4:$C$412,B26,'⑤ Emp-Client Hours'!$F$4:$F$412,"NO")</f>
        <v>3</v>
      </c>
      <c r="G26" s="119">
        <f>SUMIFS('⑤ Emp-Client Hours'!$D$4:$D$412,'⑤ Emp-Client Hours'!$C$4:$C$412,B26,'⑤ Emp-Client Hours'!$F$4:$F$412,"NO")</f>
        <v>0</v>
      </c>
      <c r="H26" s="49">
        <f t="shared" si="0"/>
        <v>153000</v>
      </c>
      <c r="I26" s="48">
        <f t="shared" si="1"/>
        <v>1</v>
      </c>
      <c r="J26" s="49">
        <f t="shared" si="2"/>
        <v>0</v>
      </c>
      <c r="K26" s="49">
        <f t="shared" si="3"/>
        <v>0</v>
      </c>
      <c r="L26" s="46" t="str">
        <f t="shared" si="4"/>
        <v>PROFITABLE</v>
      </c>
    </row>
    <row r="27" spans="1:12" ht="15" customHeight="1" x14ac:dyDescent="0.2">
      <c r="A27" s="46">
        <v>24</v>
      </c>
      <c r="B27" s="46" t="s">
        <v>138</v>
      </c>
      <c r="C27" s="49">
        <f>IFERROR(VLOOKUP(B27,'③ Billing Input'!B$4:F$103,4,FALSE()),0)</f>
        <v>1800</v>
      </c>
      <c r="D27" s="49">
        <f>C27*Settings!B8</f>
        <v>153000</v>
      </c>
      <c r="E27" s="49">
        <f>SUMPRODUCT(('⑤ Emp-Client Hours'!$C$4:$C$412=B27)*('⑤ Emp-Client Hours'!$F$4:$F$412="NO")*'⑤ Emp-Client Hours'!$D$4:$D$412*'⑤ Emp-Client Hours'!$G$4:$G$412)</f>
        <v>27956.25</v>
      </c>
      <c r="F27" s="46">
        <f>COUNTIFS('⑤ Emp-Client Hours'!$C$4:$C$412,B27,'⑤ Emp-Client Hours'!$F$4:$F$412,"NO")</f>
        <v>1</v>
      </c>
      <c r="G27" s="119">
        <f>SUMIFS('⑤ Emp-Client Hours'!$D$4:$D$412,'⑤ Emp-Client Hours'!$C$4:$C$412,B27,'⑤ Emp-Client Hours'!$F$4:$F$412,"NO")</f>
        <v>53.25</v>
      </c>
      <c r="H27" s="49">
        <f t="shared" si="0"/>
        <v>125043.75</v>
      </c>
      <c r="I27" s="48">
        <f t="shared" si="1"/>
        <v>0.81727941176470587</v>
      </c>
      <c r="J27" s="49">
        <f t="shared" si="2"/>
        <v>2873.2394366197182</v>
      </c>
      <c r="K27" s="49">
        <f t="shared" si="3"/>
        <v>525</v>
      </c>
      <c r="L27" s="46" t="str">
        <f t="shared" si="4"/>
        <v>PROFITABLE</v>
      </c>
    </row>
    <row r="28" spans="1:12" ht="15" customHeight="1" x14ac:dyDescent="0.2">
      <c r="A28" s="46">
        <v>25</v>
      </c>
      <c r="B28" s="46" t="s">
        <v>711</v>
      </c>
      <c r="C28" s="49">
        <f>IFERROR(VLOOKUP(B28,'③ Billing Input'!B$4:F$103,4,FALSE()),0)</f>
        <v>1500</v>
      </c>
      <c r="D28" s="49">
        <f>C28*Settings!B8</f>
        <v>127500</v>
      </c>
      <c r="E28" s="49">
        <f>SUMPRODUCT(('⑤ Emp-Client Hours'!$C$4:$C$412=B28)*('⑤ Emp-Client Hours'!$F$4:$F$412="NO")*'⑤ Emp-Client Hours'!$D$4:$D$412*'⑤ Emp-Client Hours'!$G$4:$G$412)</f>
        <v>0</v>
      </c>
      <c r="F28" s="46">
        <f>COUNTIFS('⑤ Emp-Client Hours'!$C$4:$C$412,B28,'⑤ Emp-Client Hours'!$F$4:$F$412,"NO")</f>
        <v>0</v>
      </c>
      <c r="G28" s="119">
        <f>SUMIFS('⑤ Emp-Client Hours'!$D$4:$D$412,'⑤ Emp-Client Hours'!$C$4:$C$412,B28,'⑤ Emp-Client Hours'!$F$4:$F$412,"NO")</f>
        <v>0</v>
      </c>
      <c r="H28" s="49">
        <f t="shared" si="0"/>
        <v>127500</v>
      </c>
      <c r="I28" s="48">
        <f t="shared" si="1"/>
        <v>1</v>
      </c>
      <c r="J28" s="49">
        <f t="shared" si="2"/>
        <v>0</v>
      </c>
      <c r="K28" s="49">
        <f t="shared" si="3"/>
        <v>0</v>
      </c>
      <c r="L28" s="46" t="str">
        <f t="shared" si="4"/>
        <v>PROFITABLE</v>
      </c>
    </row>
    <row r="29" spans="1:12" ht="15" customHeight="1" x14ac:dyDescent="0.2">
      <c r="A29" s="46">
        <v>26</v>
      </c>
      <c r="B29" s="46" t="s">
        <v>719</v>
      </c>
      <c r="C29" s="49">
        <f>IFERROR(VLOOKUP(B29,'③ Billing Input'!B$4:F$103,4,FALSE()),0)</f>
        <v>1440</v>
      </c>
      <c r="D29" s="49">
        <f>C29*Settings!B8</f>
        <v>122400</v>
      </c>
      <c r="E29" s="49">
        <f>SUMPRODUCT(('⑤ Emp-Client Hours'!$C$4:$C$412=B29)*('⑤ Emp-Client Hours'!$F$4:$F$412="NO")*'⑤ Emp-Client Hours'!$D$4:$D$412*'⑤ Emp-Client Hours'!$G$4:$G$412)</f>
        <v>0</v>
      </c>
      <c r="F29" s="46">
        <f>COUNTIFS('⑤ Emp-Client Hours'!$C$4:$C$412,B29,'⑤ Emp-Client Hours'!$F$4:$F$412,"NO")</f>
        <v>0</v>
      </c>
      <c r="G29" s="119">
        <f>SUMIFS('⑤ Emp-Client Hours'!$D$4:$D$412,'⑤ Emp-Client Hours'!$C$4:$C$412,B29,'⑤ Emp-Client Hours'!$F$4:$F$412,"NO")</f>
        <v>0</v>
      </c>
      <c r="H29" s="49">
        <f t="shared" si="0"/>
        <v>122400</v>
      </c>
      <c r="I29" s="48">
        <f t="shared" si="1"/>
        <v>1</v>
      </c>
      <c r="J29" s="49">
        <f t="shared" si="2"/>
        <v>0</v>
      </c>
      <c r="K29" s="49">
        <f t="shared" si="3"/>
        <v>0</v>
      </c>
      <c r="L29" s="46" t="str">
        <f t="shared" si="4"/>
        <v>PROFITABLE</v>
      </c>
    </row>
    <row r="30" spans="1:12" ht="15" customHeight="1" x14ac:dyDescent="0.2">
      <c r="A30" s="46">
        <v>27</v>
      </c>
      <c r="B30" s="46" t="s">
        <v>125</v>
      </c>
      <c r="C30" s="49">
        <f>IFERROR(VLOOKUP(B30,'③ Billing Input'!B$4:F$103,4,FALSE()),0)</f>
        <v>1400</v>
      </c>
      <c r="D30" s="49">
        <f>C30*Settings!B8</f>
        <v>119000</v>
      </c>
      <c r="E30" s="49">
        <f>SUMPRODUCT(('⑤ Emp-Client Hours'!$C$4:$C$412=B30)*('⑤ Emp-Client Hours'!$F$4:$F$412="NO")*'⑤ Emp-Client Hours'!$D$4:$D$412*'⑤ Emp-Client Hours'!$G$4:$G$412)</f>
        <v>0</v>
      </c>
      <c r="F30" s="46">
        <f>COUNTIFS('⑤ Emp-Client Hours'!$C$4:$C$412,B30,'⑤ Emp-Client Hours'!$F$4:$F$412,"NO")</f>
        <v>4</v>
      </c>
      <c r="G30" s="119">
        <f>SUMIFS('⑤ Emp-Client Hours'!$D$4:$D$412,'⑤ Emp-Client Hours'!$C$4:$C$412,B30,'⑤ Emp-Client Hours'!$F$4:$F$412,"NO")</f>
        <v>0</v>
      </c>
      <c r="H30" s="49">
        <f t="shared" si="0"/>
        <v>119000</v>
      </c>
      <c r="I30" s="48">
        <f t="shared" si="1"/>
        <v>1</v>
      </c>
      <c r="J30" s="49">
        <f t="shared" si="2"/>
        <v>0</v>
      </c>
      <c r="K30" s="49">
        <f t="shared" si="3"/>
        <v>0</v>
      </c>
      <c r="L30" s="46" t="str">
        <f t="shared" si="4"/>
        <v>PROFITABLE</v>
      </c>
    </row>
    <row r="31" spans="1:12" ht="15" customHeight="1" x14ac:dyDescent="0.2">
      <c r="A31" s="46">
        <v>28</v>
      </c>
      <c r="B31" s="46" t="s">
        <v>791</v>
      </c>
      <c r="C31" s="49">
        <f>IFERROR(VLOOKUP(B31,'③ Billing Input'!B$4:F$103,4,FALSE()),0)</f>
        <v>1400</v>
      </c>
      <c r="D31" s="49">
        <f>C31*Settings!B8</f>
        <v>119000</v>
      </c>
      <c r="E31" s="49">
        <f>SUMPRODUCT(('⑤ Emp-Client Hours'!$C$4:$C$412=B31)*('⑤ Emp-Client Hours'!$F$4:$F$412="NO")*'⑤ Emp-Client Hours'!$D$4:$D$412*'⑤ Emp-Client Hours'!$G$4:$G$412)</f>
        <v>0</v>
      </c>
      <c r="F31" s="46">
        <f>COUNTIFS('⑤ Emp-Client Hours'!$C$4:$C$412,B31,'⑤ Emp-Client Hours'!$F$4:$F$412,"NO")</f>
        <v>0</v>
      </c>
      <c r="G31" s="119">
        <f>SUMIFS('⑤ Emp-Client Hours'!$D$4:$D$412,'⑤ Emp-Client Hours'!$C$4:$C$412,B31,'⑤ Emp-Client Hours'!$F$4:$F$412,"NO")</f>
        <v>0</v>
      </c>
      <c r="H31" s="49">
        <f t="shared" si="0"/>
        <v>119000</v>
      </c>
      <c r="I31" s="48">
        <f t="shared" si="1"/>
        <v>1</v>
      </c>
      <c r="J31" s="49">
        <f t="shared" si="2"/>
        <v>0</v>
      </c>
      <c r="K31" s="49">
        <f t="shared" si="3"/>
        <v>0</v>
      </c>
      <c r="L31" s="46" t="str">
        <f t="shared" si="4"/>
        <v>PROFITABLE</v>
      </c>
    </row>
    <row r="32" spans="1:12" ht="15" customHeight="1" x14ac:dyDescent="0.2">
      <c r="A32" s="46">
        <v>29</v>
      </c>
      <c r="B32" s="46" t="s">
        <v>726</v>
      </c>
      <c r="C32" s="49">
        <f>IFERROR(VLOOKUP(B32,'③ Billing Input'!B$4:F$103,4,FALSE()),0)</f>
        <v>1200</v>
      </c>
      <c r="D32" s="49">
        <f>C32*Settings!B8</f>
        <v>102000</v>
      </c>
      <c r="E32" s="49">
        <f>SUMPRODUCT(('⑤ Emp-Client Hours'!$C$4:$C$412=B32)*('⑤ Emp-Client Hours'!$F$4:$F$412="NO")*'⑤ Emp-Client Hours'!$D$4:$D$412*'⑤ Emp-Client Hours'!$G$4:$G$412)</f>
        <v>0</v>
      </c>
      <c r="F32" s="46">
        <f>COUNTIFS('⑤ Emp-Client Hours'!$C$4:$C$412,B32,'⑤ Emp-Client Hours'!$F$4:$F$412,"NO")</f>
        <v>0</v>
      </c>
      <c r="G32" s="119">
        <f>SUMIFS('⑤ Emp-Client Hours'!$D$4:$D$412,'⑤ Emp-Client Hours'!$C$4:$C$412,B32,'⑤ Emp-Client Hours'!$F$4:$F$412,"NO")</f>
        <v>0</v>
      </c>
      <c r="H32" s="49">
        <f t="shared" si="0"/>
        <v>102000</v>
      </c>
      <c r="I32" s="48">
        <f t="shared" si="1"/>
        <v>1</v>
      </c>
      <c r="J32" s="49">
        <f t="shared" si="2"/>
        <v>0</v>
      </c>
      <c r="K32" s="49">
        <f t="shared" si="3"/>
        <v>0</v>
      </c>
      <c r="L32" s="46" t="str">
        <f t="shared" si="4"/>
        <v>PROFITABLE</v>
      </c>
    </row>
    <row r="33" spans="1:12" ht="15" customHeight="1" x14ac:dyDescent="0.2">
      <c r="A33" s="46">
        <v>30</v>
      </c>
      <c r="B33" s="46" t="s">
        <v>103</v>
      </c>
      <c r="C33" s="49">
        <f>IFERROR(VLOOKUP(B33,'③ Billing Input'!B$4:F$103,4,FALSE()),0)</f>
        <v>1200</v>
      </c>
      <c r="D33" s="49">
        <f>C33*Settings!B8</f>
        <v>102000</v>
      </c>
      <c r="E33" s="49">
        <f>SUMPRODUCT(('⑤ Emp-Client Hours'!$C$4:$C$412=B33)*('⑤ Emp-Client Hours'!$F$4:$F$412="NO")*'⑤ Emp-Client Hours'!$D$4:$D$412*'⑤ Emp-Client Hours'!$G$4:$G$412)</f>
        <v>17750</v>
      </c>
      <c r="F33" s="46">
        <f>COUNTIFS('⑤ Emp-Client Hours'!$C$4:$C$412,B33,'⑤ Emp-Client Hours'!$F$4:$F$412,"NO")</f>
        <v>3</v>
      </c>
      <c r="G33" s="119">
        <f>SUMIFS('⑤ Emp-Client Hours'!$D$4:$D$412,'⑤ Emp-Client Hours'!$C$4:$C$412,B33,'⑤ Emp-Client Hours'!$F$4:$F$412,"NO")</f>
        <v>79</v>
      </c>
      <c r="H33" s="49">
        <f t="shared" si="0"/>
        <v>84250</v>
      </c>
      <c r="I33" s="48">
        <f t="shared" si="1"/>
        <v>0.8259803921568627</v>
      </c>
      <c r="J33" s="49">
        <f t="shared" si="2"/>
        <v>1291.1392405063291</v>
      </c>
      <c r="K33" s="49">
        <f t="shared" si="3"/>
        <v>224.68354430379748</v>
      </c>
      <c r="L33" s="46" t="str">
        <f t="shared" si="4"/>
        <v>PROFITABLE</v>
      </c>
    </row>
    <row r="34" spans="1:12" ht="15" customHeight="1" x14ac:dyDescent="0.2">
      <c r="A34" s="46">
        <v>31</v>
      </c>
      <c r="B34" s="46" t="s">
        <v>716</v>
      </c>
      <c r="C34" s="49">
        <f>IFERROR(VLOOKUP(B34,'③ Billing Input'!B$4:F$103,4,FALSE()),0)</f>
        <v>1200</v>
      </c>
      <c r="D34" s="49">
        <f>C34*Settings!B8</f>
        <v>102000</v>
      </c>
      <c r="E34" s="49">
        <f>SUMPRODUCT(('⑤ Emp-Client Hours'!$C$4:$C$412=B34)*('⑤ Emp-Client Hours'!$F$4:$F$412="NO")*'⑤ Emp-Client Hours'!$D$4:$D$412*'⑤ Emp-Client Hours'!$G$4:$G$412)</f>
        <v>0</v>
      </c>
      <c r="F34" s="46">
        <f>COUNTIFS('⑤ Emp-Client Hours'!$C$4:$C$412,B34,'⑤ Emp-Client Hours'!$F$4:$F$412,"NO")</f>
        <v>0</v>
      </c>
      <c r="G34" s="119">
        <f>SUMIFS('⑤ Emp-Client Hours'!$D$4:$D$412,'⑤ Emp-Client Hours'!$C$4:$C$412,B34,'⑤ Emp-Client Hours'!$F$4:$F$412,"NO")</f>
        <v>0</v>
      </c>
      <c r="H34" s="49">
        <f t="shared" si="0"/>
        <v>102000</v>
      </c>
      <c r="I34" s="48">
        <f t="shared" si="1"/>
        <v>1</v>
      </c>
      <c r="J34" s="49">
        <f t="shared" si="2"/>
        <v>0</v>
      </c>
      <c r="K34" s="49">
        <f t="shared" si="3"/>
        <v>0</v>
      </c>
      <c r="L34" s="46" t="str">
        <f t="shared" si="4"/>
        <v>PROFITABLE</v>
      </c>
    </row>
    <row r="35" spans="1:12" ht="15" customHeight="1" x14ac:dyDescent="0.2">
      <c r="A35" s="46">
        <v>32</v>
      </c>
      <c r="B35" s="46" t="s">
        <v>85</v>
      </c>
      <c r="C35" s="49">
        <f>IFERROR(VLOOKUP(B35,'③ Billing Input'!B$4:F$103,4,FALSE()),0)</f>
        <v>1200</v>
      </c>
      <c r="D35" s="49">
        <f>C35*Settings!B8</f>
        <v>102000</v>
      </c>
      <c r="E35" s="49">
        <f>SUMPRODUCT(('⑤ Emp-Client Hours'!$C$4:$C$412=B35)*('⑤ Emp-Client Hours'!$F$4:$F$412="NO")*'⑤ Emp-Client Hours'!$D$4:$D$412*'⑤ Emp-Client Hours'!$G$4:$G$412)</f>
        <v>46034.375</v>
      </c>
      <c r="F35" s="46">
        <f>COUNTIFS('⑤ Emp-Client Hours'!$C$4:$C$412,B35,'⑤ Emp-Client Hours'!$F$4:$F$412,"NO")</f>
        <v>3</v>
      </c>
      <c r="G35" s="119">
        <f>SUMIFS('⑤ Emp-Client Hours'!$D$4:$D$412,'⑤ Emp-Client Hours'!$C$4:$C$412,B35,'⑤ Emp-Client Hours'!$F$4:$F$412,"NO")</f>
        <v>144.25</v>
      </c>
      <c r="H35" s="49">
        <f t="shared" si="0"/>
        <v>55965.625</v>
      </c>
      <c r="I35" s="48">
        <f t="shared" si="1"/>
        <v>0.54868259803921571</v>
      </c>
      <c r="J35" s="49">
        <f t="shared" si="2"/>
        <v>707.10571923743498</v>
      </c>
      <c r="K35" s="49">
        <f t="shared" si="3"/>
        <v>319.12911611785097</v>
      </c>
      <c r="L35" s="46" t="str">
        <f t="shared" si="4"/>
        <v>PROFITABLE</v>
      </c>
    </row>
    <row r="36" spans="1:12" ht="15" customHeight="1" x14ac:dyDescent="0.2">
      <c r="A36" s="46">
        <v>33</v>
      </c>
      <c r="B36" s="46" t="s">
        <v>113</v>
      </c>
      <c r="C36" s="49">
        <f>IFERROR(VLOOKUP(B36,'③ Billing Input'!B$4:F$103,4,FALSE()),0)</f>
        <v>1200</v>
      </c>
      <c r="D36" s="49">
        <f>C36*Settings!B8</f>
        <v>102000</v>
      </c>
      <c r="E36" s="49">
        <f>SUMPRODUCT(('⑤ Emp-Client Hours'!$C$4:$C$412=B36)*('⑤ Emp-Client Hours'!$F$4:$F$412="NO")*'⑤ Emp-Client Hours'!$D$4:$D$412*'⑤ Emp-Client Hours'!$G$4:$G$412)</f>
        <v>43375.625</v>
      </c>
      <c r="F36" s="46">
        <f>COUNTIFS('⑤ Emp-Client Hours'!$C$4:$C$412,B36,'⑤ Emp-Client Hours'!$F$4:$F$412,"NO")</f>
        <v>3</v>
      </c>
      <c r="G36" s="119">
        <f>SUMIFS('⑤ Emp-Client Hours'!$D$4:$D$412,'⑤ Emp-Client Hours'!$C$4:$C$412,B36,'⑤ Emp-Client Hours'!$F$4:$F$412,"NO")</f>
        <v>150.16</v>
      </c>
      <c r="H36" s="49">
        <f t="shared" ref="H36:H67" si="5">D36-E36</f>
        <v>58624.375</v>
      </c>
      <c r="I36" s="48">
        <f t="shared" ref="I36:I67" si="6">IF(D36=0,IF(E36&gt;0,-1,0),H36/D36)</f>
        <v>0.57474877450980388</v>
      </c>
      <c r="J36" s="49">
        <f t="shared" ref="J36:J67" si="7">IF(G36=0,0,D36/G36)</f>
        <v>679.27543953116674</v>
      </c>
      <c r="K36" s="49">
        <f t="shared" ref="K36:K67" si="8">IF(G36=0,0,E36/G36)</f>
        <v>288.86271310602024</v>
      </c>
      <c r="L36" s="46" t="str">
        <f t="shared" ref="L36:L67" si="9">IF(AND(D36=0,E36&gt;0),"NO BILLING",IF(AND(D36=0,E36=0),"INACTIVE",IF(I36&gt;=0.3,"PROFITABLE",IF(I36&gt;=0.1,"MODERATE",IF(I36&gt;=0,"BREAK-EVEN","LOSS-MAKING")))))</f>
        <v>PROFITABLE</v>
      </c>
    </row>
    <row r="37" spans="1:12" ht="15" customHeight="1" x14ac:dyDescent="0.2">
      <c r="A37" s="46">
        <v>34</v>
      </c>
      <c r="B37" s="46" t="s">
        <v>83</v>
      </c>
      <c r="C37" s="49">
        <f>IFERROR(VLOOKUP(B37,'③ Billing Input'!B$4:F$103,4,FALSE()),0)</f>
        <v>1200</v>
      </c>
      <c r="D37" s="49">
        <f>C37*Settings!B8</f>
        <v>102000</v>
      </c>
      <c r="E37" s="49">
        <f>SUMPRODUCT(('⑤ Emp-Client Hours'!$C$4:$C$412=B37)*('⑤ Emp-Client Hours'!$F$4:$F$412="NO")*'⑤ Emp-Client Hours'!$D$4:$D$412*'⑤ Emp-Client Hours'!$G$4:$G$412)</f>
        <v>0</v>
      </c>
      <c r="F37" s="46">
        <f>COUNTIFS('⑤ Emp-Client Hours'!$C$4:$C$412,B37,'⑤ Emp-Client Hours'!$F$4:$F$412,"NO")</f>
        <v>2</v>
      </c>
      <c r="G37" s="119">
        <f>SUMIFS('⑤ Emp-Client Hours'!$D$4:$D$412,'⑤ Emp-Client Hours'!$C$4:$C$412,B37,'⑤ Emp-Client Hours'!$F$4:$F$412,"NO")</f>
        <v>0</v>
      </c>
      <c r="H37" s="49">
        <f t="shared" si="5"/>
        <v>102000</v>
      </c>
      <c r="I37" s="48">
        <f t="shared" si="6"/>
        <v>1</v>
      </c>
      <c r="J37" s="49">
        <f t="shared" si="7"/>
        <v>0</v>
      </c>
      <c r="K37" s="49">
        <f t="shared" si="8"/>
        <v>0</v>
      </c>
      <c r="L37" s="46" t="str">
        <f t="shared" si="9"/>
        <v>PROFITABLE</v>
      </c>
    </row>
    <row r="38" spans="1:12" ht="15" customHeight="1" x14ac:dyDescent="0.2">
      <c r="A38" s="46">
        <v>35</v>
      </c>
      <c r="B38" s="46" t="s">
        <v>111</v>
      </c>
      <c r="C38" s="49">
        <f>IFERROR(VLOOKUP(B38,'③ Billing Input'!B$4:F$103,4,FALSE()),0)</f>
        <v>1200</v>
      </c>
      <c r="D38" s="49">
        <f>C38*Settings!B8</f>
        <v>102000</v>
      </c>
      <c r="E38" s="49">
        <f>SUMPRODUCT(('⑤ Emp-Client Hours'!$C$4:$C$412=B38)*('⑤ Emp-Client Hours'!$F$4:$F$412="NO")*'⑤ Emp-Client Hours'!$D$4:$D$412*'⑤ Emp-Client Hours'!$G$4:$G$412)</f>
        <v>14281.25</v>
      </c>
      <c r="F38" s="46">
        <f>COUNTIFS('⑤ Emp-Client Hours'!$C$4:$C$412,B38,'⑤ Emp-Client Hours'!$F$4:$F$412,"NO")</f>
        <v>4</v>
      </c>
      <c r="G38" s="119">
        <f>SUMIFS('⑤ Emp-Client Hours'!$D$4:$D$412,'⑤ Emp-Client Hours'!$C$4:$C$412,B38,'⑤ Emp-Client Hours'!$F$4:$F$412,"NO")</f>
        <v>33.4</v>
      </c>
      <c r="H38" s="49">
        <f t="shared" si="5"/>
        <v>87718.75</v>
      </c>
      <c r="I38" s="48">
        <f t="shared" si="6"/>
        <v>0.85998774509803921</v>
      </c>
      <c r="J38" s="49">
        <f t="shared" si="7"/>
        <v>3053.8922155688624</v>
      </c>
      <c r="K38" s="49">
        <f t="shared" si="8"/>
        <v>427.58233532934133</v>
      </c>
      <c r="L38" s="46" t="str">
        <f t="shared" si="9"/>
        <v>PROFITABLE</v>
      </c>
    </row>
    <row r="39" spans="1:12" ht="15" customHeight="1" x14ac:dyDescent="0.2">
      <c r="A39" s="46">
        <v>36</v>
      </c>
      <c r="B39" s="46" t="s">
        <v>78</v>
      </c>
      <c r="C39" s="49">
        <f>IFERROR(VLOOKUP(B39,'③ Billing Input'!B$4:F$103,4,FALSE()),0)</f>
        <v>1200</v>
      </c>
      <c r="D39" s="49">
        <f>C39*Settings!B8</f>
        <v>102000</v>
      </c>
      <c r="E39" s="49">
        <f>SUMPRODUCT(('⑤ Emp-Client Hours'!$C$4:$C$412=B39)*('⑤ Emp-Client Hours'!$F$4:$F$412="NO")*'⑤ Emp-Client Hours'!$D$4:$D$412*'⑤ Emp-Client Hours'!$G$4:$G$412)</f>
        <v>8062.5</v>
      </c>
      <c r="F39" s="46">
        <f>COUNTIFS('⑤ Emp-Client Hours'!$C$4:$C$412,B39,'⑤ Emp-Client Hours'!$F$4:$F$412,"NO")</f>
        <v>3</v>
      </c>
      <c r="G39" s="119">
        <f>SUMIFS('⑤ Emp-Client Hours'!$D$4:$D$412,'⑤ Emp-Client Hours'!$C$4:$C$412,B39,'⑤ Emp-Client Hours'!$F$4:$F$412,"NO")</f>
        <v>21.5</v>
      </c>
      <c r="H39" s="49">
        <f t="shared" si="5"/>
        <v>93937.5</v>
      </c>
      <c r="I39" s="48">
        <f t="shared" si="6"/>
        <v>0.92095588235294112</v>
      </c>
      <c r="J39" s="49">
        <f t="shared" si="7"/>
        <v>4744.1860465116279</v>
      </c>
      <c r="K39" s="49">
        <f t="shared" si="8"/>
        <v>375</v>
      </c>
      <c r="L39" s="46" t="str">
        <f t="shared" si="9"/>
        <v>PROFITABLE</v>
      </c>
    </row>
    <row r="40" spans="1:12" ht="15" customHeight="1" x14ac:dyDescent="0.2">
      <c r="A40" s="46">
        <v>37</v>
      </c>
      <c r="B40" s="46" t="s">
        <v>141</v>
      </c>
      <c r="C40" s="49">
        <f>IFERROR(VLOOKUP(B40,'③ Billing Input'!B$4:F$103,4,FALSE()),0)</f>
        <v>1100</v>
      </c>
      <c r="D40" s="49">
        <f>C40*Settings!B8</f>
        <v>93500</v>
      </c>
      <c r="E40" s="49">
        <f>SUMPRODUCT(('⑤ Emp-Client Hours'!$C$4:$C$412=B40)*('⑤ Emp-Client Hours'!$F$4:$F$412="NO")*'⑤ Emp-Client Hours'!$D$4:$D$412*'⑤ Emp-Client Hours'!$G$4:$G$412)</f>
        <v>0</v>
      </c>
      <c r="F40" s="46">
        <f>COUNTIFS('⑤ Emp-Client Hours'!$C$4:$C$412,B40,'⑤ Emp-Client Hours'!$F$4:$F$412,"NO")</f>
        <v>2</v>
      </c>
      <c r="G40" s="119">
        <f>SUMIFS('⑤ Emp-Client Hours'!$D$4:$D$412,'⑤ Emp-Client Hours'!$C$4:$C$412,B40,'⑤ Emp-Client Hours'!$F$4:$F$412,"NO")</f>
        <v>0</v>
      </c>
      <c r="H40" s="49">
        <f t="shared" si="5"/>
        <v>93500</v>
      </c>
      <c r="I40" s="48">
        <f t="shared" si="6"/>
        <v>1</v>
      </c>
      <c r="J40" s="49">
        <f t="shared" si="7"/>
        <v>0</v>
      </c>
      <c r="K40" s="49">
        <f t="shared" si="8"/>
        <v>0</v>
      </c>
      <c r="L40" s="46" t="str">
        <f t="shared" si="9"/>
        <v>PROFITABLE</v>
      </c>
    </row>
    <row r="41" spans="1:12" ht="15" customHeight="1" x14ac:dyDescent="0.2">
      <c r="A41" s="46">
        <v>38</v>
      </c>
      <c r="B41" s="46" t="s">
        <v>114</v>
      </c>
      <c r="C41" s="49">
        <f>IFERROR(VLOOKUP(B41,'③ Billing Input'!B$4:F$103,4,FALSE()),0)</f>
        <v>1000</v>
      </c>
      <c r="D41" s="49">
        <f>C41*Settings!B8</f>
        <v>85000</v>
      </c>
      <c r="E41" s="49">
        <f>SUMPRODUCT(('⑤ Emp-Client Hours'!$C$4:$C$412=B41)*('⑤ Emp-Client Hours'!$F$4:$F$412="NO")*'⑤ Emp-Client Hours'!$D$4:$D$412*'⑤ Emp-Client Hours'!$G$4:$G$412)</f>
        <v>0</v>
      </c>
      <c r="F41" s="46">
        <f>COUNTIFS('⑤ Emp-Client Hours'!$C$4:$C$412,B41,'⑤ Emp-Client Hours'!$F$4:$F$412,"NO")</f>
        <v>4</v>
      </c>
      <c r="G41" s="119">
        <f>SUMIFS('⑤ Emp-Client Hours'!$D$4:$D$412,'⑤ Emp-Client Hours'!$C$4:$C$412,B41,'⑤ Emp-Client Hours'!$F$4:$F$412,"NO")</f>
        <v>0</v>
      </c>
      <c r="H41" s="49">
        <f t="shared" si="5"/>
        <v>85000</v>
      </c>
      <c r="I41" s="48">
        <f t="shared" si="6"/>
        <v>1</v>
      </c>
      <c r="J41" s="49">
        <f t="shared" si="7"/>
        <v>0</v>
      </c>
      <c r="K41" s="49">
        <f t="shared" si="8"/>
        <v>0</v>
      </c>
      <c r="L41" s="46" t="str">
        <f t="shared" si="9"/>
        <v>PROFITABLE</v>
      </c>
    </row>
    <row r="42" spans="1:12" ht="15" customHeight="1" x14ac:dyDescent="0.2">
      <c r="A42" s="46">
        <v>39</v>
      </c>
      <c r="B42" s="46" t="s">
        <v>126</v>
      </c>
      <c r="C42" s="49">
        <f>IFERROR(VLOOKUP(B42,'③ Billing Input'!B$4:F$103,4,FALSE()),0)</f>
        <v>1000</v>
      </c>
      <c r="D42" s="49">
        <f>C42*Settings!B8</f>
        <v>85000</v>
      </c>
      <c r="E42" s="49">
        <f>SUMPRODUCT(('⑤ Emp-Client Hours'!$C$4:$C$412=B42)*('⑤ Emp-Client Hours'!$F$4:$F$412="NO")*'⑤ Emp-Client Hours'!$D$4:$D$412*'⑤ Emp-Client Hours'!$G$4:$G$412)</f>
        <v>0</v>
      </c>
      <c r="F42" s="46">
        <f>COUNTIFS('⑤ Emp-Client Hours'!$C$4:$C$412,B42,'⑤ Emp-Client Hours'!$F$4:$F$412,"NO")</f>
        <v>4</v>
      </c>
      <c r="G42" s="119">
        <f>SUMIFS('⑤ Emp-Client Hours'!$D$4:$D$412,'⑤ Emp-Client Hours'!$C$4:$C$412,B42,'⑤ Emp-Client Hours'!$F$4:$F$412,"NO")</f>
        <v>0</v>
      </c>
      <c r="H42" s="49">
        <f t="shared" si="5"/>
        <v>85000</v>
      </c>
      <c r="I42" s="48">
        <f t="shared" si="6"/>
        <v>1</v>
      </c>
      <c r="J42" s="49">
        <f t="shared" si="7"/>
        <v>0</v>
      </c>
      <c r="K42" s="49">
        <f t="shared" si="8"/>
        <v>0</v>
      </c>
      <c r="L42" s="46" t="str">
        <f t="shared" si="9"/>
        <v>PROFITABLE</v>
      </c>
    </row>
    <row r="43" spans="1:12" ht="15" customHeight="1" x14ac:dyDescent="0.2">
      <c r="A43" s="46">
        <v>40</v>
      </c>
      <c r="B43" s="46" t="s">
        <v>90</v>
      </c>
      <c r="C43" s="49">
        <f>IFERROR(VLOOKUP(B43,'③ Billing Input'!B$4:F$103,4,FALSE()),0)</f>
        <v>1000</v>
      </c>
      <c r="D43" s="49">
        <f>C43*Settings!B8</f>
        <v>85000</v>
      </c>
      <c r="E43" s="49">
        <f>SUMPRODUCT(('⑤ Emp-Client Hours'!$C$4:$C$412=B43)*('⑤ Emp-Client Hours'!$F$4:$F$412="NO")*'⑤ Emp-Client Hours'!$D$4:$D$412*'⑤ Emp-Client Hours'!$G$4:$G$412)</f>
        <v>4987.5</v>
      </c>
      <c r="F43" s="46">
        <f>COUNTIFS('⑤ Emp-Client Hours'!$C$4:$C$412,B43,'⑤ Emp-Client Hours'!$F$4:$F$412,"NO")</f>
        <v>2</v>
      </c>
      <c r="G43" s="119">
        <f>SUMIFS('⑤ Emp-Client Hours'!$D$4:$D$412,'⑤ Emp-Client Hours'!$C$4:$C$412,B43,'⑤ Emp-Client Hours'!$F$4:$F$412,"NO")</f>
        <v>9.5</v>
      </c>
      <c r="H43" s="49">
        <f t="shared" si="5"/>
        <v>80012.5</v>
      </c>
      <c r="I43" s="48">
        <f t="shared" si="6"/>
        <v>0.94132352941176467</v>
      </c>
      <c r="J43" s="49">
        <f t="shared" si="7"/>
        <v>8947.3684210526317</v>
      </c>
      <c r="K43" s="49">
        <f t="shared" si="8"/>
        <v>525</v>
      </c>
      <c r="L43" s="46" t="str">
        <f t="shared" si="9"/>
        <v>PROFITABLE</v>
      </c>
    </row>
    <row r="44" spans="1:12" ht="15" customHeight="1" x14ac:dyDescent="0.2">
      <c r="A44" s="46">
        <v>41</v>
      </c>
      <c r="B44" s="46" t="s">
        <v>118</v>
      </c>
      <c r="C44" s="49">
        <f>IFERROR(VLOOKUP(B44,'③ Billing Input'!B$4:F$103,4,FALSE()),0)</f>
        <v>1000</v>
      </c>
      <c r="D44" s="49">
        <f>C44*Settings!B8</f>
        <v>85000</v>
      </c>
      <c r="E44" s="49">
        <f>SUMPRODUCT(('⑤ Emp-Client Hours'!$C$4:$C$412=B44)*('⑤ Emp-Client Hours'!$F$4:$F$412="NO")*'⑤ Emp-Client Hours'!$D$4:$D$412*'⑤ Emp-Client Hours'!$G$4:$G$412)</f>
        <v>0</v>
      </c>
      <c r="F44" s="46">
        <f>COUNTIFS('⑤ Emp-Client Hours'!$C$4:$C$412,B44,'⑤ Emp-Client Hours'!$F$4:$F$412,"NO")</f>
        <v>2</v>
      </c>
      <c r="G44" s="119">
        <f>SUMIFS('⑤ Emp-Client Hours'!$D$4:$D$412,'⑤ Emp-Client Hours'!$C$4:$C$412,B44,'⑤ Emp-Client Hours'!$F$4:$F$412,"NO")</f>
        <v>0</v>
      </c>
      <c r="H44" s="49">
        <f t="shared" si="5"/>
        <v>85000</v>
      </c>
      <c r="I44" s="48">
        <f t="shared" si="6"/>
        <v>1</v>
      </c>
      <c r="J44" s="49">
        <f t="shared" si="7"/>
        <v>0</v>
      </c>
      <c r="K44" s="49">
        <f t="shared" si="8"/>
        <v>0</v>
      </c>
      <c r="L44" s="46" t="str">
        <f t="shared" si="9"/>
        <v>PROFITABLE</v>
      </c>
    </row>
    <row r="45" spans="1:12" ht="15" customHeight="1" x14ac:dyDescent="0.2">
      <c r="A45" s="46">
        <v>42</v>
      </c>
      <c r="B45" s="46" t="s">
        <v>119</v>
      </c>
      <c r="C45" s="49">
        <f>IFERROR(VLOOKUP(B45,'③ Billing Input'!B$4:F$103,4,FALSE()),0)</f>
        <v>1000</v>
      </c>
      <c r="D45" s="49">
        <f>C45*Settings!B8</f>
        <v>85000</v>
      </c>
      <c r="E45" s="49">
        <f>SUMPRODUCT(('⑤ Emp-Client Hours'!$C$4:$C$412=B45)*('⑤ Emp-Client Hours'!$F$4:$F$412="NO")*'⑤ Emp-Client Hours'!$D$4:$D$412*'⑤ Emp-Client Hours'!$G$4:$G$412)</f>
        <v>17600</v>
      </c>
      <c r="F45" s="46">
        <f>COUNTIFS('⑤ Emp-Client Hours'!$C$4:$C$412,B45,'⑤ Emp-Client Hours'!$F$4:$F$412,"NO")</f>
        <v>4</v>
      </c>
      <c r="G45" s="119">
        <f>SUMIFS('⑤ Emp-Client Hours'!$D$4:$D$412,'⑤ Emp-Client Hours'!$C$4:$C$412,B45,'⑤ Emp-Client Hours'!$F$4:$F$412,"NO")</f>
        <v>84.75</v>
      </c>
      <c r="H45" s="49">
        <f t="shared" si="5"/>
        <v>67400</v>
      </c>
      <c r="I45" s="48">
        <f t="shared" si="6"/>
        <v>0.79294117647058826</v>
      </c>
      <c r="J45" s="49">
        <f t="shared" si="7"/>
        <v>1002.9498525073747</v>
      </c>
      <c r="K45" s="49">
        <f t="shared" si="8"/>
        <v>207.66961651917404</v>
      </c>
      <c r="L45" s="46" t="str">
        <f t="shared" si="9"/>
        <v>PROFITABLE</v>
      </c>
    </row>
    <row r="46" spans="1:12" ht="15" customHeight="1" x14ac:dyDescent="0.2">
      <c r="A46" s="46">
        <v>43</v>
      </c>
      <c r="B46" s="46" t="s">
        <v>743</v>
      </c>
      <c r="C46" s="49">
        <f>IFERROR(VLOOKUP(B46,'③ Billing Input'!B$4:F$103,4,FALSE()),0)</f>
        <v>1000</v>
      </c>
      <c r="D46" s="49">
        <f>C46*Settings!B8</f>
        <v>85000</v>
      </c>
      <c r="E46" s="49">
        <f>SUMPRODUCT(('⑤ Emp-Client Hours'!$C$4:$C$412=B46)*('⑤ Emp-Client Hours'!$F$4:$F$412="NO")*'⑤ Emp-Client Hours'!$D$4:$D$412*'⑤ Emp-Client Hours'!$G$4:$G$412)</f>
        <v>0</v>
      </c>
      <c r="F46" s="46">
        <f>COUNTIFS('⑤ Emp-Client Hours'!$C$4:$C$412,B46,'⑤ Emp-Client Hours'!$F$4:$F$412,"NO")</f>
        <v>0</v>
      </c>
      <c r="G46" s="119">
        <f>SUMIFS('⑤ Emp-Client Hours'!$D$4:$D$412,'⑤ Emp-Client Hours'!$C$4:$C$412,B46,'⑤ Emp-Client Hours'!$F$4:$F$412,"NO")</f>
        <v>0</v>
      </c>
      <c r="H46" s="49">
        <f t="shared" si="5"/>
        <v>85000</v>
      </c>
      <c r="I46" s="48">
        <f t="shared" si="6"/>
        <v>1</v>
      </c>
      <c r="J46" s="49">
        <f t="shared" si="7"/>
        <v>0</v>
      </c>
      <c r="K46" s="49">
        <f t="shared" si="8"/>
        <v>0</v>
      </c>
      <c r="L46" s="46" t="str">
        <f t="shared" si="9"/>
        <v>PROFITABLE</v>
      </c>
    </row>
    <row r="47" spans="1:12" ht="15" customHeight="1" x14ac:dyDescent="0.2">
      <c r="A47" s="46">
        <v>44</v>
      </c>
      <c r="B47" s="46" t="s">
        <v>108</v>
      </c>
      <c r="C47" s="49">
        <f>IFERROR(VLOOKUP(B47,'③ Billing Input'!B$4:F$103,4,FALSE()),0)</f>
        <v>800</v>
      </c>
      <c r="D47" s="49">
        <f>C47*Settings!B8</f>
        <v>68000</v>
      </c>
      <c r="E47" s="49">
        <f>SUMPRODUCT(('⑤ Emp-Client Hours'!$C$4:$C$412=B47)*('⑤ Emp-Client Hours'!$F$4:$F$412="NO")*'⑤ Emp-Client Hours'!$D$4:$D$412*'⑤ Emp-Client Hours'!$G$4:$G$412)</f>
        <v>0</v>
      </c>
      <c r="F47" s="46">
        <f>COUNTIFS('⑤ Emp-Client Hours'!$C$4:$C$412,B47,'⑤ Emp-Client Hours'!$F$4:$F$412,"NO")</f>
        <v>4</v>
      </c>
      <c r="G47" s="119">
        <f>SUMIFS('⑤ Emp-Client Hours'!$D$4:$D$412,'⑤ Emp-Client Hours'!$C$4:$C$412,B47,'⑤ Emp-Client Hours'!$F$4:$F$412,"NO")</f>
        <v>0</v>
      </c>
      <c r="H47" s="49">
        <f t="shared" si="5"/>
        <v>68000</v>
      </c>
      <c r="I47" s="48">
        <f t="shared" si="6"/>
        <v>1</v>
      </c>
      <c r="J47" s="49">
        <f t="shared" si="7"/>
        <v>0</v>
      </c>
      <c r="K47" s="49">
        <f t="shared" si="8"/>
        <v>0</v>
      </c>
      <c r="L47" s="46" t="str">
        <f t="shared" si="9"/>
        <v>PROFITABLE</v>
      </c>
    </row>
    <row r="48" spans="1:12" ht="15" customHeight="1" x14ac:dyDescent="0.2">
      <c r="A48" s="46">
        <v>45</v>
      </c>
      <c r="B48" s="46" t="s">
        <v>732</v>
      </c>
      <c r="C48" s="49">
        <f>IFERROR(VLOOKUP(B48,'③ Billing Input'!B$4:F$103,4,FALSE()),0)</f>
        <v>800</v>
      </c>
      <c r="D48" s="49">
        <f>C48*Settings!B8</f>
        <v>68000</v>
      </c>
      <c r="E48" s="49">
        <f>SUMPRODUCT(('⑤ Emp-Client Hours'!$C$4:$C$412=B48)*('⑤ Emp-Client Hours'!$F$4:$F$412="NO")*'⑤ Emp-Client Hours'!$D$4:$D$412*'⑤ Emp-Client Hours'!$G$4:$G$412)</f>
        <v>0</v>
      </c>
      <c r="F48" s="46">
        <f>COUNTIFS('⑤ Emp-Client Hours'!$C$4:$C$412,B48,'⑤ Emp-Client Hours'!$F$4:$F$412,"NO")</f>
        <v>0</v>
      </c>
      <c r="G48" s="119">
        <f>SUMIFS('⑤ Emp-Client Hours'!$D$4:$D$412,'⑤ Emp-Client Hours'!$C$4:$C$412,B48,'⑤ Emp-Client Hours'!$F$4:$F$412,"NO")</f>
        <v>0</v>
      </c>
      <c r="H48" s="49">
        <f t="shared" si="5"/>
        <v>68000</v>
      </c>
      <c r="I48" s="48">
        <f t="shared" si="6"/>
        <v>1</v>
      </c>
      <c r="J48" s="49">
        <f t="shared" si="7"/>
        <v>0</v>
      </c>
      <c r="K48" s="49">
        <f t="shared" si="8"/>
        <v>0</v>
      </c>
      <c r="L48" s="46" t="str">
        <f t="shared" si="9"/>
        <v>PROFITABLE</v>
      </c>
    </row>
    <row r="49" spans="1:12" ht="15" customHeight="1" x14ac:dyDescent="0.2">
      <c r="A49" s="46">
        <v>46</v>
      </c>
      <c r="B49" s="46" t="s">
        <v>94</v>
      </c>
      <c r="C49" s="49">
        <f>IFERROR(VLOOKUP(B49,'③ Billing Input'!B$4:F$103,4,FALSE()),0)</f>
        <v>700</v>
      </c>
      <c r="D49" s="49">
        <f>C49*Settings!B8</f>
        <v>59500</v>
      </c>
      <c r="E49" s="49">
        <f>SUMPRODUCT(('⑤ Emp-Client Hours'!$C$4:$C$412=B49)*('⑤ Emp-Client Hours'!$F$4:$F$412="NO")*'⑤ Emp-Client Hours'!$D$4:$D$412*'⑤ Emp-Client Hours'!$G$4:$G$412)</f>
        <v>0</v>
      </c>
      <c r="F49" s="46">
        <f>COUNTIFS('⑤ Emp-Client Hours'!$C$4:$C$412,B49,'⑤ Emp-Client Hours'!$F$4:$F$412,"NO")</f>
        <v>3</v>
      </c>
      <c r="G49" s="119">
        <f>SUMIFS('⑤ Emp-Client Hours'!$D$4:$D$412,'⑤ Emp-Client Hours'!$C$4:$C$412,B49,'⑤ Emp-Client Hours'!$F$4:$F$412,"NO")</f>
        <v>0</v>
      </c>
      <c r="H49" s="49">
        <f t="shared" si="5"/>
        <v>59500</v>
      </c>
      <c r="I49" s="48">
        <f t="shared" si="6"/>
        <v>1</v>
      </c>
      <c r="J49" s="49">
        <f t="shared" si="7"/>
        <v>0</v>
      </c>
      <c r="K49" s="49">
        <f t="shared" si="8"/>
        <v>0</v>
      </c>
      <c r="L49" s="46" t="str">
        <f t="shared" si="9"/>
        <v>PROFITABLE</v>
      </c>
    </row>
    <row r="50" spans="1:12" ht="15" customHeight="1" x14ac:dyDescent="0.2">
      <c r="A50" s="46">
        <v>47</v>
      </c>
      <c r="B50" s="46" t="s">
        <v>88</v>
      </c>
      <c r="C50" s="49">
        <f>IFERROR(VLOOKUP(B50,'③ Billing Input'!B$4:F$103,4,FALSE()),0)</f>
        <v>700</v>
      </c>
      <c r="D50" s="49">
        <f>C50*Settings!B8</f>
        <v>59500</v>
      </c>
      <c r="E50" s="49">
        <f>SUMPRODUCT(('⑤ Emp-Client Hours'!$C$4:$C$412=B50)*('⑤ Emp-Client Hours'!$F$4:$F$412="NO")*'⑤ Emp-Client Hours'!$D$4:$D$412*'⑤ Emp-Client Hours'!$G$4:$G$412)</f>
        <v>10875</v>
      </c>
      <c r="F50" s="46">
        <f>COUNTIFS('⑤ Emp-Client Hours'!$C$4:$C$412,B50,'⑤ Emp-Client Hours'!$F$4:$F$412,"NO")</f>
        <v>6</v>
      </c>
      <c r="G50" s="119">
        <f>SUMIFS('⑤ Emp-Client Hours'!$D$4:$D$412,'⑤ Emp-Client Hours'!$C$4:$C$412,B50,'⑤ Emp-Client Hours'!$F$4:$F$412,"NO")</f>
        <v>43.5</v>
      </c>
      <c r="H50" s="49">
        <f t="shared" si="5"/>
        <v>48625</v>
      </c>
      <c r="I50" s="48">
        <f t="shared" si="6"/>
        <v>0.8172268907563025</v>
      </c>
      <c r="J50" s="49">
        <f t="shared" si="7"/>
        <v>1367.816091954023</v>
      </c>
      <c r="K50" s="49">
        <f t="shared" si="8"/>
        <v>250</v>
      </c>
      <c r="L50" s="46" t="str">
        <f t="shared" si="9"/>
        <v>PROFITABLE</v>
      </c>
    </row>
    <row r="51" spans="1:12" ht="15" customHeight="1" x14ac:dyDescent="0.2">
      <c r="A51" s="46">
        <v>48</v>
      </c>
      <c r="B51" s="46" t="s">
        <v>86</v>
      </c>
      <c r="C51" s="49">
        <f>IFERROR(VLOOKUP(B51,'③ Billing Input'!B$4:F$103,4,FALSE()),0)</f>
        <v>650</v>
      </c>
      <c r="D51" s="49">
        <f>C51*Settings!B8</f>
        <v>55250</v>
      </c>
      <c r="E51" s="49">
        <f>SUMPRODUCT(('⑤ Emp-Client Hours'!$C$4:$C$412=B51)*('⑤ Emp-Client Hours'!$F$4:$F$412="NO")*'⑤ Emp-Client Hours'!$D$4:$D$412*'⑤ Emp-Client Hours'!$G$4:$G$412)</f>
        <v>0</v>
      </c>
      <c r="F51" s="46">
        <f>COUNTIFS('⑤ Emp-Client Hours'!$C$4:$C$412,B51,'⑤ Emp-Client Hours'!$F$4:$F$412,"NO")</f>
        <v>0</v>
      </c>
      <c r="G51" s="119">
        <f>SUMIFS('⑤ Emp-Client Hours'!$D$4:$D$412,'⑤ Emp-Client Hours'!$C$4:$C$412,B51,'⑤ Emp-Client Hours'!$F$4:$F$412,"NO")</f>
        <v>0</v>
      </c>
      <c r="H51" s="49">
        <f t="shared" si="5"/>
        <v>55250</v>
      </c>
      <c r="I51" s="48">
        <f t="shared" si="6"/>
        <v>1</v>
      </c>
      <c r="J51" s="49">
        <f t="shared" si="7"/>
        <v>0</v>
      </c>
      <c r="K51" s="49">
        <f t="shared" si="8"/>
        <v>0</v>
      </c>
      <c r="L51" s="46" t="str">
        <f t="shared" si="9"/>
        <v>PROFITABLE</v>
      </c>
    </row>
    <row r="52" spans="1:12" ht="15" customHeight="1" x14ac:dyDescent="0.2">
      <c r="A52" s="46">
        <v>49</v>
      </c>
      <c r="B52" s="46" t="s">
        <v>133</v>
      </c>
      <c r="C52" s="49">
        <f>IFERROR(VLOOKUP(B52,'③ Billing Input'!B$4:F$103,4,FALSE()),0)</f>
        <v>600</v>
      </c>
      <c r="D52" s="49">
        <f>C52*Settings!B8</f>
        <v>51000</v>
      </c>
      <c r="E52" s="49">
        <f>SUMPRODUCT(('⑤ Emp-Client Hours'!$C$4:$C$412=B52)*('⑤ Emp-Client Hours'!$F$4:$F$412="NO")*'⑤ Emp-Client Hours'!$D$4:$D$412*'⑤ Emp-Client Hours'!$G$4:$G$412)</f>
        <v>0</v>
      </c>
      <c r="F52" s="46">
        <f>COUNTIFS('⑤ Emp-Client Hours'!$C$4:$C$412,B52,'⑤ Emp-Client Hours'!$F$4:$F$412,"NO")</f>
        <v>5</v>
      </c>
      <c r="G52" s="119">
        <f>SUMIFS('⑤ Emp-Client Hours'!$D$4:$D$412,'⑤ Emp-Client Hours'!$C$4:$C$412,B52,'⑤ Emp-Client Hours'!$F$4:$F$412,"NO")</f>
        <v>0</v>
      </c>
      <c r="H52" s="49">
        <f t="shared" si="5"/>
        <v>51000</v>
      </c>
      <c r="I52" s="48">
        <f t="shared" si="6"/>
        <v>1</v>
      </c>
      <c r="J52" s="49">
        <f t="shared" si="7"/>
        <v>0</v>
      </c>
      <c r="K52" s="49">
        <f t="shared" si="8"/>
        <v>0</v>
      </c>
      <c r="L52" s="46" t="str">
        <f t="shared" si="9"/>
        <v>PROFITABLE</v>
      </c>
    </row>
    <row r="53" spans="1:12" ht="15" customHeight="1" x14ac:dyDescent="0.2">
      <c r="A53" s="46">
        <v>50</v>
      </c>
      <c r="B53" s="46" t="s">
        <v>102</v>
      </c>
      <c r="C53" s="49">
        <f>IFERROR(VLOOKUP(B53,'③ Billing Input'!B$4:F$103,4,FALSE()),0)</f>
        <v>600</v>
      </c>
      <c r="D53" s="49">
        <f>C53*Settings!B8</f>
        <v>51000</v>
      </c>
      <c r="E53" s="49">
        <f>SUMPRODUCT(('⑤ Emp-Client Hours'!$C$4:$C$412=B53)*('⑤ Emp-Client Hours'!$F$4:$F$412="NO")*'⑤ Emp-Client Hours'!$D$4:$D$412*'⑤ Emp-Client Hours'!$G$4:$G$412)</f>
        <v>0</v>
      </c>
      <c r="F53" s="46">
        <f>COUNTIFS('⑤ Emp-Client Hours'!$C$4:$C$412,B53,'⑤ Emp-Client Hours'!$F$4:$F$412,"NO")</f>
        <v>2</v>
      </c>
      <c r="G53" s="119">
        <f>SUMIFS('⑤ Emp-Client Hours'!$D$4:$D$412,'⑤ Emp-Client Hours'!$C$4:$C$412,B53,'⑤ Emp-Client Hours'!$F$4:$F$412,"NO")</f>
        <v>0</v>
      </c>
      <c r="H53" s="49">
        <f t="shared" si="5"/>
        <v>51000</v>
      </c>
      <c r="I53" s="48">
        <f t="shared" si="6"/>
        <v>1</v>
      </c>
      <c r="J53" s="49">
        <f t="shared" si="7"/>
        <v>0</v>
      </c>
      <c r="K53" s="49">
        <f t="shared" si="8"/>
        <v>0</v>
      </c>
      <c r="L53" s="46" t="str">
        <f t="shared" si="9"/>
        <v>PROFITABLE</v>
      </c>
    </row>
    <row r="54" spans="1:12" ht="15" customHeight="1" x14ac:dyDescent="0.2">
      <c r="A54" s="46">
        <v>51</v>
      </c>
      <c r="B54" s="46" t="s">
        <v>116</v>
      </c>
      <c r="C54" s="49">
        <f>IFERROR(VLOOKUP(B54,'③ Billing Input'!B$4:F$103,4,FALSE()),0)</f>
        <v>600</v>
      </c>
      <c r="D54" s="49">
        <f>C54*Settings!B8</f>
        <v>51000</v>
      </c>
      <c r="E54" s="49">
        <f>SUMPRODUCT(('⑤ Emp-Client Hours'!$C$4:$C$412=B54)*('⑤ Emp-Client Hours'!$F$4:$F$412="NO")*'⑤ Emp-Client Hours'!$D$4:$D$412*'⑤ Emp-Client Hours'!$G$4:$G$412)</f>
        <v>0</v>
      </c>
      <c r="F54" s="46">
        <f>COUNTIFS('⑤ Emp-Client Hours'!$C$4:$C$412,B54,'⑤ Emp-Client Hours'!$F$4:$F$412,"NO")</f>
        <v>2</v>
      </c>
      <c r="G54" s="119">
        <f>SUMIFS('⑤ Emp-Client Hours'!$D$4:$D$412,'⑤ Emp-Client Hours'!$C$4:$C$412,B54,'⑤ Emp-Client Hours'!$F$4:$F$412,"NO")</f>
        <v>0</v>
      </c>
      <c r="H54" s="49">
        <f t="shared" si="5"/>
        <v>51000</v>
      </c>
      <c r="I54" s="48">
        <f t="shared" si="6"/>
        <v>1</v>
      </c>
      <c r="J54" s="49">
        <f t="shared" si="7"/>
        <v>0</v>
      </c>
      <c r="K54" s="49">
        <f t="shared" si="8"/>
        <v>0</v>
      </c>
      <c r="L54" s="46" t="str">
        <f t="shared" si="9"/>
        <v>PROFITABLE</v>
      </c>
    </row>
    <row r="55" spans="1:12" ht="15" customHeight="1" x14ac:dyDescent="0.2">
      <c r="A55" s="46">
        <v>52</v>
      </c>
      <c r="B55" s="46" t="s">
        <v>101</v>
      </c>
      <c r="C55" s="49">
        <f>IFERROR(VLOOKUP(B55,'③ Billing Input'!B$4:F$103,4,FALSE()),0)</f>
        <v>600</v>
      </c>
      <c r="D55" s="49">
        <f>C55*Settings!B8</f>
        <v>51000</v>
      </c>
      <c r="E55" s="49">
        <f>SUMPRODUCT(('⑤ Emp-Client Hours'!$C$4:$C$412=B55)*('⑤ Emp-Client Hours'!$F$4:$F$412="NO")*'⑤ Emp-Client Hours'!$D$4:$D$412*'⑤ Emp-Client Hours'!$G$4:$G$412)</f>
        <v>0</v>
      </c>
      <c r="F55" s="46">
        <f>COUNTIFS('⑤ Emp-Client Hours'!$C$4:$C$412,B55,'⑤ Emp-Client Hours'!$F$4:$F$412,"NO")</f>
        <v>1</v>
      </c>
      <c r="G55" s="119">
        <f>SUMIFS('⑤ Emp-Client Hours'!$D$4:$D$412,'⑤ Emp-Client Hours'!$C$4:$C$412,B55,'⑤ Emp-Client Hours'!$F$4:$F$412,"NO")</f>
        <v>0</v>
      </c>
      <c r="H55" s="49">
        <f t="shared" si="5"/>
        <v>51000</v>
      </c>
      <c r="I55" s="48">
        <f t="shared" si="6"/>
        <v>1</v>
      </c>
      <c r="J55" s="49">
        <f t="shared" si="7"/>
        <v>0</v>
      </c>
      <c r="K55" s="49">
        <f t="shared" si="8"/>
        <v>0</v>
      </c>
      <c r="L55" s="46" t="str">
        <f t="shared" si="9"/>
        <v>PROFITABLE</v>
      </c>
    </row>
    <row r="56" spans="1:12" ht="15" customHeight="1" x14ac:dyDescent="0.2">
      <c r="A56" s="46">
        <v>53</v>
      </c>
      <c r="B56" s="46" t="s">
        <v>140</v>
      </c>
      <c r="C56" s="49">
        <f>IFERROR(VLOOKUP(B56,'③ Billing Input'!B$4:F$103,4,FALSE()),0)</f>
        <v>600</v>
      </c>
      <c r="D56" s="49">
        <f>C56*Settings!B8</f>
        <v>51000</v>
      </c>
      <c r="E56" s="49">
        <f>SUMPRODUCT(('⑤ Emp-Client Hours'!$C$4:$C$412=B56)*('⑤ Emp-Client Hours'!$F$4:$F$412="NO")*'⑤ Emp-Client Hours'!$D$4:$D$412*'⑤ Emp-Client Hours'!$G$4:$G$412)</f>
        <v>0</v>
      </c>
      <c r="F56" s="46">
        <f>COUNTIFS('⑤ Emp-Client Hours'!$C$4:$C$412,B56,'⑤ Emp-Client Hours'!$F$4:$F$412,"NO")</f>
        <v>5</v>
      </c>
      <c r="G56" s="119">
        <f>SUMIFS('⑤ Emp-Client Hours'!$D$4:$D$412,'⑤ Emp-Client Hours'!$C$4:$C$412,B56,'⑤ Emp-Client Hours'!$F$4:$F$412,"NO")</f>
        <v>0</v>
      </c>
      <c r="H56" s="49">
        <f t="shared" si="5"/>
        <v>51000</v>
      </c>
      <c r="I56" s="48">
        <f t="shared" si="6"/>
        <v>1</v>
      </c>
      <c r="J56" s="49">
        <f t="shared" si="7"/>
        <v>0</v>
      </c>
      <c r="K56" s="49">
        <f t="shared" si="8"/>
        <v>0</v>
      </c>
      <c r="L56" s="46" t="str">
        <f t="shared" si="9"/>
        <v>PROFITABLE</v>
      </c>
    </row>
    <row r="57" spans="1:12" ht="15" customHeight="1" x14ac:dyDescent="0.2">
      <c r="A57" s="46">
        <v>54</v>
      </c>
      <c r="B57" s="46" t="s">
        <v>747</v>
      </c>
      <c r="C57" s="49">
        <f>IFERROR(VLOOKUP(B57,'③ Billing Input'!B$4:F$103,4,FALSE()),0)</f>
        <v>500</v>
      </c>
      <c r="D57" s="49">
        <f>C57*Settings!B8</f>
        <v>42500</v>
      </c>
      <c r="E57" s="49">
        <f>SUMPRODUCT(('⑤ Emp-Client Hours'!$C$4:$C$412=B57)*('⑤ Emp-Client Hours'!$F$4:$F$412="NO")*'⑤ Emp-Client Hours'!$D$4:$D$412*'⑤ Emp-Client Hours'!$G$4:$G$412)</f>
        <v>0</v>
      </c>
      <c r="F57" s="46">
        <f>COUNTIFS('⑤ Emp-Client Hours'!$C$4:$C$412,B57,'⑤ Emp-Client Hours'!$F$4:$F$412,"NO")</f>
        <v>0</v>
      </c>
      <c r="G57" s="119">
        <f>SUMIFS('⑤ Emp-Client Hours'!$D$4:$D$412,'⑤ Emp-Client Hours'!$C$4:$C$412,B57,'⑤ Emp-Client Hours'!$F$4:$F$412,"NO")</f>
        <v>0</v>
      </c>
      <c r="H57" s="49">
        <f t="shared" si="5"/>
        <v>42500</v>
      </c>
      <c r="I57" s="48">
        <f t="shared" si="6"/>
        <v>1</v>
      </c>
      <c r="J57" s="49">
        <f t="shared" si="7"/>
        <v>0</v>
      </c>
      <c r="K57" s="49">
        <f t="shared" si="8"/>
        <v>0</v>
      </c>
      <c r="L57" s="46" t="str">
        <f t="shared" si="9"/>
        <v>PROFITABLE</v>
      </c>
    </row>
    <row r="58" spans="1:12" ht="15" customHeight="1" x14ac:dyDescent="0.2">
      <c r="A58" s="46">
        <v>55</v>
      </c>
      <c r="B58" s="46" t="s">
        <v>122</v>
      </c>
      <c r="C58" s="49">
        <f>IFERROR(VLOOKUP(B58,'③ Billing Input'!B$4:F$103,4,FALSE()),0)</f>
        <v>500</v>
      </c>
      <c r="D58" s="49">
        <f>C58*Settings!B8</f>
        <v>42500</v>
      </c>
      <c r="E58" s="49">
        <f>SUMPRODUCT(('⑤ Emp-Client Hours'!$C$4:$C$412=B58)*('⑤ Emp-Client Hours'!$F$4:$F$412="NO")*'⑤ Emp-Client Hours'!$D$4:$D$412*'⑤ Emp-Client Hours'!$G$4:$G$412)</f>
        <v>0</v>
      </c>
      <c r="F58" s="46">
        <f>COUNTIFS('⑤ Emp-Client Hours'!$C$4:$C$412,B58,'⑤ Emp-Client Hours'!$F$4:$F$412,"NO")</f>
        <v>1</v>
      </c>
      <c r="G58" s="119">
        <f>SUMIFS('⑤ Emp-Client Hours'!$D$4:$D$412,'⑤ Emp-Client Hours'!$C$4:$C$412,B58,'⑤ Emp-Client Hours'!$F$4:$F$412,"NO")</f>
        <v>0</v>
      </c>
      <c r="H58" s="49">
        <f t="shared" si="5"/>
        <v>42500</v>
      </c>
      <c r="I58" s="48">
        <f t="shared" si="6"/>
        <v>1</v>
      </c>
      <c r="J58" s="49">
        <f t="shared" si="7"/>
        <v>0</v>
      </c>
      <c r="K58" s="49">
        <f t="shared" si="8"/>
        <v>0</v>
      </c>
      <c r="L58" s="46" t="str">
        <f t="shared" si="9"/>
        <v>PROFITABLE</v>
      </c>
    </row>
    <row r="59" spans="1:12" ht="15" customHeight="1" x14ac:dyDescent="0.2">
      <c r="A59" s="46">
        <v>56</v>
      </c>
      <c r="B59" s="46" t="s">
        <v>105</v>
      </c>
      <c r="C59" s="49">
        <f>IFERROR(VLOOKUP(B59,'③ Billing Input'!B$4:F$103,4,FALSE()),0)</f>
        <v>450</v>
      </c>
      <c r="D59" s="49">
        <f>C59*Settings!B8</f>
        <v>38250</v>
      </c>
      <c r="E59" s="49">
        <f>SUMPRODUCT(('⑤ Emp-Client Hours'!$C$4:$C$412=B59)*('⑤ Emp-Client Hours'!$F$4:$F$412="NO")*'⑤ Emp-Client Hours'!$D$4:$D$412*'⑤ Emp-Client Hours'!$G$4:$G$412)</f>
        <v>0</v>
      </c>
      <c r="F59" s="46">
        <f>COUNTIFS('⑤ Emp-Client Hours'!$C$4:$C$412,B59,'⑤ Emp-Client Hours'!$F$4:$F$412,"NO")</f>
        <v>3</v>
      </c>
      <c r="G59" s="119">
        <f>SUMIFS('⑤ Emp-Client Hours'!$D$4:$D$412,'⑤ Emp-Client Hours'!$C$4:$C$412,B59,'⑤ Emp-Client Hours'!$F$4:$F$412,"NO")</f>
        <v>0</v>
      </c>
      <c r="H59" s="49">
        <f t="shared" si="5"/>
        <v>38250</v>
      </c>
      <c r="I59" s="48">
        <f t="shared" si="6"/>
        <v>1</v>
      </c>
      <c r="J59" s="49">
        <f t="shared" si="7"/>
        <v>0</v>
      </c>
      <c r="K59" s="49">
        <f t="shared" si="8"/>
        <v>0</v>
      </c>
      <c r="L59" s="46" t="str">
        <f t="shared" si="9"/>
        <v>PROFITABLE</v>
      </c>
    </row>
    <row r="60" spans="1:12" ht="15" customHeight="1" x14ac:dyDescent="0.2">
      <c r="A60" s="46">
        <v>57</v>
      </c>
      <c r="B60" s="46" t="s">
        <v>120</v>
      </c>
      <c r="C60" s="49">
        <f>IFERROR(VLOOKUP(B60,'③ Billing Input'!B$4:F$103,4,FALSE()),0)</f>
        <v>450</v>
      </c>
      <c r="D60" s="49">
        <f>C60*Settings!B8</f>
        <v>38250</v>
      </c>
      <c r="E60" s="49">
        <f>SUMPRODUCT(('⑤ Emp-Client Hours'!$C$4:$C$412=B60)*('⑤ Emp-Client Hours'!$F$4:$F$412="NO")*'⑤ Emp-Client Hours'!$D$4:$D$412*'⑤ Emp-Client Hours'!$G$4:$G$412)</f>
        <v>0</v>
      </c>
      <c r="F60" s="46">
        <f>COUNTIFS('⑤ Emp-Client Hours'!$C$4:$C$412,B60,'⑤ Emp-Client Hours'!$F$4:$F$412,"NO")</f>
        <v>5</v>
      </c>
      <c r="G60" s="119">
        <f>SUMIFS('⑤ Emp-Client Hours'!$D$4:$D$412,'⑤ Emp-Client Hours'!$C$4:$C$412,B60,'⑤ Emp-Client Hours'!$F$4:$F$412,"NO")</f>
        <v>0</v>
      </c>
      <c r="H60" s="49">
        <f t="shared" si="5"/>
        <v>38250</v>
      </c>
      <c r="I60" s="48">
        <f t="shared" si="6"/>
        <v>1</v>
      </c>
      <c r="J60" s="49">
        <f t="shared" si="7"/>
        <v>0</v>
      </c>
      <c r="K60" s="49">
        <f t="shared" si="8"/>
        <v>0</v>
      </c>
      <c r="L60" s="46" t="str">
        <f t="shared" si="9"/>
        <v>PROFITABLE</v>
      </c>
    </row>
    <row r="61" spans="1:12" ht="15" customHeight="1" x14ac:dyDescent="0.2">
      <c r="A61" s="46">
        <v>58</v>
      </c>
      <c r="B61" s="46" t="s">
        <v>127</v>
      </c>
      <c r="C61" s="49">
        <f>IFERROR(VLOOKUP(B61,'③ Billing Input'!B$4:F$103,4,FALSE()),0)</f>
        <v>400</v>
      </c>
      <c r="D61" s="49">
        <f>C61*Settings!B8</f>
        <v>34000</v>
      </c>
      <c r="E61" s="49">
        <f>SUMPRODUCT(('⑤ Emp-Client Hours'!$C$4:$C$412=B61)*('⑤ Emp-Client Hours'!$F$4:$F$412="NO")*'⑤ Emp-Client Hours'!$D$4:$D$412*'⑤ Emp-Client Hours'!$G$4:$G$412)</f>
        <v>2625</v>
      </c>
      <c r="F61" s="46">
        <f>COUNTIFS('⑤ Emp-Client Hours'!$C$4:$C$412,B61,'⑤ Emp-Client Hours'!$F$4:$F$412,"NO")</f>
        <v>3</v>
      </c>
      <c r="G61" s="119">
        <f>SUMIFS('⑤ Emp-Client Hours'!$D$4:$D$412,'⑤ Emp-Client Hours'!$C$4:$C$412,B61,'⑤ Emp-Client Hours'!$F$4:$F$412,"NO")</f>
        <v>5</v>
      </c>
      <c r="H61" s="49">
        <f t="shared" si="5"/>
        <v>31375</v>
      </c>
      <c r="I61" s="48">
        <f t="shared" si="6"/>
        <v>0.92279411764705888</v>
      </c>
      <c r="J61" s="49">
        <f t="shared" si="7"/>
        <v>6800</v>
      </c>
      <c r="K61" s="49">
        <f t="shared" si="8"/>
        <v>525</v>
      </c>
      <c r="L61" s="46" t="str">
        <f t="shared" si="9"/>
        <v>PROFITABLE</v>
      </c>
    </row>
    <row r="62" spans="1:12" ht="15" customHeight="1" x14ac:dyDescent="0.2">
      <c r="A62" s="46">
        <v>59</v>
      </c>
      <c r="B62" s="46" t="s">
        <v>97</v>
      </c>
      <c r="C62" s="49">
        <f>IFERROR(VLOOKUP(B62,'③ Billing Input'!B$4:F$103,4,FALSE()),0)</f>
        <v>350</v>
      </c>
      <c r="D62" s="49">
        <f>C62*Settings!B8</f>
        <v>29750</v>
      </c>
      <c r="E62" s="49">
        <f>SUMPRODUCT(('⑤ Emp-Client Hours'!$C$4:$C$412=B62)*('⑤ Emp-Client Hours'!$F$4:$F$412="NO")*'⑤ Emp-Client Hours'!$D$4:$D$412*'⑤ Emp-Client Hours'!$G$4:$G$412)</f>
        <v>0</v>
      </c>
      <c r="F62" s="46">
        <f>COUNTIFS('⑤ Emp-Client Hours'!$C$4:$C$412,B62,'⑤ Emp-Client Hours'!$F$4:$F$412,"NO")</f>
        <v>3</v>
      </c>
      <c r="G62" s="119">
        <f>SUMIFS('⑤ Emp-Client Hours'!$D$4:$D$412,'⑤ Emp-Client Hours'!$C$4:$C$412,B62,'⑤ Emp-Client Hours'!$F$4:$F$412,"NO")</f>
        <v>0</v>
      </c>
      <c r="H62" s="49">
        <f t="shared" si="5"/>
        <v>29750</v>
      </c>
      <c r="I62" s="48">
        <f t="shared" si="6"/>
        <v>1</v>
      </c>
      <c r="J62" s="49">
        <f t="shared" si="7"/>
        <v>0</v>
      </c>
      <c r="K62" s="49">
        <f t="shared" si="8"/>
        <v>0</v>
      </c>
      <c r="L62" s="46" t="str">
        <f t="shared" si="9"/>
        <v>PROFITABLE</v>
      </c>
    </row>
    <row r="63" spans="1:12" ht="15" customHeight="1" x14ac:dyDescent="0.2">
      <c r="A63" s="46">
        <v>60</v>
      </c>
      <c r="B63" s="46" t="s">
        <v>123</v>
      </c>
      <c r="C63" s="49">
        <f>IFERROR(VLOOKUP(B63,'③ Billing Input'!B$4:F$103,4,FALSE()),0)</f>
        <v>250</v>
      </c>
      <c r="D63" s="49">
        <f>C63*Settings!B8</f>
        <v>21250</v>
      </c>
      <c r="E63" s="49">
        <f>SUMPRODUCT(('⑤ Emp-Client Hours'!$C$4:$C$412=B63)*('⑤ Emp-Client Hours'!$F$4:$F$412="NO")*'⑤ Emp-Client Hours'!$D$4:$D$412*'⑤ Emp-Client Hours'!$G$4:$G$412)</f>
        <v>0</v>
      </c>
      <c r="F63" s="46">
        <f>COUNTIFS('⑤ Emp-Client Hours'!$C$4:$C$412,B63,'⑤ Emp-Client Hours'!$F$4:$F$412,"NO")</f>
        <v>8</v>
      </c>
      <c r="G63" s="119">
        <f>SUMIFS('⑤ Emp-Client Hours'!$D$4:$D$412,'⑤ Emp-Client Hours'!$C$4:$C$412,B63,'⑤ Emp-Client Hours'!$F$4:$F$412,"NO")</f>
        <v>0</v>
      </c>
      <c r="H63" s="49">
        <f t="shared" si="5"/>
        <v>21250</v>
      </c>
      <c r="I63" s="48">
        <f t="shared" si="6"/>
        <v>1</v>
      </c>
      <c r="J63" s="49">
        <f t="shared" si="7"/>
        <v>0</v>
      </c>
      <c r="K63" s="49">
        <f t="shared" si="8"/>
        <v>0</v>
      </c>
      <c r="L63" s="46" t="str">
        <f t="shared" si="9"/>
        <v>PROFITABLE</v>
      </c>
    </row>
    <row r="64" spans="1:12" ht="15" customHeight="1" x14ac:dyDescent="0.2">
      <c r="A64" s="46">
        <v>61</v>
      </c>
      <c r="B64" s="46" t="s">
        <v>109</v>
      </c>
      <c r="C64" s="49">
        <f>IFERROR(VLOOKUP(B64,'③ Billing Input'!B$4:F$103,4,FALSE()),0)</f>
        <v>0</v>
      </c>
      <c r="D64" s="49">
        <f>C64*Settings!B8</f>
        <v>0</v>
      </c>
      <c r="E64" s="49">
        <f>SUMPRODUCT(('⑤ Emp-Client Hours'!$C$4:$C$412=B64)*('⑤ Emp-Client Hours'!$F$4:$F$412="NO")*'⑤ Emp-Client Hours'!$D$4:$D$412*'⑤ Emp-Client Hours'!$G$4:$G$412)</f>
        <v>0</v>
      </c>
      <c r="F64" s="46">
        <f>COUNTIFS('⑤ Emp-Client Hours'!$C$4:$C$412,B64,'⑤ Emp-Client Hours'!$F$4:$F$412,"NO")</f>
        <v>4</v>
      </c>
      <c r="G64" s="119">
        <f>SUMIFS('⑤ Emp-Client Hours'!$D$4:$D$412,'⑤ Emp-Client Hours'!$C$4:$C$412,B64,'⑤ Emp-Client Hours'!$F$4:$F$412,"NO")</f>
        <v>0</v>
      </c>
      <c r="H64" s="49">
        <f t="shared" si="5"/>
        <v>0</v>
      </c>
      <c r="I64" s="48">
        <f t="shared" si="6"/>
        <v>0</v>
      </c>
      <c r="J64" s="49">
        <f t="shared" si="7"/>
        <v>0</v>
      </c>
      <c r="K64" s="49">
        <f t="shared" si="8"/>
        <v>0</v>
      </c>
      <c r="L64" s="46" t="str">
        <f t="shared" si="9"/>
        <v>INACTIVE</v>
      </c>
    </row>
    <row r="65" spans="1:12" ht="15" customHeight="1" x14ac:dyDescent="0.2">
      <c r="A65" s="46">
        <v>62</v>
      </c>
      <c r="B65" s="46" t="s">
        <v>79</v>
      </c>
      <c r="C65" s="49">
        <f>IFERROR(VLOOKUP(B65,'③ Billing Input'!B$4:F$103,4,FALSE()),0)</f>
        <v>0</v>
      </c>
      <c r="D65" s="49">
        <f>C65*Settings!B8</f>
        <v>0</v>
      </c>
      <c r="E65" s="49">
        <f>SUMPRODUCT(('⑤ Emp-Client Hours'!$C$4:$C$412=B65)*('⑤ Emp-Client Hours'!$F$4:$F$412="NO")*'⑤ Emp-Client Hours'!$D$4:$D$412*'⑤ Emp-Client Hours'!$G$4:$G$412)</f>
        <v>0</v>
      </c>
      <c r="F65" s="46">
        <f>COUNTIFS('⑤ Emp-Client Hours'!$C$4:$C$412,B65,'⑤ Emp-Client Hours'!$F$4:$F$412,"NO")</f>
        <v>3</v>
      </c>
      <c r="G65" s="119">
        <f>SUMIFS('⑤ Emp-Client Hours'!$D$4:$D$412,'⑤ Emp-Client Hours'!$C$4:$C$412,B65,'⑤ Emp-Client Hours'!$F$4:$F$412,"NO")</f>
        <v>0</v>
      </c>
      <c r="H65" s="49">
        <f t="shared" si="5"/>
        <v>0</v>
      </c>
      <c r="I65" s="48">
        <f t="shared" si="6"/>
        <v>0</v>
      </c>
      <c r="J65" s="49">
        <f t="shared" si="7"/>
        <v>0</v>
      </c>
      <c r="K65" s="49">
        <f t="shared" si="8"/>
        <v>0</v>
      </c>
      <c r="L65" s="46" t="str">
        <f t="shared" si="9"/>
        <v>INACTIVE</v>
      </c>
    </row>
    <row r="66" spans="1:12" ht="15" customHeight="1" x14ac:dyDescent="0.2">
      <c r="A66" s="46">
        <v>63</v>
      </c>
      <c r="B66" s="46" t="s">
        <v>82</v>
      </c>
      <c r="C66" s="49">
        <f>IFERROR(VLOOKUP(B66,'③ Billing Input'!B$4:F$103,4,FALSE()),0)</f>
        <v>0</v>
      </c>
      <c r="D66" s="49">
        <f>C66*Settings!B8</f>
        <v>0</v>
      </c>
      <c r="E66" s="49">
        <f>SUMPRODUCT(('⑤ Emp-Client Hours'!$C$4:$C$412=B66)*('⑤ Emp-Client Hours'!$F$4:$F$412="NO")*'⑤ Emp-Client Hours'!$D$4:$D$412*'⑤ Emp-Client Hours'!$G$4:$G$412)</f>
        <v>0</v>
      </c>
      <c r="F66" s="46">
        <f>COUNTIFS('⑤ Emp-Client Hours'!$C$4:$C$412,B66,'⑤ Emp-Client Hours'!$F$4:$F$412,"NO")</f>
        <v>3</v>
      </c>
      <c r="G66" s="119">
        <f>SUMIFS('⑤ Emp-Client Hours'!$D$4:$D$412,'⑤ Emp-Client Hours'!$C$4:$C$412,B66,'⑤ Emp-Client Hours'!$F$4:$F$412,"NO")</f>
        <v>0</v>
      </c>
      <c r="H66" s="49">
        <f t="shared" si="5"/>
        <v>0</v>
      </c>
      <c r="I66" s="48">
        <f t="shared" si="6"/>
        <v>0</v>
      </c>
      <c r="J66" s="49">
        <f t="shared" si="7"/>
        <v>0</v>
      </c>
      <c r="K66" s="49">
        <f t="shared" si="8"/>
        <v>0</v>
      </c>
      <c r="L66" s="46" t="str">
        <f t="shared" si="9"/>
        <v>INACTIVE</v>
      </c>
    </row>
    <row r="67" spans="1:12" ht="15" customHeight="1" x14ac:dyDescent="0.2">
      <c r="A67" s="46">
        <v>64</v>
      </c>
      <c r="B67" s="46" t="s">
        <v>84</v>
      </c>
      <c r="C67" s="49">
        <f>IFERROR(VLOOKUP(B67,'③ Billing Input'!B$4:F$103,4,FALSE()),0)</f>
        <v>0</v>
      </c>
      <c r="D67" s="49">
        <f>C67*Settings!B8</f>
        <v>0</v>
      </c>
      <c r="E67" s="49">
        <f>SUMPRODUCT(('⑤ Emp-Client Hours'!$C$4:$C$412=B67)*('⑤ Emp-Client Hours'!$F$4:$F$412="NO")*'⑤ Emp-Client Hours'!$D$4:$D$412*'⑤ Emp-Client Hours'!$G$4:$G$412)</f>
        <v>0</v>
      </c>
      <c r="F67" s="46">
        <f>COUNTIFS('⑤ Emp-Client Hours'!$C$4:$C$412,B67,'⑤ Emp-Client Hours'!$F$4:$F$412,"NO")</f>
        <v>3</v>
      </c>
      <c r="G67" s="119">
        <f>SUMIFS('⑤ Emp-Client Hours'!$D$4:$D$412,'⑤ Emp-Client Hours'!$C$4:$C$412,B67,'⑤ Emp-Client Hours'!$F$4:$F$412,"NO")</f>
        <v>0</v>
      </c>
      <c r="H67" s="49">
        <f t="shared" si="5"/>
        <v>0</v>
      </c>
      <c r="I67" s="48">
        <f t="shared" si="6"/>
        <v>0</v>
      </c>
      <c r="J67" s="49">
        <f t="shared" si="7"/>
        <v>0</v>
      </c>
      <c r="K67" s="49">
        <f t="shared" si="8"/>
        <v>0</v>
      </c>
      <c r="L67" s="46" t="str">
        <f t="shared" si="9"/>
        <v>INACTIVE</v>
      </c>
    </row>
    <row r="68" spans="1:12" ht="15" customHeight="1" x14ac:dyDescent="0.2">
      <c r="A68" s="46">
        <v>65</v>
      </c>
      <c r="B68" s="46" t="s">
        <v>87</v>
      </c>
      <c r="C68" s="49">
        <f>IFERROR(VLOOKUP(B68,'③ Billing Input'!B$4:F$103,4,FALSE()),0)</f>
        <v>0</v>
      </c>
      <c r="D68" s="49">
        <f>C68*Settings!B8</f>
        <v>0</v>
      </c>
      <c r="E68" s="49">
        <f>SUMPRODUCT(('⑤ Emp-Client Hours'!$C$4:$C$412=B68)*('⑤ Emp-Client Hours'!$F$4:$F$412="NO")*'⑤ Emp-Client Hours'!$D$4:$D$412*'⑤ Emp-Client Hours'!$G$4:$G$412)</f>
        <v>5514.375</v>
      </c>
      <c r="F68" s="46">
        <f>COUNTIFS('⑤ Emp-Client Hours'!$C$4:$C$412,B68,'⑤ Emp-Client Hours'!$F$4:$F$412,"NO")</f>
        <v>10</v>
      </c>
      <c r="G68" s="119">
        <f>SUMIFS('⑤ Emp-Client Hours'!$D$4:$D$412,'⑤ Emp-Client Hours'!$C$4:$C$412,B68,'⑤ Emp-Client Hours'!$F$4:$F$412,"NO")</f>
        <v>25.5</v>
      </c>
      <c r="H68" s="49">
        <f t="shared" ref="H68:H84" si="10">D68-E68</f>
        <v>-5514.375</v>
      </c>
      <c r="I68" s="48">
        <f t="shared" ref="I68:I84" si="11">IF(D68=0,IF(E68&gt;0,-1,0),H68/D68)</f>
        <v>-1</v>
      </c>
      <c r="J68" s="49">
        <f t="shared" ref="J68:J84" si="12">IF(G68=0,0,D68/G68)</f>
        <v>0</v>
      </c>
      <c r="K68" s="49">
        <f t="shared" ref="K68:K84" si="13">IF(G68=0,0,E68/G68)</f>
        <v>216.25</v>
      </c>
      <c r="L68" s="46" t="str">
        <f t="shared" ref="L68:L84" si="14">IF(AND(D68=0,E68&gt;0),"NO BILLING",IF(AND(D68=0,E68=0),"INACTIVE",IF(I68&gt;=0.3,"PROFITABLE",IF(I68&gt;=0.1,"MODERATE",IF(I68&gt;=0,"BREAK-EVEN","LOSS-MAKING")))))</f>
        <v>NO BILLING</v>
      </c>
    </row>
    <row r="69" spans="1:12" ht="15" customHeight="1" x14ac:dyDescent="0.2">
      <c r="A69" s="46">
        <v>66</v>
      </c>
      <c r="B69" s="46" t="s">
        <v>91</v>
      </c>
      <c r="C69" s="49">
        <f>IFERROR(VLOOKUP(B69,'③ Billing Input'!B$4:F$103,4,FALSE()),0)</f>
        <v>0</v>
      </c>
      <c r="D69" s="49">
        <f>C69*Settings!B8</f>
        <v>0</v>
      </c>
      <c r="E69" s="49">
        <f>SUMPRODUCT(('⑤ Emp-Client Hours'!$C$4:$C$412=B69)*('⑤ Emp-Client Hours'!$F$4:$F$412="NO")*'⑤ Emp-Client Hours'!$D$4:$D$412*'⑤ Emp-Client Hours'!$G$4:$G$412)</f>
        <v>0</v>
      </c>
      <c r="F69" s="46">
        <f>COUNTIFS('⑤ Emp-Client Hours'!$C$4:$C$412,B69,'⑤ Emp-Client Hours'!$F$4:$F$412,"NO")</f>
        <v>4</v>
      </c>
      <c r="G69" s="119">
        <f>SUMIFS('⑤ Emp-Client Hours'!$D$4:$D$412,'⑤ Emp-Client Hours'!$C$4:$C$412,B69,'⑤ Emp-Client Hours'!$F$4:$F$412,"NO")</f>
        <v>0</v>
      </c>
      <c r="H69" s="49">
        <f t="shared" si="10"/>
        <v>0</v>
      </c>
      <c r="I69" s="48">
        <f t="shared" si="11"/>
        <v>0</v>
      </c>
      <c r="J69" s="49">
        <f t="shared" si="12"/>
        <v>0</v>
      </c>
      <c r="K69" s="49">
        <f t="shared" si="13"/>
        <v>0</v>
      </c>
      <c r="L69" s="46" t="str">
        <f t="shared" si="14"/>
        <v>INACTIVE</v>
      </c>
    </row>
    <row r="70" spans="1:12" ht="15" customHeight="1" x14ac:dyDescent="0.2">
      <c r="A70" s="46">
        <v>67</v>
      </c>
      <c r="B70" s="46" t="s">
        <v>92</v>
      </c>
      <c r="C70" s="49">
        <f>IFERROR(VLOOKUP(B70,'③ Billing Input'!B$4:F$103,4,FALSE()),0)</f>
        <v>0</v>
      </c>
      <c r="D70" s="49">
        <f>C70*Settings!B8</f>
        <v>0</v>
      </c>
      <c r="E70" s="49">
        <f>SUMPRODUCT(('⑤ Emp-Client Hours'!$C$4:$C$412=B70)*('⑤ Emp-Client Hours'!$F$4:$F$412="NO")*'⑤ Emp-Client Hours'!$D$4:$D$412*'⑤ Emp-Client Hours'!$G$4:$G$412)</f>
        <v>0</v>
      </c>
      <c r="F70" s="46">
        <f>COUNTIFS('⑤ Emp-Client Hours'!$C$4:$C$412,B70,'⑤ Emp-Client Hours'!$F$4:$F$412,"NO")</f>
        <v>0</v>
      </c>
      <c r="G70" s="119">
        <f>SUMIFS('⑤ Emp-Client Hours'!$D$4:$D$412,'⑤ Emp-Client Hours'!$C$4:$C$412,B70,'⑤ Emp-Client Hours'!$F$4:$F$412,"NO")</f>
        <v>0</v>
      </c>
      <c r="H70" s="49">
        <f t="shared" si="10"/>
        <v>0</v>
      </c>
      <c r="I70" s="48">
        <f t="shared" si="11"/>
        <v>0</v>
      </c>
      <c r="J70" s="49">
        <f t="shared" si="12"/>
        <v>0</v>
      </c>
      <c r="K70" s="49">
        <f t="shared" si="13"/>
        <v>0</v>
      </c>
      <c r="L70" s="46" t="str">
        <f t="shared" si="14"/>
        <v>INACTIVE</v>
      </c>
    </row>
    <row r="71" spans="1:12" ht="15" customHeight="1" x14ac:dyDescent="0.2">
      <c r="A71" s="46">
        <v>68</v>
      </c>
      <c r="B71" s="46" t="s">
        <v>1022</v>
      </c>
      <c r="C71" s="49">
        <f>IFERROR(VLOOKUP(B71,'③ Billing Input'!B$4:F$103,4,FALSE()),0)</f>
        <v>0</v>
      </c>
      <c r="D71" s="49">
        <f>C71*Settings!B8</f>
        <v>0</v>
      </c>
      <c r="E71" s="49">
        <f>SUMPRODUCT(('⑤ Emp-Client Hours'!$C$4:$C$412=B71)*('⑤ Emp-Client Hours'!$F$4:$F$412="NO")*'⑤ Emp-Client Hours'!$D$4:$D$412*'⑤ Emp-Client Hours'!$G$4:$G$412)</f>
        <v>0</v>
      </c>
      <c r="F71" s="46">
        <f>COUNTIFS('⑤ Emp-Client Hours'!$C$4:$C$412,B71,'⑤ Emp-Client Hours'!$F$4:$F$412,"NO")</f>
        <v>0</v>
      </c>
      <c r="G71" s="119">
        <f>SUMIFS('⑤ Emp-Client Hours'!$D$4:$D$412,'⑤ Emp-Client Hours'!$C$4:$C$412,B71,'⑤ Emp-Client Hours'!$F$4:$F$412,"NO")</f>
        <v>0</v>
      </c>
      <c r="H71" s="49">
        <f t="shared" si="10"/>
        <v>0</v>
      </c>
      <c r="I71" s="48">
        <f t="shared" si="11"/>
        <v>0</v>
      </c>
      <c r="J71" s="49">
        <f t="shared" si="12"/>
        <v>0</v>
      </c>
      <c r="K71" s="49">
        <f t="shared" si="13"/>
        <v>0</v>
      </c>
      <c r="L71" s="46" t="str">
        <f t="shared" si="14"/>
        <v>INACTIVE</v>
      </c>
    </row>
    <row r="72" spans="1:12" ht="15" customHeight="1" x14ac:dyDescent="0.2">
      <c r="A72" s="46">
        <v>69</v>
      </c>
      <c r="B72" s="46" t="s">
        <v>104</v>
      </c>
      <c r="C72" s="49">
        <f>IFERROR(VLOOKUP(B72,'③ Billing Input'!B$4:F$103,4,FALSE()),0)</f>
        <v>0</v>
      </c>
      <c r="D72" s="49">
        <f>C72*Settings!B8</f>
        <v>0</v>
      </c>
      <c r="E72" s="49">
        <f>SUMPRODUCT(('⑤ Emp-Client Hours'!$C$4:$C$412=B72)*('⑤ Emp-Client Hours'!$F$4:$F$412="NO")*'⑤ Emp-Client Hours'!$D$4:$D$412*'⑤ Emp-Client Hours'!$G$4:$G$412)</f>
        <v>32280</v>
      </c>
      <c r="F72" s="46">
        <f>COUNTIFS('⑤ Emp-Client Hours'!$C$4:$C$412,B72,'⑤ Emp-Client Hours'!$F$4:$F$412,"NO")</f>
        <v>3</v>
      </c>
      <c r="G72" s="119">
        <f>SUMIFS('⑤ Emp-Client Hours'!$D$4:$D$412,'⑤ Emp-Client Hours'!$C$4:$C$412,B72,'⑤ Emp-Client Hours'!$F$4:$F$412,"NO")</f>
        <v>86.08</v>
      </c>
      <c r="H72" s="49">
        <f t="shared" si="10"/>
        <v>-32280</v>
      </c>
      <c r="I72" s="48">
        <f t="shared" si="11"/>
        <v>-1</v>
      </c>
      <c r="J72" s="49">
        <f t="shared" si="12"/>
        <v>0</v>
      </c>
      <c r="K72" s="49">
        <f t="shared" si="13"/>
        <v>375</v>
      </c>
      <c r="L72" s="46" t="str">
        <f t="shared" si="14"/>
        <v>NO BILLING</v>
      </c>
    </row>
    <row r="73" spans="1:12" ht="15" customHeight="1" x14ac:dyDescent="0.2">
      <c r="A73" s="46">
        <v>70</v>
      </c>
      <c r="B73" s="46" t="s">
        <v>1023</v>
      </c>
      <c r="C73" s="49">
        <f>IFERROR(VLOOKUP(B73,'③ Billing Input'!B$4:F$103,4,FALSE()),0)</f>
        <v>0</v>
      </c>
      <c r="D73" s="49">
        <f>C73*Settings!B8</f>
        <v>0</v>
      </c>
      <c r="E73" s="49">
        <f>SUMPRODUCT(('⑤ Emp-Client Hours'!$C$4:$C$412=B73)*('⑤ Emp-Client Hours'!$F$4:$F$412="NO")*'⑤ Emp-Client Hours'!$D$4:$D$412*'⑤ Emp-Client Hours'!$G$4:$G$412)</f>
        <v>0</v>
      </c>
      <c r="F73" s="46">
        <f>COUNTIFS('⑤ Emp-Client Hours'!$C$4:$C$412,B73,'⑤ Emp-Client Hours'!$F$4:$F$412,"NO")</f>
        <v>0</v>
      </c>
      <c r="G73" s="119">
        <f>SUMIFS('⑤ Emp-Client Hours'!$D$4:$D$412,'⑤ Emp-Client Hours'!$C$4:$C$412,B73,'⑤ Emp-Client Hours'!$F$4:$F$412,"NO")</f>
        <v>0</v>
      </c>
      <c r="H73" s="49">
        <f t="shared" si="10"/>
        <v>0</v>
      </c>
      <c r="I73" s="48">
        <f t="shared" si="11"/>
        <v>0</v>
      </c>
      <c r="J73" s="49">
        <f t="shared" si="12"/>
        <v>0</v>
      </c>
      <c r="K73" s="49">
        <f t="shared" si="13"/>
        <v>0</v>
      </c>
      <c r="L73" s="46" t="str">
        <f t="shared" si="14"/>
        <v>INACTIVE</v>
      </c>
    </row>
    <row r="74" spans="1:12" ht="15" customHeight="1" x14ac:dyDescent="0.2">
      <c r="A74" s="46">
        <v>71</v>
      </c>
      <c r="B74" s="46" t="s">
        <v>803</v>
      </c>
      <c r="C74" s="49">
        <f>IFERROR(VLOOKUP(B74,'③ Billing Input'!B$4:F$103,4,FALSE()),0)</f>
        <v>0</v>
      </c>
      <c r="D74" s="49">
        <f>C74*Settings!B8</f>
        <v>0</v>
      </c>
      <c r="E74" s="49">
        <f>SUMPRODUCT(('⑤ Emp-Client Hours'!$C$4:$C$412=B74)*('⑤ Emp-Client Hours'!$F$4:$F$412="NO")*'⑤ Emp-Client Hours'!$D$4:$D$412*'⑤ Emp-Client Hours'!$G$4:$G$412)</f>
        <v>0</v>
      </c>
      <c r="F74" s="46">
        <f>COUNTIFS('⑤ Emp-Client Hours'!$C$4:$C$412,B74,'⑤ Emp-Client Hours'!$F$4:$F$412,"NO")</f>
        <v>0</v>
      </c>
      <c r="G74" s="119">
        <f>SUMIFS('⑤ Emp-Client Hours'!$D$4:$D$412,'⑤ Emp-Client Hours'!$C$4:$C$412,B74,'⑤ Emp-Client Hours'!$F$4:$F$412,"NO")</f>
        <v>0</v>
      </c>
      <c r="H74" s="49">
        <f t="shared" si="10"/>
        <v>0</v>
      </c>
      <c r="I74" s="48">
        <f t="shared" si="11"/>
        <v>0</v>
      </c>
      <c r="J74" s="49">
        <f t="shared" si="12"/>
        <v>0</v>
      </c>
      <c r="K74" s="49">
        <f t="shared" si="13"/>
        <v>0</v>
      </c>
      <c r="L74" s="46" t="str">
        <f t="shared" si="14"/>
        <v>INACTIVE</v>
      </c>
    </row>
    <row r="75" spans="1:12" ht="15" customHeight="1" x14ac:dyDescent="0.2">
      <c r="A75" s="46">
        <v>72</v>
      </c>
      <c r="B75" s="46" t="s">
        <v>1024</v>
      </c>
      <c r="C75" s="49">
        <f>IFERROR(VLOOKUP(B75,'③ Billing Input'!B$4:F$103,4,FALSE()),0)</f>
        <v>0</v>
      </c>
      <c r="D75" s="49">
        <f>C75*Settings!B8</f>
        <v>0</v>
      </c>
      <c r="E75" s="49">
        <f>SUMPRODUCT(('⑤ Emp-Client Hours'!$C$4:$C$412=B75)*('⑤ Emp-Client Hours'!$F$4:$F$412="NO")*'⑤ Emp-Client Hours'!$D$4:$D$412*'⑤ Emp-Client Hours'!$G$4:$G$412)</f>
        <v>0</v>
      </c>
      <c r="F75" s="46">
        <f>COUNTIFS('⑤ Emp-Client Hours'!$C$4:$C$412,B75,'⑤ Emp-Client Hours'!$F$4:$F$412,"NO")</f>
        <v>0</v>
      </c>
      <c r="G75" s="119">
        <f>SUMIFS('⑤ Emp-Client Hours'!$D$4:$D$412,'⑤ Emp-Client Hours'!$C$4:$C$412,B75,'⑤ Emp-Client Hours'!$F$4:$F$412,"NO")</f>
        <v>0</v>
      </c>
      <c r="H75" s="49">
        <f t="shared" si="10"/>
        <v>0</v>
      </c>
      <c r="I75" s="48">
        <f t="shared" si="11"/>
        <v>0</v>
      </c>
      <c r="J75" s="49">
        <f t="shared" si="12"/>
        <v>0</v>
      </c>
      <c r="K75" s="49">
        <f t="shared" si="13"/>
        <v>0</v>
      </c>
      <c r="L75" s="46" t="str">
        <f t="shared" si="14"/>
        <v>INACTIVE</v>
      </c>
    </row>
    <row r="76" spans="1:12" ht="15" customHeight="1" x14ac:dyDescent="0.2">
      <c r="A76" s="46">
        <v>73</v>
      </c>
      <c r="B76" s="46" t="s">
        <v>112</v>
      </c>
      <c r="C76" s="49">
        <f>IFERROR(VLOOKUP(B76,'③ Billing Input'!B$4:F$103,4,FALSE()),0)</f>
        <v>0</v>
      </c>
      <c r="D76" s="49">
        <f>C76*Settings!B8</f>
        <v>0</v>
      </c>
      <c r="E76" s="49">
        <f>SUMPRODUCT(('⑤ Emp-Client Hours'!$C$4:$C$412=B76)*('⑤ Emp-Client Hours'!$F$4:$F$412="NO")*'⑤ Emp-Client Hours'!$D$4:$D$412*'⑤ Emp-Client Hours'!$G$4:$G$412)</f>
        <v>0</v>
      </c>
      <c r="F76" s="46">
        <f>COUNTIFS('⑤ Emp-Client Hours'!$C$4:$C$412,B76,'⑤ Emp-Client Hours'!$F$4:$F$412,"NO")</f>
        <v>12</v>
      </c>
      <c r="G76" s="119">
        <f>SUMIFS('⑤ Emp-Client Hours'!$D$4:$D$412,'⑤ Emp-Client Hours'!$C$4:$C$412,B76,'⑤ Emp-Client Hours'!$F$4:$F$412,"NO")</f>
        <v>0</v>
      </c>
      <c r="H76" s="49">
        <f t="shared" si="10"/>
        <v>0</v>
      </c>
      <c r="I76" s="48">
        <f t="shared" si="11"/>
        <v>0</v>
      </c>
      <c r="J76" s="49">
        <f t="shared" si="12"/>
        <v>0</v>
      </c>
      <c r="K76" s="49">
        <f t="shared" si="13"/>
        <v>0</v>
      </c>
      <c r="L76" s="46" t="str">
        <f t="shared" si="14"/>
        <v>INACTIVE</v>
      </c>
    </row>
    <row r="77" spans="1:12" ht="15" customHeight="1" x14ac:dyDescent="0.2">
      <c r="A77" s="46">
        <v>74</v>
      </c>
      <c r="B77" s="46" t="s">
        <v>128</v>
      </c>
      <c r="C77" s="49">
        <f>IFERROR(VLOOKUP(B77,'③ Billing Input'!B$4:F$103,4,FALSE()),0)</f>
        <v>0</v>
      </c>
      <c r="D77" s="49">
        <f>C77*Settings!B8</f>
        <v>0</v>
      </c>
      <c r="E77" s="49">
        <f>SUMPRODUCT(('⑤ Emp-Client Hours'!$C$4:$C$412=B77)*('⑤ Emp-Client Hours'!$F$4:$F$412="NO")*'⑤ Emp-Client Hours'!$D$4:$D$412*'⑤ Emp-Client Hours'!$G$4:$G$412)</f>
        <v>0</v>
      </c>
      <c r="F77" s="46">
        <f>COUNTIFS('⑤ Emp-Client Hours'!$C$4:$C$412,B77,'⑤ Emp-Client Hours'!$F$4:$F$412,"NO")</f>
        <v>2</v>
      </c>
      <c r="G77" s="119">
        <f>SUMIFS('⑤ Emp-Client Hours'!$D$4:$D$412,'⑤ Emp-Client Hours'!$C$4:$C$412,B77,'⑤ Emp-Client Hours'!$F$4:$F$412,"NO")</f>
        <v>0</v>
      </c>
      <c r="H77" s="49">
        <f t="shared" si="10"/>
        <v>0</v>
      </c>
      <c r="I77" s="48">
        <f t="shared" si="11"/>
        <v>0</v>
      </c>
      <c r="J77" s="49">
        <f t="shared" si="12"/>
        <v>0</v>
      </c>
      <c r="K77" s="49">
        <f t="shared" si="13"/>
        <v>0</v>
      </c>
      <c r="L77" s="46" t="str">
        <f t="shared" si="14"/>
        <v>INACTIVE</v>
      </c>
    </row>
    <row r="78" spans="1:12" ht="15" customHeight="1" x14ac:dyDescent="0.2">
      <c r="A78" s="46">
        <v>75</v>
      </c>
      <c r="B78" s="46" t="s">
        <v>129</v>
      </c>
      <c r="C78" s="49">
        <f>IFERROR(VLOOKUP(B78,'③ Billing Input'!B$4:F$103,4,FALSE()),0)</f>
        <v>0</v>
      </c>
      <c r="D78" s="49">
        <f>C78*Settings!B8</f>
        <v>0</v>
      </c>
      <c r="E78" s="49">
        <f>SUMPRODUCT(('⑤ Emp-Client Hours'!$C$4:$C$412=B78)*('⑤ Emp-Client Hours'!$F$4:$F$412="NO")*'⑤ Emp-Client Hours'!$D$4:$D$412*'⑤ Emp-Client Hours'!$G$4:$G$412)</f>
        <v>0</v>
      </c>
      <c r="F78" s="46">
        <f>COUNTIFS('⑤ Emp-Client Hours'!$C$4:$C$412,B78,'⑤ Emp-Client Hours'!$F$4:$F$412,"NO")</f>
        <v>2</v>
      </c>
      <c r="G78" s="119">
        <f>SUMIFS('⑤ Emp-Client Hours'!$D$4:$D$412,'⑤ Emp-Client Hours'!$C$4:$C$412,B78,'⑤ Emp-Client Hours'!$F$4:$F$412,"NO")</f>
        <v>0</v>
      </c>
      <c r="H78" s="49">
        <f t="shared" si="10"/>
        <v>0</v>
      </c>
      <c r="I78" s="48">
        <f t="shared" si="11"/>
        <v>0</v>
      </c>
      <c r="J78" s="49">
        <f t="shared" si="12"/>
        <v>0</v>
      </c>
      <c r="K78" s="49">
        <f t="shared" si="13"/>
        <v>0</v>
      </c>
      <c r="L78" s="46" t="str">
        <f t="shared" si="14"/>
        <v>INACTIVE</v>
      </c>
    </row>
    <row r="79" spans="1:12" ht="15" customHeight="1" x14ac:dyDescent="0.2">
      <c r="A79" s="46">
        <v>76</v>
      </c>
      <c r="B79" s="46" t="s">
        <v>130</v>
      </c>
      <c r="C79" s="49">
        <f>IFERROR(VLOOKUP(B79,'③ Billing Input'!B$4:F$103,4,FALSE()),0)</f>
        <v>0</v>
      </c>
      <c r="D79" s="49">
        <f>C79*Settings!B8</f>
        <v>0</v>
      </c>
      <c r="E79" s="49">
        <f>SUMPRODUCT(('⑤ Emp-Client Hours'!$C$4:$C$412=B79)*('⑤ Emp-Client Hours'!$F$4:$F$412="NO")*'⑤ Emp-Client Hours'!$D$4:$D$412*'⑤ Emp-Client Hours'!$G$4:$G$412)</f>
        <v>0</v>
      </c>
      <c r="F79" s="46">
        <f>COUNTIFS('⑤ Emp-Client Hours'!$C$4:$C$412,B79,'⑤ Emp-Client Hours'!$F$4:$F$412,"NO")</f>
        <v>1</v>
      </c>
      <c r="G79" s="119">
        <f>SUMIFS('⑤ Emp-Client Hours'!$D$4:$D$412,'⑤ Emp-Client Hours'!$C$4:$C$412,B79,'⑤ Emp-Client Hours'!$F$4:$F$412,"NO")</f>
        <v>0</v>
      </c>
      <c r="H79" s="49">
        <f t="shared" si="10"/>
        <v>0</v>
      </c>
      <c r="I79" s="48">
        <f t="shared" si="11"/>
        <v>0</v>
      </c>
      <c r="J79" s="49">
        <f t="shared" si="12"/>
        <v>0</v>
      </c>
      <c r="K79" s="49">
        <f t="shared" si="13"/>
        <v>0</v>
      </c>
      <c r="L79" s="46" t="str">
        <f t="shared" si="14"/>
        <v>INACTIVE</v>
      </c>
    </row>
    <row r="80" spans="1:12" ht="15" customHeight="1" x14ac:dyDescent="0.2">
      <c r="A80" s="46">
        <v>77</v>
      </c>
      <c r="B80" s="46" t="s">
        <v>134</v>
      </c>
      <c r="C80" s="49">
        <f>IFERROR(VLOOKUP(B80,'③ Billing Input'!B$4:F$103,4,FALSE()),0)</f>
        <v>0</v>
      </c>
      <c r="D80" s="49">
        <f>C80*Settings!B8</f>
        <v>0</v>
      </c>
      <c r="E80" s="49">
        <f>SUMPRODUCT(('⑤ Emp-Client Hours'!$C$4:$C$412=B80)*('⑤ Emp-Client Hours'!$F$4:$F$412="NO")*'⑤ Emp-Client Hours'!$D$4:$D$412*'⑤ Emp-Client Hours'!$G$4:$G$412)</f>
        <v>0</v>
      </c>
      <c r="F80" s="46">
        <f>COUNTIFS('⑤ Emp-Client Hours'!$C$4:$C$412,B80,'⑤ Emp-Client Hours'!$F$4:$F$412,"NO")</f>
        <v>2</v>
      </c>
      <c r="G80" s="119">
        <f>SUMIFS('⑤ Emp-Client Hours'!$D$4:$D$412,'⑤ Emp-Client Hours'!$C$4:$C$412,B80,'⑤ Emp-Client Hours'!$F$4:$F$412,"NO")</f>
        <v>0</v>
      </c>
      <c r="H80" s="49">
        <f t="shared" si="10"/>
        <v>0</v>
      </c>
      <c r="I80" s="48">
        <f t="shared" si="11"/>
        <v>0</v>
      </c>
      <c r="J80" s="49">
        <f t="shared" si="12"/>
        <v>0</v>
      </c>
      <c r="K80" s="49">
        <f t="shared" si="13"/>
        <v>0</v>
      </c>
      <c r="L80" s="46" t="str">
        <f t="shared" si="14"/>
        <v>INACTIVE</v>
      </c>
    </row>
    <row r="81" spans="1:12" ht="15" customHeight="1" x14ac:dyDescent="0.2">
      <c r="A81" s="46">
        <v>78</v>
      </c>
      <c r="B81" s="46" t="s">
        <v>136</v>
      </c>
      <c r="C81" s="49">
        <f>IFERROR(VLOOKUP(B81,'③ Billing Input'!B$4:F$103,4,FALSE()),0)</f>
        <v>0</v>
      </c>
      <c r="D81" s="49">
        <f>C81*Settings!B8</f>
        <v>0</v>
      </c>
      <c r="E81" s="49">
        <f>SUMPRODUCT(('⑤ Emp-Client Hours'!$C$4:$C$412=B81)*('⑤ Emp-Client Hours'!$F$4:$F$412="NO")*'⑤ Emp-Client Hours'!$D$4:$D$412*'⑤ Emp-Client Hours'!$G$4:$G$412)</f>
        <v>0</v>
      </c>
      <c r="F81" s="46">
        <f>COUNTIFS('⑤ Emp-Client Hours'!$C$4:$C$412,B81,'⑤ Emp-Client Hours'!$F$4:$F$412,"NO")</f>
        <v>1</v>
      </c>
      <c r="G81" s="119">
        <f>SUMIFS('⑤ Emp-Client Hours'!$D$4:$D$412,'⑤ Emp-Client Hours'!$C$4:$C$412,B81,'⑤ Emp-Client Hours'!$F$4:$F$412,"NO")</f>
        <v>0</v>
      </c>
      <c r="H81" s="49">
        <f t="shared" si="10"/>
        <v>0</v>
      </c>
      <c r="I81" s="48">
        <f t="shared" si="11"/>
        <v>0</v>
      </c>
      <c r="J81" s="49">
        <f t="shared" si="12"/>
        <v>0</v>
      </c>
      <c r="K81" s="49">
        <f t="shared" si="13"/>
        <v>0</v>
      </c>
      <c r="L81" s="46" t="str">
        <f t="shared" si="14"/>
        <v>INACTIVE</v>
      </c>
    </row>
    <row r="82" spans="1:12" ht="15" customHeight="1" x14ac:dyDescent="0.2">
      <c r="A82" s="46">
        <v>79</v>
      </c>
      <c r="B82" s="46" t="s">
        <v>137</v>
      </c>
      <c r="C82" s="49">
        <f>IFERROR(VLOOKUP(B82,'③ Billing Input'!B$4:F$103,4,FALSE()),0)</f>
        <v>0</v>
      </c>
      <c r="D82" s="49">
        <f>C82*Settings!B8</f>
        <v>0</v>
      </c>
      <c r="E82" s="49">
        <f>SUMPRODUCT(('⑤ Emp-Client Hours'!$C$4:$C$412=B82)*('⑤ Emp-Client Hours'!$F$4:$F$412="NO")*'⑤ Emp-Client Hours'!$D$4:$D$412*'⑤ Emp-Client Hours'!$G$4:$G$412)</f>
        <v>0</v>
      </c>
      <c r="F82" s="46">
        <f>COUNTIFS('⑤ Emp-Client Hours'!$C$4:$C$412,B82,'⑤ Emp-Client Hours'!$F$4:$F$412,"NO")</f>
        <v>4</v>
      </c>
      <c r="G82" s="119">
        <f>SUMIFS('⑤ Emp-Client Hours'!$D$4:$D$412,'⑤ Emp-Client Hours'!$C$4:$C$412,B82,'⑤ Emp-Client Hours'!$F$4:$F$412,"NO")</f>
        <v>0</v>
      </c>
      <c r="H82" s="49">
        <f t="shared" si="10"/>
        <v>0</v>
      </c>
      <c r="I82" s="48">
        <f t="shared" si="11"/>
        <v>0</v>
      </c>
      <c r="J82" s="49">
        <f t="shared" si="12"/>
        <v>0</v>
      </c>
      <c r="K82" s="49">
        <f t="shared" si="13"/>
        <v>0</v>
      </c>
      <c r="L82" s="46" t="str">
        <f t="shared" si="14"/>
        <v>INACTIVE</v>
      </c>
    </row>
    <row r="83" spans="1:12" ht="15" customHeight="1" x14ac:dyDescent="0.2">
      <c r="A83" s="46">
        <v>80</v>
      </c>
      <c r="B83" s="46" t="s">
        <v>139</v>
      </c>
      <c r="C83" s="49">
        <f>IFERROR(VLOOKUP(B83,'③ Billing Input'!B$4:F$103,4,FALSE()),0)</f>
        <v>0</v>
      </c>
      <c r="D83" s="49">
        <f>C83*Settings!B8</f>
        <v>0</v>
      </c>
      <c r="E83" s="49">
        <f>SUMPRODUCT(('⑤ Emp-Client Hours'!$C$4:$C$412=B83)*('⑤ Emp-Client Hours'!$F$4:$F$412="NO")*'⑤ Emp-Client Hours'!$D$4:$D$412*'⑤ Emp-Client Hours'!$G$4:$G$412)</f>
        <v>0</v>
      </c>
      <c r="F83" s="46">
        <f>COUNTIFS('⑤ Emp-Client Hours'!$C$4:$C$412,B83,'⑤ Emp-Client Hours'!$F$4:$F$412,"NO")</f>
        <v>8</v>
      </c>
      <c r="G83" s="119">
        <f>SUMIFS('⑤ Emp-Client Hours'!$D$4:$D$412,'⑤ Emp-Client Hours'!$C$4:$C$412,B83,'⑤ Emp-Client Hours'!$F$4:$F$412,"NO")</f>
        <v>0</v>
      </c>
      <c r="H83" s="49">
        <f t="shared" si="10"/>
        <v>0</v>
      </c>
      <c r="I83" s="48">
        <f t="shared" si="11"/>
        <v>0</v>
      </c>
      <c r="J83" s="49">
        <f t="shared" si="12"/>
        <v>0</v>
      </c>
      <c r="K83" s="49">
        <f t="shared" si="13"/>
        <v>0</v>
      </c>
      <c r="L83" s="46" t="str">
        <f t="shared" si="14"/>
        <v>INACTIVE</v>
      </c>
    </row>
    <row r="84" spans="1:12" ht="15" customHeight="1" x14ac:dyDescent="0.2">
      <c r="A84" s="46">
        <v>81</v>
      </c>
      <c r="B84" s="46" t="s">
        <v>107</v>
      </c>
      <c r="C84" s="49">
        <f>IFERROR(VLOOKUP(B84,'③ Billing Input'!B$4:F$103,4,FALSE()),0)</f>
        <v>0</v>
      </c>
      <c r="D84" s="49">
        <f>C84*Settings!B8</f>
        <v>0</v>
      </c>
      <c r="E84" s="49">
        <f>SUMPRODUCT(('⑤ Emp-Client Hours'!$C$4:$C$412=B84)*('⑤ Emp-Client Hours'!$F$4:$F$412="NO")*'⑤ Emp-Client Hours'!$D$4:$D$412*'⑤ Emp-Client Hours'!$G$4:$G$412)</f>
        <v>0</v>
      </c>
      <c r="F84" s="46">
        <f>COUNTIFS('⑤ Emp-Client Hours'!$C$4:$C$412,B84,'⑤ Emp-Client Hours'!$F$4:$F$412,"NO")</f>
        <v>4</v>
      </c>
      <c r="G84" s="119">
        <f>SUMIFS('⑤ Emp-Client Hours'!$D$4:$D$412,'⑤ Emp-Client Hours'!$C$4:$C$412,B84,'⑤ Emp-Client Hours'!$F$4:$F$412,"NO")</f>
        <v>0</v>
      </c>
      <c r="H84" s="49">
        <f t="shared" si="10"/>
        <v>0</v>
      </c>
      <c r="I84" s="48">
        <f t="shared" si="11"/>
        <v>0</v>
      </c>
      <c r="J84" s="49">
        <f t="shared" si="12"/>
        <v>0</v>
      </c>
      <c r="K84" s="49">
        <f t="shared" si="13"/>
        <v>0</v>
      </c>
      <c r="L84" s="46" t="str">
        <f t="shared" si="14"/>
        <v>INACTIVE</v>
      </c>
    </row>
    <row r="85" spans="1:12" ht="15" customHeight="1" x14ac:dyDescent="0.2">
      <c r="A85" s="31" t="s">
        <v>544</v>
      </c>
      <c r="B85" s="32"/>
      <c r="C85" s="33">
        <f t="shared" ref="C85:H85" si="15">SUM(C4:C84)</f>
        <v>134000</v>
      </c>
      <c r="D85" s="33">
        <f t="shared" si="15"/>
        <v>11390000</v>
      </c>
      <c r="E85" s="33">
        <f t="shared" si="15"/>
        <v>658378.35843749996</v>
      </c>
      <c r="F85" s="31">
        <f t="shared" si="15"/>
        <v>282</v>
      </c>
      <c r="G85" s="33">
        <f t="shared" si="15"/>
        <v>1820.25</v>
      </c>
      <c r="H85" s="33">
        <f t="shared" si="15"/>
        <v>10731621.641562501</v>
      </c>
      <c r="I85" s="42">
        <f>IF(D85=0,0,H85/D85)</f>
        <v>0.94219680786325732</v>
      </c>
      <c r="J85" s="32"/>
      <c r="K85" s="32"/>
      <c r="L85" s="32"/>
    </row>
    <row r="87" spans="1:12" ht="15" customHeight="1" x14ac:dyDescent="0.2">
      <c r="A87" s="153" t="s">
        <v>1025</v>
      </c>
      <c r="B87" s="153"/>
      <c r="C87" s="153"/>
      <c r="D87" s="153"/>
      <c r="E87" s="153"/>
      <c r="F87" s="153"/>
    </row>
    <row r="88" spans="1:12" ht="23.25" customHeight="1" x14ac:dyDescent="0.2">
      <c r="A88" s="12" t="s">
        <v>1026</v>
      </c>
      <c r="B88" s="12" t="s">
        <v>870</v>
      </c>
      <c r="C88" s="12" t="s">
        <v>1027</v>
      </c>
      <c r="D88" s="12" t="s">
        <v>1028</v>
      </c>
      <c r="E88" s="12">
        <f>SUMPRODUCT(('⑤ Emp-Client Hours'!$C$4:$C$412=B88)*('⑤ Emp-Client Hours'!$F$4:$F$412="NO")*'⑤ Emp-Client Hours'!$D$4:$D$412*'⑤ Emp-Client Hours'!$G$4:$G$412)</f>
        <v>0</v>
      </c>
      <c r="F88" s="12">
        <f>COUNTIFS('⑤ Emp-Client Hours'!$C$4:$C$412,B88,'⑤ Emp-Client Hours'!$F$4:$F$412,"NO")</f>
        <v>0</v>
      </c>
      <c r="G88">
        <f>SUMIFS('⑤ Emp-Client Hours'!$D$4:$D$412,'⑤ Emp-Client Hours'!$C$4:$C$412,B88,'⑤ Emp-Client Hours'!$F$4:$F$412,"NO")</f>
        <v>0</v>
      </c>
    </row>
    <row r="89" spans="1:12" ht="57" customHeight="1" x14ac:dyDescent="0.2">
      <c r="A89" s="112" t="s">
        <v>1029</v>
      </c>
      <c r="B89" s="27">
        <f>COUNTIF(L4:L84,"PROFITABLE")</f>
        <v>60</v>
      </c>
      <c r="C89" s="51">
        <f>SUMIF(L4:L84,"PROFITABLE",D4:D84)</f>
        <v>11390000</v>
      </c>
      <c r="D89" s="51">
        <f>SUMIF(L4:L84,"PROFITABLE",E4:E84)</f>
        <v>620583.98343749996</v>
      </c>
      <c r="E89" s="51">
        <f>SUMPRODUCT(('⑤ Emp-Client Hours'!$C$4:$C$412=B89)*('⑤ Emp-Client Hours'!$F$4:$F$412="NO")*'⑤ Emp-Client Hours'!$D$4:$D$412*'⑤ Emp-Client Hours'!$G$4:$G$412)</f>
        <v>0</v>
      </c>
      <c r="F89" s="52">
        <f>COUNTIFS('⑤ Emp-Client Hours'!$C$4:$C$412,B89,'⑤ Emp-Client Hours'!$F$4:$F$412,"NO")</f>
        <v>0</v>
      </c>
      <c r="G89">
        <f>SUMIFS('⑤ Emp-Client Hours'!$D$4:$D$412,'⑤ Emp-Client Hours'!$C$4:$C$412,B89,'⑤ Emp-Client Hours'!$F$4:$F$412,"NO")</f>
        <v>0</v>
      </c>
    </row>
    <row r="90" spans="1:12" ht="45.75" customHeight="1" x14ac:dyDescent="0.2">
      <c r="A90" s="115" t="s">
        <v>1030</v>
      </c>
      <c r="B90" s="27">
        <f>COUNTIF(L4:L84,"MODERATE")</f>
        <v>0</v>
      </c>
      <c r="C90" s="51">
        <f>SUMIF(L4:L84,"MODERATE",D4:D84)</f>
        <v>0</v>
      </c>
      <c r="D90" s="51">
        <f>SUMIF(L4:L84,"MODERATE",E4:E84)</f>
        <v>0</v>
      </c>
      <c r="E90" s="51">
        <f>SUMPRODUCT(('⑤ Emp-Client Hours'!$C$4:$C$412=B90)*('⑤ Emp-Client Hours'!$F$4:$F$412="NO")*'⑤ Emp-Client Hours'!$D$4:$D$412*'⑤ Emp-Client Hours'!$G$4:$G$412)</f>
        <v>0</v>
      </c>
      <c r="F90" s="52">
        <f>COUNTIFS('⑤ Emp-Client Hours'!$C$4:$C$412,B90,'⑤ Emp-Client Hours'!$F$4:$F$412,"NO")</f>
        <v>0</v>
      </c>
      <c r="G90">
        <f>SUMIFS('⑤ Emp-Client Hours'!$D$4:$D$412,'⑤ Emp-Client Hours'!$C$4:$C$412,B90,'⑤ Emp-Client Hours'!$F$4:$F$412,"NO")</f>
        <v>0</v>
      </c>
    </row>
    <row r="91" spans="1:12" ht="57" customHeight="1" x14ac:dyDescent="0.2">
      <c r="A91" s="120" t="s">
        <v>1031</v>
      </c>
      <c r="B91" s="27">
        <f>COUNTIF(L4:L84,"BREAK-EVEN")</f>
        <v>0</v>
      </c>
      <c r="C91" s="51">
        <f>SUMIF(L4:L84,"BREAK-EVEN",D4:D84)</f>
        <v>0</v>
      </c>
      <c r="D91" s="51">
        <f>SUMIF(L4:L84,"BREAK-EVEN",E4:E84)</f>
        <v>0</v>
      </c>
      <c r="E91" s="51">
        <f>SUMPRODUCT(('⑤ Emp-Client Hours'!$C$4:$C$412=B91)*('⑤ Emp-Client Hours'!$F$4:$F$412="NO")*'⑤ Emp-Client Hours'!$D$4:$D$412*'⑤ Emp-Client Hours'!$G$4:$G$412)</f>
        <v>0</v>
      </c>
      <c r="F91" s="52">
        <f>COUNTIFS('⑤ Emp-Client Hours'!$C$4:$C$412,B91,'⑤ Emp-Client Hours'!$F$4:$F$412,"NO")</f>
        <v>0</v>
      </c>
      <c r="G91">
        <f>SUMIFS('⑤ Emp-Client Hours'!$D$4:$D$412,'⑤ Emp-Client Hours'!$C$4:$C$412,B91,'⑤ Emp-Client Hours'!$F$4:$F$412,"NO")</f>
        <v>0</v>
      </c>
    </row>
    <row r="92" spans="1:12" ht="45.75" customHeight="1" x14ac:dyDescent="0.2">
      <c r="A92" s="116" t="s">
        <v>1032</v>
      </c>
      <c r="B92" s="27">
        <f>COUNTIF(L4:L84,"LOSS-MAKING")</f>
        <v>0</v>
      </c>
      <c r="C92" s="51">
        <f>SUMIF(L4:L84,"LOSS-MAKING",D4:D84)</f>
        <v>0</v>
      </c>
      <c r="D92" s="51">
        <f>SUMIF(L4:L84,"LOSS-MAKING",E4:E84)</f>
        <v>0</v>
      </c>
      <c r="E92" s="51">
        <f>SUMPRODUCT(('⑤ Emp-Client Hours'!$C$4:$C$412=B92)*('⑤ Emp-Client Hours'!$F$4:$F$412="NO")*'⑤ Emp-Client Hours'!$D$4:$D$412*'⑤ Emp-Client Hours'!$G$4:$G$412)</f>
        <v>0</v>
      </c>
      <c r="F92" s="52">
        <f>COUNTIFS('⑤ Emp-Client Hours'!$C$4:$C$412,B92,'⑤ Emp-Client Hours'!$F$4:$F$412,"NO")</f>
        <v>0</v>
      </c>
      <c r="G92">
        <f>SUMIFS('⑤ Emp-Client Hours'!$D$4:$D$412,'⑤ Emp-Client Hours'!$C$4:$C$412,B92,'⑤ Emp-Client Hours'!$F$4:$F$412,"NO")</f>
        <v>0</v>
      </c>
    </row>
    <row r="93" spans="1:12" ht="34.5" customHeight="1" x14ac:dyDescent="0.2">
      <c r="A93" s="116" t="s">
        <v>1033</v>
      </c>
      <c r="B93" s="27">
        <f>COUNTIF(L4:L84,"NO BILLING")</f>
        <v>2</v>
      </c>
      <c r="C93" s="51">
        <f>SUMIF(L4:L84,"NO BILLING",D4:D84)</f>
        <v>0</v>
      </c>
      <c r="D93" s="51">
        <f>SUMIF(L4:L84,"NO BILLING",E4:E84)</f>
        <v>37794.375</v>
      </c>
      <c r="E93" s="51">
        <f>SUMPRODUCT(('⑤ Emp-Client Hours'!$C$4:$C$412=B93)*('⑤ Emp-Client Hours'!$F$4:$F$412="NO")*'⑤ Emp-Client Hours'!$D$4:$D$412*'⑤ Emp-Client Hours'!$G$4:$G$412)</f>
        <v>0</v>
      </c>
      <c r="F93" s="52">
        <f>COUNTIFS('⑤ Emp-Client Hours'!$C$4:$C$412,B93,'⑤ Emp-Client Hours'!$F$4:$F$412,"NO")</f>
        <v>0</v>
      </c>
      <c r="G93">
        <f>SUMIFS('⑤ Emp-Client Hours'!$D$4:$D$412,'⑤ Emp-Client Hours'!$C$4:$C$412,B93,'⑤ Emp-Client Hours'!$F$4:$F$412,"NO")</f>
        <v>0</v>
      </c>
    </row>
  </sheetData>
  <mergeCells count="3">
    <mergeCell ref="A1:L1"/>
    <mergeCell ref="A2:L2"/>
    <mergeCell ref="A87:F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C27B0"/>
  </sheetPr>
  <dimension ref="A1:I39"/>
  <sheetViews>
    <sheetView zoomScaleNormal="100" workbookViewId="0"/>
  </sheetViews>
  <sheetFormatPr baseColWidth="10" defaultColWidth="8.6640625" defaultRowHeight="15" customHeight="1" x14ac:dyDescent="0.2"/>
  <cols>
    <col min="1" max="1" width="8" customWidth="1"/>
    <col min="2" max="2" width="20" customWidth="1"/>
    <col min="3" max="3" width="14" customWidth="1"/>
    <col min="4" max="4" width="12" customWidth="1"/>
    <col min="5" max="5" width="20" customWidth="1"/>
    <col min="6" max="6" width="14" customWidth="1"/>
    <col min="7" max="7" width="12" customWidth="1"/>
    <col min="8" max="8" width="40" customWidth="1"/>
  </cols>
  <sheetData>
    <row r="1" spans="1:9" ht="17.25" customHeight="1" x14ac:dyDescent="0.2">
      <c r="A1" s="143" t="s">
        <v>1034</v>
      </c>
      <c r="B1" s="143"/>
      <c r="C1" s="143"/>
      <c r="D1" s="143"/>
      <c r="E1" s="143"/>
      <c r="F1" s="143"/>
      <c r="G1" s="143"/>
      <c r="H1" s="143"/>
      <c r="I1" s="143"/>
    </row>
    <row r="2" spans="1:9" ht="15" customHeight="1" x14ac:dyDescent="0.2">
      <c r="A2" s="156" t="s">
        <v>1035</v>
      </c>
      <c r="B2" s="156"/>
      <c r="C2" s="156"/>
      <c r="D2" s="156"/>
      <c r="E2" s="156"/>
      <c r="F2" s="156"/>
      <c r="G2" s="156"/>
      <c r="H2" s="156"/>
      <c r="I2" s="156"/>
    </row>
    <row r="4" spans="1:9" ht="15" customHeight="1" x14ac:dyDescent="0.2">
      <c r="A4" s="1" t="s">
        <v>1036</v>
      </c>
    </row>
    <row r="5" spans="1:9" ht="34.5" customHeight="1" x14ac:dyDescent="0.2">
      <c r="A5" s="121" t="s">
        <v>69</v>
      </c>
      <c r="B5" s="121" t="s">
        <v>845</v>
      </c>
      <c r="C5" s="121" t="s">
        <v>70</v>
      </c>
      <c r="D5" s="121" t="s">
        <v>982</v>
      </c>
      <c r="E5" s="121" t="s">
        <v>1037</v>
      </c>
      <c r="F5" s="121" t="s">
        <v>1038</v>
      </c>
    </row>
    <row r="6" spans="1:9" ht="15" customHeight="1" x14ac:dyDescent="0.2">
      <c r="A6" s="122" t="s">
        <v>184</v>
      </c>
      <c r="B6" s="27">
        <f>COUNTIF('Employee Master'!F$4:F$203,"*HR*")</f>
        <v>8</v>
      </c>
      <c r="C6" s="50">
        <f>SUMIF('Employee Master'!F$4:F$203,"*HR*",'Employee Master'!I$4:I$203)</f>
        <v>583.42000000000007</v>
      </c>
      <c r="D6" s="51">
        <f>SUMIF('Employee Master'!F$4:F$203,"*HR*",'Employee Master'!M$4:M$203)</f>
        <v>373000</v>
      </c>
      <c r="E6" s="51">
        <f>IF(B6=0,0,D6/B6)</f>
        <v>46625</v>
      </c>
      <c r="F6" s="52">
        <f>IF('Utilization Dashboard'!D8=0,0,D6/'Utilization Dashboard'!D8)</f>
        <v>4.9210033833547391E-2</v>
      </c>
    </row>
    <row r="7" spans="1:9" ht="15" customHeight="1" x14ac:dyDescent="0.2">
      <c r="A7" s="122" t="s">
        <v>351</v>
      </c>
      <c r="B7" s="27">
        <f>COUNTIF('Employee Master'!F$4:F$203,"*IT*")</f>
        <v>4</v>
      </c>
      <c r="C7" s="50">
        <f>SUMIF('Employee Master'!F$4:F$203,"*IT*",'Employee Master'!I$4:I$203)</f>
        <v>203.86</v>
      </c>
      <c r="D7" s="51">
        <f>SUMIF('Employee Master'!F$4:F$203,"*IT*",'Employee Master'!M$4:M$203)</f>
        <v>125000</v>
      </c>
      <c r="E7" s="51">
        <f>IF(B7=0,0,D7/B7)</f>
        <v>31250</v>
      </c>
      <c r="F7" s="52">
        <f>IF('Utilization Dashboard'!D8=0,0,D7/'Utilization Dashboard'!D8)</f>
        <v>1.649129820159095E-2</v>
      </c>
    </row>
    <row r="8" spans="1:9" ht="23.25" customHeight="1" x14ac:dyDescent="0.2">
      <c r="A8" s="122" t="s">
        <v>382</v>
      </c>
      <c r="B8" s="27">
        <f>COUNTIF('Employee Master'!F$4:F$203,"*Marketing*")</f>
        <v>5</v>
      </c>
      <c r="C8" s="50">
        <f>SUMIF('Employee Master'!F$4:F$203,"*Marketing*",'Employee Master'!I$4:I$203)</f>
        <v>88</v>
      </c>
      <c r="D8" s="51">
        <f>SUMIF('Employee Master'!F$4:F$203,"*Marketing*",'Employee Master'!M$4:M$203)</f>
        <v>0</v>
      </c>
      <c r="E8" s="51">
        <f>IF(B8=0,0,D8/B8)</f>
        <v>0</v>
      </c>
      <c r="F8" s="52">
        <f>IF('Utilization Dashboard'!D8=0,0,D8/'Utilization Dashboard'!D8)</f>
        <v>0</v>
      </c>
    </row>
    <row r="9" spans="1:9" ht="15" customHeight="1" x14ac:dyDescent="0.2">
      <c r="A9" s="13" t="s">
        <v>1039</v>
      </c>
      <c r="B9" s="31">
        <f>SUM(B6:B8)</f>
        <v>17</v>
      </c>
      <c r="C9" s="31">
        <f>SUM(C6:C8)</f>
        <v>875.28000000000009</v>
      </c>
      <c r="D9" s="33">
        <f>SUM(D6:D8)</f>
        <v>498000</v>
      </c>
      <c r="E9" s="123">
        <f>IF(B9=0,0,D9/B9)</f>
        <v>29294.117647058825</v>
      </c>
      <c r="F9" s="124">
        <f>IF('Utilization Dashboard'!D8=0,0,D9/'Utilization Dashboard'!D8)</f>
        <v>6.5701332035138338E-2</v>
      </c>
    </row>
    <row r="11" spans="1:9" ht="15" customHeight="1" x14ac:dyDescent="0.2">
      <c r="A11" s="1" t="s">
        <v>1040</v>
      </c>
    </row>
    <row r="12" spans="1:9" ht="23.25" customHeight="1" x14ac:dyDescent="0.2">
      <c r="A12" s="121" t="s">
        <v>1041</v>
      </c>
      <c r="B12" s="121" t="s">
        <v>1042</v>
      </c>
      <c r="C12" s="121" t="s">
        <v>1043</v>
      </c>
      <c r="D12" s="121" t="s">
        <v>6</v>
      </c>
    </row>
    <row r="13" spans="1:9" ht="34.5" customHeight="1" x14ac:dyDescent="0.2">
      <c r="A13" s="27" t="s">
        <v>1044</v>
      </c>
      <c r="B13" s="51">
        <f>'③ Billing Input'!F104</f>
        <v>11390000</v>
      </c>
      <c r="C13" s="52">
        <f>IF(B13=0,0,1)</f>
        <v>1</v>
      </c>
      <c r="D13" s="27" t="s">
        <v>1045</v>
      </c>
    </row>
    <row r="14" spans="1:9" ht="34.5" customHeight="1" x14ac:dyDescent="0.2">
      <c r="A14" s="125" t="s">
        <v>1046</v>
      </c>
      <c r="B14" s="51">
        <f>'Client Profitability'!E85</f>
        <v>658378.35843749996</v>
      </c>
      <c r="C14" s="52">
        <f>IF(B13=0,0,B14/B13)</f>
        <v>5.7803192136742752E-2</v>
      </c>
      <c r="D14" s="27" t="s">
        <v>1047</v>
      </c>
    </row>
    <row r="15" spans="1:9" ht="34.5" customHeight="1" x14ac:dyDescent="0.2">
      <c r="A15" s="126" t="s">
        <v>1048</v>
      </c>
      <c r="B15" s="127">
        <f>B13-B14</f>
        <v>10731621.641562499</v>
      </c>
      <c r="C15" s="52">
        <f>IF(B13=0,0,B15/B13)</f>
        <v>0.94219680786325721</v>
      </c>
      <c r="D15" s="27" t="s">
        <v>1049</v>
      </c>
    </row>
    <row r="16" spans="1:9" ht="34.5" customHeight="1" x14ac:dyDescent="0.2">
      <c r="A16" s="125" t="s">
        <v>1050</v>
      </c>
      <c r="B16" s="51">
        <f>D6</f>
        <v>373000</v>
      </c>
      <c r="C16" s="52">
        <f>IF(B13=0,0,B16/B13)</f>
        <v>3.2748024582967515E-2</v>
      </c>
      <c r="D16" s="27" t="s">
        <v>1051</v>
      </c>
    </row>
    <row r="17" spans="1:8" ht="34.5" customHeight="1" x14ac:dyDescent="0.2">
      <c r="A17" s="125" t="s">
        <v>1052</v>
      </c>
      <c r="B17" s="51">
        <f>D7</f>
        <v>125000</v>
      </c>
      <c r="C17" s="52">
        <f>IF(B13=0,0,B17/B13)</f>
        <v>1.0974539069359086E-2</v>
      </c>
      <c r="D17" s="27" t="s">
        <v>1053</v>
      </c>
    </row>
    <row r="18" spans="1:8" ht="57" customHeight="1" x14ac:dyDescent="0.2">
      <c r="A18" s="125" t="s">
        <v>1054</v>
      </c>
      <c r="B18" s="51">
        <f>D8</f>
        <v>0</v>
      </c>
      <c r="C18" s="52">
        <f>IF(B13=0,0,B18/B13)</f>
        <v>0</v>
      </c>
      <c r="D18" s="27" t="s">
        <v>1055</v>
      </c>
    </row>
    <row r="19" spans="1:8" ht="45.75" customHeight="1" x14ac:dyDescent="0.2">
      <c r="A19" s="125" t="s">
        <v>1056</v>
      </c>
      <c r="B19" s="51">
        <f>SUMIF('Employee Master'!E$4:E$203,"Controller",'Employee Master'!M$4:M$203)+SUMIF('Employee Master'!E$4:E$203,"Sr. Controller",'Employee Master'!M$4:M$203)+SUMIF('Employee Master'!E$4:E$203,"Asst. Controller",'Employee Master'!M$4:M$203)+SUMIF('Employee Master'!E$4:E$203,"Coo",'Employee Master'!M$4:M$203)</f>
        <v>1632258</v>
      </c>
      <c r="C19" s="52">
        <f>IF(B13=0,0,B19/B13)</f>
        <v>0.14330623353819139</v>
      </c>
      <c r="D19" s="27" t="s">
        <v>1057</v>
      </c>
    </row>
    <row r="20" spans="1:8" ht="68.25" customHeight="1" x14ac:dyDescent="0.2">
      <c r="A20" s="125" t="s">
        <v>1058</v>
      </c>
      <c r="B20" s="51">
        <f>SUMPRODUCT(('⑤ Emp-Client Hours'!$C$4:$C$383="CLOUDIT")*'⑤ Emp-Client Hours'!$D$4:$D$383*'⑤ Emp-Client Hours'!$G$4:$G$383)</f>
        <v>929465.0149999999</v>
      </c>
      <c r="C20" s="52">
        <f>IF(B13=0,0,B20/B13)</f>
        <v>8.1603600965759429E-2</v>
      </c>
      <c r="D20" s="27" t="s">
        <v>1059</v>
      </c>
    </row>
    <row r="21" spans="1:8" ht="34.5" customHeight="1" x14ac:dyDescent="0.2">
      <c r="A21" s="112" t="s">
        <v>1060</v>
      </c>
      <c r="B21" s="128">
        <f>B15-B16-B17-B18-B19-B20</f>
        <v>7671898.6265624994</v>
      </c>
      <c r="C21" s="52">
        <f>IF(B13=0,0,B21/B13)</f>
        <v>0.67356440970697973</v>
      </c>
      <c r="D21" s="27" t="s">
        <v>1061</v>
      </c>
    </row>
    <row r="23" spans="1:8" ht="15" customHeight="1" x14ac:dyDescent="0.2">
      <c r="A23" s="1" t="s">
        <v>1062</v>
      </c>
    </row>
    <row r="24" spans="1:8" ht="23.25" customHeight="1" x14ac:dyDescent="0.2">
      <c r="A24" s="121" t="s">
        <v>694</v>
      </c>
      <c r="B24" s="121" t="s">
        <v>63</v>
      </c>
      <c r="C24" s="121" t="s">
        <v>69</v>
      </c>
      <c r="D24" s="121" t="s">
        <v>1063</v>
      </c>
      <c r="E24" s="121" t="s">
        <v>68</v>
      </c>
      <c r="F24" s="121" t="s">
        <v>838</v>
      </c>
      <c r="G24" s="121" t="s">
        <v>1064</v>
      </c>
      <c r="H24" s="121" t="s">
        <v>1065</v>
      </c>
    </row>
    <row r="25" spans="1:8" ht="15" customHeight="1" x14ac:dyDescent="0.2">
      <c r="A25" s="27">
        <v>1</v>
      </c>
      <c r="B25" s="27" t="s">
        <v>182</v>
      </c>
      <c r="C25" s="122" t="s">
        <v>184</v>
      </c>
      <c r="D25" s="27" t="s">
        <v>146</v>
      </c>
      <c r="E25" s="27" t="s">
        <v>66</v>
      </c>
      <c r="F25" s="51">
        <v>175000</v>
      </c>
      <c r="G25" s="27">
        <v>45</v>
      </c>
      <c r="H25" s="27" t="s">
        <v>95</v>
      </c>
    </row>
    <row r="26" spans="1:8" ht="15" customHeight="1" x14ac:dyDescent="0.2">
      <c r="A26" s="27">
        <v>2</v>
      </c>
      <c r="B26" s="27" t="s">
        <v>200</v>
      </c>
      <c r="C26" s="122" t="s">
        <v>184</v>
      </c>
      <c r="D26" s="27" t="s">
        <v>146</v>
      </c>
      <c r="E26" s="27" t="s">
        <v>203</v>
      </c>
      <c r="F26" s="51">
        <v>70000</v>
      </c>
      <c r="G26" s="27">
        <v>0</v>
      </c>
      <c r="H26" s="27" t="s">
        <v>1066</v>
      </c>
    </row>
    <row r="27" spans="1:8" ht="15" customHeight="1" x14ac:dyDescent="0.2">
      <c r="A27" s="27">
        <v>3</v>
      </c>
      <c r="B27" s="27" t="s">
        <v>263</v>
      </c>
      <c r="C27" s="122" t="s">
        <v>184</v>
      </c>
      <c r="D27" s="27" t="s">
        <v>146</v>
      </c>
      <c r="E27" s="27" t="s">
        <v>147</v>
      </c>
      <c r="F27" s="51">
        <v>43000</v>
      </c>
      <c r="G27" s="27">
        <v>131</v>
      </c>
      <c r="H27" s="27" t="s">
        <v>95</v>
      </c>
    </row>
    <row r="28" spans="1:8" ht="15" customHeight="1" x14ac:dyDescent="0.2">
      <c r="A28" s="27">
        <v>4</v>
      </c>
      <c r="B28" s="27" t="s">
        <v>265</v>
      </c>
      <c r="C28" s="122" t="s">
        <v>184</v>
      </c>
      <c r="D28" s="27" t="s">
        <v>146</v>
      </c>
      <c r="E28" s="27" t="s">
        <v>147</v>
      </c>
      <c r="F28" s="51">
        <v>50000</v>
      </c>
      <c r="G28" s="27">
        <v>9</v>
      </c>
      <c r="H28" s="27" t="s">
        <v>95</v>
      </c>
    </row>
    <row r="29" spans="1:8" ht="15" customHeight="1" x14ac:dyDescent="0.2">
      <c r="A29" s="27">
        <v>5</v>
      </c>
      <c r="B29" s="27" t="s">
        <v>336</v>
      </c>
      <c r="C29" s="122" t="s">
        <v>184</v>
      </c>
      <c r="D29" s="27" t="s">
        <v>146</v>
      </c>
      <c r="E29" s="27" t="s">
        <v>147</v>
      </c>
      <c r="F29" s="51">
        <v>35000</v>
      </c>
      <c r="G29" s="27">
        <v>56</v>
      </c>
      <c r="H29" s="27" t="s">
        <v>95</v>
      </c>
    </row>
    <row r="30" spans="1:8" ht="15" customHeight="1" x14ac:dyDescent="0.2">
      <c r="A30" s="27">
        <v>6</v>
      </c>
      <c r="B30" s="27" t="s">
        <v>348</v>
      </c>
      <c r="C30" s="122" t="s">
        <v>351</v>
      </c>
      <c r="D30" s="27" t="s">
        <v>146</v>
      </c>
      <c r="E30" s="27" t="s">
        <v>350</v>
      </c>
      <c r="F30" s="51">
        <v>125000</v>
      </c>
      <c r="G30" s="27">
        <v>0</v>
      </c>
      <c r="H30" s="27" t="s">
        <v>1066</v>
      </c>
    </row>
    <row r="31" spans="1:8" ht="15" customHeight="1" x14ac:dyDescent="0.2">
      <c r="A31" s="27">
        <v>7</v>
      </c>
      <c r="B31" s="27" t="s">
        <v>380</v>
      </c>
      <c r="C31" s="122" t="s">
        <v>382</v>
      </c>
      <c r="D31" s="27" t="s">
        <v>146</v>
      </c>
      <c r="E31" s="27" t="s">
        <v>66</v>
      </c>
      <c r="F31" s="51">
        <v>0</v>
      </c>
      <c r="G31" s="27">
        <v>0</v>
      </c>
      <c r="H31" s="27" t="s">
        <v>1066</v>
      </c>
    </row>
    <row r="32" spans="1:8" ht="15" customHeight="1" x14ac:dyDescent="0.2">
      <c r="A32" s="27">
        <v>8</v>
      </c>
      <c r="B32" s="27" t="s">
        <v>396</v>
      </c>
      <c r="C32" s="122" t="s">
        <v>351</v>
      </c>
      <c r="D32" s="27" t="s">
        <v>170</v>
      </c>
      <c r="E32" s="27" t="s">
        <v>66</v>
      </c>
      <c r="F32" s="51">
        <v>0</v>
      </c>
      <c r="G32" s="27">
        <v>0</v>
      </c>
      <c r="H32" s="27" t="s">
        <v>1066</v>
      </c>
    </row>
    <row r="33" spans="1:8" ht="15" customHeight="1" x14ac:dyDescent="0.2">
      <c r="A33" s="27">
        <v>9</v>
      </c>
      <c r="B33" s="27" t="s">
        <v>397</v>
      </c>
      <c r="C33" s="122" t="s">
        <v>184</v>
      </c>
      <c r="D33" s="27" t="s">
        <v>146</v>
      </c>
      <c r="E33" s="27" t="s">
        <v>147</v>
      </c>
      <c r="F33" s="51">
        <v>0</v>
      </c>
      <c r="G33" s="27">
        <v>150</v>
      </c>
      <c r="H33" s="27" t="s">
        <v>95</v>
      </c>
    </row>
    <row r="34" spans="1:8" ht="15" customHeight="1" x14ac:dyDescent="0.2">
      <c r="A34" s="27">
        <v>10</v>
      </c>
      <c r="B34" s="27" t="s">
        <v>408</v>
      </c>
      <c r="C34" s="122" t="s">
        <v>382</v>
      </c>
      <c r="D34" s="27" t="s">
        <v>170</v>
      </c>
      <c r="E34" s="27" t="s">
        <v>147</v>
      </c>
      <c r="F34" s="51">
        <v>0</v>
      </c>
      <c r="G34" s="27">
        <v>16</v>
      </c>
      <c r="H34" s="27" t="s">
        <v>95</v>
      </c>
    </row>
    <row r="35" spans="1:8" ht="15" customHeight="1" x14ac:dyDescent="0.2">
      <c r="A35" s="27">
        <v>11</v>
      </c>
      <c r="B35" s="27" t="s">
        <v>399</v>
      </c>
      <c r="C35" s="122" t="s">
        <v>184</v>
      </c>
      <c r="D35" s="27" t="s">
        <v>146</v>
      </c>
      <c r="E35" s="27" t="s">
        <v>213</v>
      </c>
      <c r="F35" s="51">
        <v>0</v>
      </c>
      <c r="G35" s="27">
        <v>136.5</v>
      </c>
      <c r="H35" s="27" t="s">
        <v>95</v>
      </c>
    </row>
    <row r="36" spans="1:8" ht="15" customHeight="1" x14ac:dyDescent="0.2">
      <c r="A36" s="27">
        <v>12</v>
      </c>
      <c r="B36" s="27" t="s">
        <v>428</v>
      </c>
      <c r="C36" s="122" t="s">
        <v>382</v>
      </c>
      <c r="D36" s="27" t="s">
        <v>170</v>
      </c>
      <c r="E36" s="27" t="s">
        <v>382</v>
      </c>
      <c r="F36" s="51">
        <v>0</v>
      </c>
      <c r="G36" s="27">
        <v>0</v>
      </c>
      <c r="H36" s="27" t="s">
        <v>1066</v>
      </c>
    </row>
    <row r="37" spans="1:8" ht="15" customHeight="1" x14ac:dyDescent="0.2">
      <c r="A37" s="27">
        <v>13</v>
      </c>
      <c r="B37" s="27" t="s">
        <v>502</v>
      </c>
      <c r="C37" s="122" t="s">
        <v>351</v>
      </c>
      <c r="D37" s="27" t="s">
        <v>170</v>
      </c>
      <c r="E37" s="27" t="s">
        <v>504</v>
      </c>
      <c r="F37" s="51">
        <v>0</v>
      </c>
      <c r="G37" s="27">
        <v>0</v>
      </c>
      <c r="H37" s="27" t="s">
        <v>1066</v>
      </c>
    </row>
    <row r="38" spans="1:8" ht="15" customHeight="1" x14ac:dyDescent="0.2">
      <c r="A38" s="27">
        <v>14</v>
      </c>
      <c r="B38" s="27" t="s">
        <v>527</v>
      </c>
      <c r="C38" s="122" t="s">
        <v>351</v>
      </c>
      <c r="D38" s="27" t="s">
        <v>146</v>
      </c>
      <c r="E38" s="27" t="s">
        <v>504</v>
      </c>
      <c r="F38" s="51">
        <v>0</v>
      </c>
      <c r="G38" s="27">
        <v>0</v>
      </c>
      <c r="H38" s="27" t="s">
        <v>1066</v>
      </c>
    </row>
    <row r="39" spans="1:8" ht="15" customHeight="1" x14ac:dyDescent="0.2">
      <c r="A39" s="27">
        <v>15</v>
      </c>
      <c r="B39" s="27" t="s">
        <v>532</v>
      </c>
      <c r="C39" s="122" t="s">
        <v>382</v>
      </c>
      <c r="D39" s="27" t="s">
        <v>170</v>
      </c>
      <c r="E39" s="27" t="s">
        <v>147</v>
      </c>
      <c r="F39" s="51">
        <v>0</v>
      </c>
      <c r="G39" s="27">
        <v>0</v>
      </c>
      <c r="H39" s="27" t="s">
        <v>1066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Settings</vt:lpstr>
      <vt:lpstr>① Timelog Input</vt:lpstr>
      <vt:lpstr>② Salary Input</vt:lpstr>
      <vt:lpstr>③ Billing Input</vt:lpstr>
      <vt:lpstr>④ Client-Service Map</vt:lpstr>
      <vt:lpstr>⑤ Emp-Client Hours</vt:lpstr>
      <vt:lpstr>⑥ Annual Performance</vt:lpstr>
      <vt:lpstr>⑦ Controller-Firm Map</vt:lpstr>
      <vt:lpstr>Employee Master</vt:lpstr>
      <vt:lpstr>Utilization Dashboard</vt:lpstr>
      <vt:lpstr>Controller KPIs</vt:lpstr>
      <vt:lpstr>Capacity Report</vt:lpstr>
      <vt:lpstr>Controller Team Analysis</vt:lpstr>
      <vt:lpstr>Increment Calculator</vt:lpstr>
      <vt:lpstr>Service Dashboard</vt:lpstr>
      <vt:lpstr>Director Command Center</vt:lpstr>
      <vt:lpstr>Client Profitability</vt:lpstr>
      <vt:lpstr>Overhead 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Jindal</cp:lastModifiedBy>
  <cp:revision>0</cp:revision>
  <dcterms:created xsi:type="dcterms:W3CDTF">2026-02-22T05:58:26Z</dcterms:created>
  <dcterms:modified xsi:type="dcterms:W3CDTF">2026-03-14T06:25:04Z</dcterms:modified>
  <dc:language>en-US</dc:language>
</cp:coreProperties>
</file>